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nt110676\Dropbox\ComputMacro\EXCEL-ICM\"/>
    </mc:Choice>
  </mc:AlternateContent>
  <xr:revisionPtr revIDLastSave="0" documentId="13_ncr:1_{0A53C17F-9BC8-4849-8256-65FD34BBCE46}" xr6:coauthVersionLast="47" xr6:coauthVersionMax="47" xr10:uidLastSave="{00000000-0000-0000-0000-000000000000}"/>
  <bookViews>
    <workbookView xWindow="-28920" yWindow="-120" windowWidth="29040" windowHeight="15720" xr2:uid="{909F8FA6-EB0A-40CF-858C-A89B7A4F2411}"/>
  </bookViews>
  <sheets>
    <sheet name="Sheet1" sheetId="1" r:id="rId1"/>
  </sheets>
  <externalReferences>
    <externalReference r:id="rId2"/>
  </externalReferences>
  <definedNames>
    <definedName name="Ac">Sheet1!$B$34</definedName>
    <definedName name="alpha">Sheet1!$B$12</definedName>
    <definedName name="Beta">Sheet1!$B$18</definedName>
    <definedName name="Cbar">Sheet1!$B$39</definedName>
    <definedName name="Delta">Sheet1!$B$13</definedName>
    <definedName name="gamma">Sheet1!$B$49</definedName>
    <definedName name="Interest">Sheet1!$B$17</definedName>
    <definedName name="kbar">Sheet1!$B$21</definedName>
    <definedName name="lambdabar">Sheet1!$B$46</definedName>
    <definedName name="lbar">Sheet1!$B$22</definedName>
    <definedName name="mpk">Sheet1!$B$47</definedName>
    <definedName name="mpl">Sheet1!$B$48</definedName>
    <definedName name="Phi">Sheet1!$B$14</definedName>
    <definedName name="phiL">Sheet1!$B$38</definedName>
    <definedName name="phiLL">Sheet1!$B$37</definedName>
    <definedName name="qbar">Sheet1!$B$20</definedName>
    <definedName name="R_1">#REF!</definedName>
    <definedName name="rho">'[1]Cobb-Dougles'!$B$29</definedName>
    <definedName name="rhoc">Sheet1!$B$31</definedName>
    <definedName name="sigma">'[1]Cobb-Dougles'!$B$30</definedName>
    <definedName name="sigma_c">Sheet1!$B$36</definedName>
    <definedName name="solver_adj" localSheetId="0" hidden="1">Sheet1!$H$3:$H$50,Sheet1!$W$3:$W$50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Sheet1!$AP$50</definedName>
    <definedName name="solver_lhs2" localSheetId="0" hidden="1">Sheet1!$H$50</definedName>
    <definedName name="solver_lhs3" localSheetId="0" hidden="1">Sheet1!$N$2:$N$50</definedName>
    <definedName name="solver_lhs4" localSheetId="0" hidden="1">Sheet1!$N$3:$N$50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Sheet1!$S$53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2" localSheetId="0" hidden="1">2</definedName>
    <definedName name="solver_rel3" localSheetId="0" hidden="1">1</definedName>
    <definedName name="solver_rel4" localSheetId="0" hidden="1">3</definedName>
    <definedName name="solver_rhs1" localSheetId="0" hidden="1">0</definedName>
    <definedName name="solver_rhs2" localSheetId="0" hidden="1">1</definedName>
    <definedName name="solver_rhs3" localSheetId="0" hidden="1">0.6</definedName>
    <definedName name="solver_rhs4" localSheetId="0" hidden="1">0.01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  <definedName name="tauc">Sheet1!$B$42</definedName>
    <definedName name="tauk">Sheet1!$B$44</definedName>
    <definedName name="tauw">Sheet1!$B$43</definedName>
    <definedName name="Y">Sheet1!$O$1</definedName>
    <definedName name="ybar">'[1]Cobb-Dougles'!$B$23</definedName>
    <definedName name="yhat">Sheet1!$B$33</definedName>
    <definedName name="yhat1">Sheet1!$B$35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M2" i="1"/>
  <c r="J3" i="1"/>
  <c r="B35" i="1" l="1"/>
  <c r="B33" i="1"/>
  <c r="B34" i="1" s="1"/>
  <c r="B37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B23" i="1"/>
  <c r="T22" i="1"/>
  <c r="T21" i="1"/>
  <c r="T20" i="1"/>
  <c r="D20" i="1"/>
  <c r="T19" i="1"/>
  <c r="D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V2" i="1"/>
  <c r="J2" i="1"/>
  <c r="F2" i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O2" i="1" l="1"/>
  <c r="G7" i="1"/>
  <c r="G30" i="1"/>
  <c r="G9" i="1"/>
  <c r="G32" i="1"/>
  <c r="G17" i="1"/>
  <c r="G33" i="1"/>
  <c r="G18" i="1"/>
  <c r="G34" i="1"/>
  <c r="G19" i="1"/>
  <c r="G37" i="1"/>
  <c r="G38" i="1"/>
  <c r="G3" i="1"/>
  <c r="G4" i="1"/>
  <c r="G5" i="1"/>
  <c r="G8" i="1"/>
  <c r="G11" i="1"/>
  <c r="G12" i="1"/>
  <c r="G13" i="1"/>
  <c r="G14" i="1"/>
  <c r="G15" i="1"/>
  <c r="G16" i="1"/>
  <c r="G24" i="1"/>
  <c r="G26" i="1"/>
  <c r="G29" i="1"/>
  <c r="G20" i="1"/>
  <c r="G21" i="1"/>
  <c r="G22" i="1"/>
  <c r="G23" i="1"/>
  <c r="G25" i="1"/>
  <c r="G6" i="1"/>
  <c r="G10" i="1"/>
  <c r="G27" i="1"/>
  <c r="G28" i="1"/>
  <c r="G43" i="1"/>
  <c r="G40" i="1"/>
  <c r="G39" i="1"/>
  <c r="G31" i="1"/>
  <c r="G42" i="1"/>
  <c r="G41" i="1"/>
  <c r="G36" i="1"/>
  <c r="G45" i="1"/>
  <c r="G35" i="1"/>
  <c r="G50" i="1"/>
  <c r="G49" i="1"/>
  <c r="G48" i="1"/>
  <c r="G47" i="1"/>
  <c r="G46" i="1"/>
  <c r="G44" i="1"/>
  <c r="I3" i="1"/>
  <c r="Q3" i="1" s="1"/>
  <c r="Q2" i="1"/>
  <c r="B18" i="1"/>
  <c r="B47" i="1" a="1"/>
  <c r="B47" i="1" s="1"/>
  <c r="B48" i="1"/>
  <c r="G2" i="1"/>
  <c r="J4" i="1"/>
  <c r="I4" i="1"/>
  <c r="L2" i="1"/>
  <c r="B53" i="1" l="1" a="1"/>
  <c r="B53" i="1" s="1"/>
  <c r="P2" i="1"/>
  <c r="AH2" i="1" s="1"/>
  <c r="L3" i="1"/>
  <c r="Q4" i="1"/>
  <c r="K2" i="1"/>
  <c r="AG2" i="1" s="1"/>
  <c r="AI2" i="1" s="1"/>
  <c r="B39" i="1"/>
  <c r="B24" i="1"/>
  <c r="I5" i="1"/>
  <c r="J5" i="1"/>
  <c r="L4" i="1"/>
  <c r="W2" i="1" l="1"/>
  <c r="AC2" i="1" s="1"/>
  <c r="AE2" i="1" s="1"/>
  <c r="W23" i="1"/>
  <c r="W45" i="1"/>
  <c r="W27" i="1"/>
  <c r="W9" i="1"/>
  <c r="W11" i="1"/>
  <c r="W14" i="1"/>
  <c r="W17" i="1"/>
  <c r="W19" i="1"/>
  <c r="W21" i="1"/>
  <c r="W24" i="1"/>
  <c r="W46" i="1"/>
  <c r="W5" i="1"/>
  <c r="W33" i="1"/>
  <c r="W15" i="1"/>
  <c r="W39" i="1"/>
  <c r="W43" i="1"/>
  <c r="W3" i="1"/>
  <c r="W25" i="1"/>
  <c r="W47" i="1"/>
  <c r="W48" i="1"/>
  <c r="W49" i="1"/>
  <c r="W30" i="1"/>
  <c r="W34" i="1"/>
  <c r="W36" i="1"/>
  <c r="W41" i="1"/>
  <c r="W44" i="1"/>
  <c r="W4" i="1"/>
  <c r="W26" i="1"/>
  <c r="W38" i="1"/>
  <c r="W6" i="1"/>
  <c r="W28" i="1"/>
  <c r="W50" i="1"/>
  <c r="W29" i="1"/>
  <c r="W8" i="1"/>
  <c r="W31" i="1"/>
  <c r="W32" i="1"/>
  <c r="W13" i="1"/>
  <c r="W16" i="1"/>
  <c r="W18" i="1"/>
  <c r="W42" i="1"/>
  <c r="W22" i="1"/>
  <c r="W7" i="1"/>
  <c r="W10" i="1"/>
  <c r="W35" i="1"/>
  <c r="W37" i="1"/>
  <c r="W40" i="1"/>
  <c r="W20" i="1"/>
  <c r="W12" i="1"/>
  <c r="AB2" i="1"/>
  <c r="AD2" i="1"/>
  <c r="Q5" i="1"/>
  <c r="B46" i="1"/>
  <c r="J6" i="1"/>
  <c r="I6" i="1"/>
  <c r="L5" i="1"/>
  <c r="AF2" i="1" l="1"/>
  <c r="AO2" i="1"/>
  <c r="X2" i="1"/>
  <c r="B49" i="1"/>
  <c r="B51" i="1" s="1"/>
  <c r="Q6" i="1"/>
  <c r="J7" i="1"/>
  <c r="I7" i="1"/>
  <c r="L6" i="1"/>
  <c r="O3" i="1" l="1"/>
  <c r="Q7" i="1"/>
  <c r="J8" i="1"/>
  <c r="I8" i="1"/>
  <c r="L7" i="1"/>
  <c r="AL3" i="1" l="1"/>
  <c r="M3" i="1"/>
  <c r="P3" i="1" s="1"/>
  <c r="Q8" i="1"/>
  <c r="I9" i="1"/>
  <c r="J9" i="1"/>
  <c r="L8" i="1"/>
  <c r="AB3" i="1" l="1"/>
  <c r="AJ3" i="1"/>
  <c r="K3" i="1"/>
  <c r="AH3" i="1"/>
  <c r="Q9" i="1"/>
  <c r="L9" i="1"/>
  <c r="J10" i="1"/>
  <c r="I10" i="1"/>
  <c r="AG3" i="1" l="1"/>
  <c r="AI3" i="1" s="1"/>
  <c r="AK3" i="1" s="1"/>
  <c r="AD3" i="1"/>
  <c r="Q10" i="1"/>
  <c r="J11" i="1"/>
  <c r="I11" i="1"/>
  <c r="L10" i="1"/>
  <c r="X3" i="1" l="1"/>
  <c r="Z3" i="1" s="1"/>
  <c r="AC3" i="1"/>
  <c r="AE3" i="1" s="1"/>
  <c r="AO3" i="1" s="1"/>
  <c r="Q11" i="1"/>
  <c r="L11" i="1"/>
  <c r="J12" i="1"/>
  <c r="I12" i="1"/>
  <c r="AP3" i="1" l="1"/>
  <c r="AA3" i="1"/>
  <c r="AF3" i="1"/>
  <c r="AM3" i="1"/>
  <c r="N4" i="1"/>
  <c r="Q12" i="1"/>
  <c r="I13" i="1"/>
  <c r="J13" i="1"/>
  <c r="L12" i="1"/>
  <c r="R3" i="1" l="1"/>
  <c r="S3" i="1" s="1"/>
  <c r="M4" i="1"/>
  <c r="K4" i="1" s="1"/>
  <c r="O4" i="1"/>
  <c r="Q13" i="1"/>
  <c r="L13" i="1"/>
  <c r="J14" i="1"/>
  <c r="I14" i="1"/>
  <c r="P4" i="1" l="1"/>
  <c r="AL4" i="1"/>
  <c r="AG4" i="1"/>
  <c r="AD4" i="1"/>
  <c r="Q14" i="1"/>
  <c r="J15" i="1"/>
  <c r="I15" i="1"/>
  <c r="L14" i="1"/>
  <c r="AH4" i="1" l="1"/>
  <c r="AI4" i="1" s="1"/>
  <c r="AK4" i="1" s="1"/>
  <c r="AJ4" i="1"/>
  <c r="X4" i="1"/>
  <c r="AB4" i="1"/>
  <c r="Q15" i="1"/>
  <c r="J16" i="1"/>
  <c r="I16" i="1"/>
  <c r="L15" i="1"/>
  <c r="Z4" i="1" l="1"/>
  <c r="AA4" i="1" s="1"/>
  <c r="AC4" i="1"/>
  <c r="AE4" i="1" s="1"/>
  <c r="AO4" i="1" s="1"/>
  <c r="N5" i="1"/>
  <c r="Q16" i="1"/>
  <c r="I17" i="1"/>
  <c r="J17" i="1"/>
  <c r="L16" i="1"/>
  <c r="AP4" i="1" l="1"/>
  <c r="AF4" i="1"/>
  <c r="AM4" i="1"/>
  <c r="R4" i="1"/>
  <c r="S4" i="1" s="1"/>
  <c r="M5" i="1"/>
  <c r="P5" i="1" s="1"/>
  <c r="AJ5" i="1" s="1"/>
  <c r="O5" i="1"/>
  <c r="Q17" i="1"/>
  <c r="L17" i="1"/>
  <c r="J18" i="1"/>
  <c r="I18" i="1"/>
  <c r="AH5" i="1" l="1"/>
  <c r="AB5" i="1"/>
  <c r="AL5" i="1"/>
  <c r="K5" i="1"/>
  <c r="Q18" i="1"/>
  <c r="L18" i="1"/>
  <c r="J19" i="1"/>
  <c r="I19" i="1"/>
  <c r="X5" i="1" l="1"/>
  <c r="AC5" i="1"/>
  <c r="AD5" i="1"/>
  <c r="AG5" i="1"/>
  <c r="AI5" i="1" s="1"/>
  <c r="AK5" i="1" s="1"/>
  <c r="Q19" i="1"/>
  <c r="I20" i="1"/>
  <c r="J20" i="1"/>
  <c r="L19" i="1"/>
  <c r="Z5" i="1" l="1"/>
  <c r="AA5" i="1" s="1"/>
  <c r="AE5" i="1"/>
  <c r="AO5" i="1" s="1"/>
  <c r="N6" i="1"/>
  <c r="Q20" i="1"/>
  <c r="L20" i="1"/>
  <c r="I21" i="1"/>
  <c r="J21" i="1"/>
  <c r="AP5" i="1" l="1"/>
  <c r="R5" i="1"/>
  <c r="S5" i="1" s="1"/>
  <c r="AF5" i="1"/>
  <c r="AM5" i="1"/>
  <c r="M6" i="1"/>
  <c r="K6" i="1" s="1"/>
  <c r="O6" i="1"/>
  <c r="Q21" i="1"/>
  <c r="L21" i="1"/>
  <c r="J22" i="1"/>
  <c r="I22" i="1"/>
  <c r="AL6" i="1" l="1"/>
  <c r="P6" i="1"/>
  <c r="AJ6" i="1" s="1"/>
  <c r="AD6" i="1"/>
  <c r="AG6" i="1"/>
  <c r="Q22" i="1"/>
  <c r="I23" i="1"/>
  <c r="J23" i="1"/>
  <c r="L22" i="1"/>
  <c r="AH6" i="1" l="1"/>
  <c r="AI6" i="1" s="1"/>
  <c r="AK6" i="1" s="1"/>
  <c r="AB6" i="1"/>
  <c r="Q23" i="1"/>
  <c r="L23" i="1"/>
  <c r="J24" i="1"/>
  <c r="I24" i="1"/>
  <c r="X6" i="1" l="1"/>
  <c r="AC6" i="1"/>
  <c r="AE6" i="1" s="1"/>
  <c r="AO6" i="1" s="1"/>
  <c r="Q24" i="1"/>
  <c r="L24" i="1"/>
  <c r="J25" i="1"/>
  <c r="I25" i="1"/>
  <c r="Z6" i="1" l="1"/>
  <c r="AA6" i="1" s="1"/>
  <c r="AP6" i="1"/>
  <c r="AF6" i="1"/>
  <c r="AM6" i="1"/>
  <c r="N7" i="1"/>
  <c r="Q25" i="1"/>
  <c r="J26" i="1"/>
  <c r="I26" i="1"/>
  <c r="L25" i="1"/>
  <c r="R6" i="1" l="1"/>
  <c r="S6" i="1" s="1"/>
  <c r="M7" i="1"/>
  <c r="P7" i="1" s="1"/>
  <c r="AJ7" i="1" s="1"/>
  <c r="O7" i="1"/>
  <c r="Q26" i="1"/>
  <c r="J27" i="1"/>
  <c r="I27" i="1"/>
  <c r="L26" i="1"/>
  <c r="AH7" i="1" l="1"/>
  <c r="AB7" i="1"/>
  <c r="AL7" i="1"/>
  <c r="K7" i="1"/>
  <c r="Q27" i="1"/>
  <c r="I28" i="1"/>
  <c r="J28" i="1"/>
  <c r="L27" i="1"/>
  <c r="X7" i="1" l="1"/>
  <c r="AC7" i="1"/>
  <c r="AG7" i="1"/>
  <c r="AI7" i="1" s="1"/>
  <c r="AK7" i="1" s="1"/>
  <c r="AD7" i="1"/>
  <c r="Q28" i="1"/>
  <c r="L28" i="1"/>
  <c r="I29" i="1"/>
  <c r="J29" i="1"/>
  <c r="Z7" i="1" l="1"/>
  <c r="AA7" i="1" s="1"/>
  <c r="AE7" i="1"/>
  <c r="AO7" i="1" s="1"/>
  <c r="N8" i="1"/>
  <c r="Q29" i="1"/>
  <c r="L29" i="1"/>
  <c r="J30" i="1"/>
  <c r="I30" i="1"/>
  <c r="AP7" i="1" l="1"/>
  <c r="R7" i="1"/>
  <c r="S7" i="1" s="1"/>
  <c r="AF7" i="1"/>
  <c r="AM7" i="1"/>
  <c r="O8" i="1"/>
  <c r="M8" i="1"/>
  <c r="K8" i="1" s="1"/>
  <c r="Q30" i="1"/>
  <c r="L30" i="1"/>
  <c r="J31" i="1"/>
  <c r="I31" i="1"/>
  <c r="P8" i="1" l="1"/>
  <c r="AG8" i="1"/>
  <c r="AD8" i="1"/>
  <c r="AL8" i="1"/>
  <c r="Q31" i="1"/>
  <c r="J32" i="1"/>
  <c r="I32" i="1"/>
  <c r="L31" i="1"/>
  <c r="AB8" i="1" l="1"/>
  <c r="AJ8" i="1"/>
  <c r="X8" i="1"/>
  <c r="AH8" i="1"/>
  <c r="AI8" i="1" s="1"/>
  <c r="AK8" i="1" s="1"/>
  <c r="Q32" i="1"/>
  <c r="J33" i="1"/>
  <c r="I33" i="1"/>
  <c r="L32" i="1"/>
  <c r="Z8" i="1" l="1"/>
  <c r="AA8" i="1" s="1"/>
  <c r="AC8" i="1"/>
  <c r="AE8" i="1" s="1"/>
  <c r="AO8" i="1" s="1"/>
  <c r="N9" i="1"/>
  <c r="Q33" i="1"/>
  <c r="I34" i="1"/>
  <c r="J34" i="1"/>
  <c r="L33" i="1"/>
  <c r="AP8" i="1" l="1"/>
  <c r="R8" i="1"/>
  <c r="S8" i="1" s="1"/>
  <c r="AF8" i="1"/>
  <c r="AM8" i="1"/>
  <c r="M9" i="1"/>
  <c r="O9" i="1"/>
  <c r="Q34" i="1"/>
  <c r="L34" i="1"/>
  <c r="I35" i="1"/>
  <c r="J35" i="1"/>
  <c r="AL9" i="1" l="1"/>
  <c r="P9" i="1"/>
  <c r="AJ9" i="1" s="1"/>
  <c r="K9" i="1"/>
  <c r="Q35" i="1"/>
  <c r="L35" i="1"/>
  <c r="J36" i="1"/>
  <c r="I36" i="1"/>
  <c r="AD9" i="1" l="1"/>
  <c r="AG9" i="1"/>
  <c r="AH9" i="1"/>
  <c r="AB9" i="1"/>
  <c r="Q36" i="1"/>
  <c r="J37" i="1"/>
  <c r="I37" i="1"/>
  <c r="L36" i="1"/>
  <c r="AI9" i="1" l="1"/>
  <c r="AK9" i="1" s="1"/>
  <c r="X9" i="1"/>
  <c r="AC9" i="1"/>
  <c r="AE9" i="1" s="1"/>
  <c r="AO9" i="1" s="1"/>
  <c r="Q37" i="1"/>
  <c r="I38" i="1"/>
  <c r="J38" i="1"/>
  <c r="L37" i="1"/>
  <c r="Z9" i="1" l="1"/>
  <c r="AA9" i="1" s="1"/>
  <c r="AP9" i="1"/>
  <c r="AF9" i="1"/>
  <c r="AM9" i="1"/>
  <c r="N10" i="1"/>
  <c r="Q38" i="1"/>
  <c r="L38" i="1"/>
  <c r="I39" i="1"/>
  <c r="J39" i="1"/>
  <c r="R9" i="1" l="1"/>
  <c r="S9" i="1" s="1"/>
  <c r="O10" i="1"/>
  <c r="M10" i="1"/>
  <c r="K10" i="1" s="1"/>
  <c r="Q39" i="1"/>
  <c r="L39" i="1"/>
  <c r="J40" i="1"/>
  <c r="I40" i="1"/>
  <c r="P10" i="1" l="1"/>
  <c r="AD10" i="1"/>
  <c r="AG10" i="1"/>
  <c r="AL10" i="1"/>
  <c r="Q40" i="1"/>
  <c r="L40" i="1"/>
  <c r="J41" i="1"/>
  <c r="I41" i="1"/>
  <c r="AB10" i="1" l="1"/>
  <c r="AJ10" i="1"/>
  <c r="AC10" i="1"/>
  <c r="AH10" i="1"/>
  <c r="AI10" i="1" s="1"/>
  <c r="AK10" i="1" s="1"/>
  <c r="Q41" i="1"/>
  <c r="L41" i="1"/>
  <c r="I42" i="1"/>
  <c r="J42" i="1"/>
  <c r="AE10" i="1" l="1"/>
  <c r="AO10" i="1" s="1"/>
  <c r="X10" i="1"/>
  <c r="Z10" i="1" s="1"/>
  <c r="Q42" i="1"/>
  <c r="J43" i="1"/>
  <c r="I43" i="1"/>
  <c r="L42" i="1"/>
  <c r="AF10" i="1" l="1"/>
  <c r="AP10" i="1"/>
  <c r="AM10" i="1"/>
  <c r="AA10" i="1"/>
  <c r="R10" i="1"/>
  <c r="S10" i="1" s="1"/>
  <c r="N11" i="1"/>
  <c r="O11" i="1" s="1"/>
  <c r="Q43" i="1"/>
  <c r="J44" i="1"/>
  <c r="I44" i="1"/>
  <c r="L43" i="1"/>
  <c r="M11" i="1" l="1"/>
  <c r="P11" i="1" s="1"/>
  <c r="AJ11" i="1" s="1"/>
  <c r="AL11" i="1"/>
  <c r="Q44" i="1"/>
  <c r="J45" i="1"/>
  <c r="I45" i="1"/>
  <c r="L44" i="1"/>
  <c r="K11" i="1" l="1"/>
  <c r="AH11" i="1"/>
  <c r="AB11" i="1"/>
  <c r="Q45" i="1"/>
  <c r="I46" i="1"/>
  <c r="J46" i="1"/>
  <c r="L45" i="1"/>
  <c r="AD11" i="1" l="1"/>
  <c r="AG11" i="1"/>
  <c r="AI11" i="1" s="1"/>
  <c r="AK11" i="1" s="1"/>
  <c r="X11" i="1"/>
  <c r="AC11" i="1"/>
  <c r="Q46" i="1"/>
  <c r="L46" i="1"/>
  <c r="J47" i="1"/>
  <c r="I47" i="1"/>
  <c r="AE11" i="1" l="1"/>
  <c r="AO11" i="1" s="1"/>
  <c r="AP11" i="1" s="1"/>
  <c r="Z11" i="1"/>
  <c r="AA11" i="1" s="1"/>
  <c r="N12" i="1"/>
  <c r="Q47" i="1"/>
  <c r="J48" i="1"/>
  <c r="I48" i="1"/>
  <c r="L47" i="1"/>
  <c r="AF11" i="1" l="1"/>
  <c r="AM11" i="1"/>
  <c r="R11" i="1"/>
  <c r="S11" i="1" s="1"/>
  <c r="O12" i="1"/>
  <c r="M12" i="1"/>
  <c r="Q48" i="1"/>
  <c r="J49" i="1"/>
  <c r="I49" i="1"/>
  <c r="L48" i="1"/>
  <c r="AL12" i="1" l="1"/>
  <c r="P12" i="1"/>
  <c r="AJ12" i="1" s="1"/>
  <c r="K12" i="1"/>
  <c r="Q49" i="1"/>
  <c r="I50" i="1"/>
  <c r="J50" i="1"/>
  <c r="L49" i="1"/>
  <c r="AG12" i="1" l="1"/>
  <c r="AD12" i="1"/>
  <c r="AH12" i="1"/>
  <c r="AB12" i="1"/>
  <c r="Q50" i="1"/>
  <c r="L50" i="1"/>
  <c r="AI12" i="1" l="1"/>
  <c r="AK12" i="1" s="1"/>
  <c r="X12" i="1"/>
  <c r="AC12" i="1"/>
  <c r="AE12" i="1" s="1"/>
  <c r="AO12" i="1" s="1"/>
  <c r="Z12" i="1" l="1"/>
  <c r="AA12" i="1" s="1"/>
  <c r="AP12" i="1"/>
  <c r="AF12" i="1"/>
  <c r="AM12" i="1"/>
  <c r="N13" i="1"/>
  <c r="R12" i="1" l="1"/>
  <c r="S12" i="1" s="1"/>
  <c r="O13" i="1"/>
  <c r="M13" i="1"/>
  <c r="AL13" i="1" l="1"/>
  <c r="P13" i="1"/>
  <c r="AJ13" i="1" s="1"/>
  <c r="K13" i="1"/>
  <c r="AH13" i="1" l="1"/>
  <c r="AB13" i="1"/>
  <c r="AD13" i="1"/>
  <c r="AG13" i="1"/>
  <c r="AI13" i="1" l="1"/>
  <c r="AK13" i="1" s="1"/>
  <c r="X13" i="1"/>
  <c r="AC13" i="1"/>
  <c r="AE13" i="1" s="1"/>
  <c r="AO13" i="1" s="1"/>
  <c r="Z13" i="1" l="1"/>
  <c r="AA13" i="1" s="1"/>
  <c r="AP13" i="1"/>
  <c r="AF13" i="1"/>
  <c r="AM13" i="1"/>
  <c r="N14" i="1"/>
  <c r="R13" i="1" l="1"/>
  <c r="S13" i="1" s="1"/>
  <c r="M14" i="1"/>
  <c r="O14" i="1"/>
  <c r="P14" i="1" l="1"/>
  <c r="AJ14" i="1" s="1"/>
  <c r="K14" i="1"/>
  <c r="AL14" i="1"/>
  <c r="X14" i="1" l="1"/>
  <c r="Z14" i="1" s="1"/>
  <c r="AG14" i="1"/>
  <c r="AD14" i="1"/>
  <c r="AH14" i="1"/>
  <c r="AB14" i="1"/>
  <c r="N15" i="1" l="1"/>
  <c r="O15" i="1" s="1"/>
  <c r="AA14" i="1"/>
  <c r="AC14" i="1"/>
  <c r="AE14" i="1" s="1"/>
  <c r="AO14" i="1" s="1"/>
  <c r="AI14" i="1"/>
  <c r="AK14" i="1" s="1"/>
  <c r="AP14" i="1" l="1"/>
  <c r="M15" i="1"/>
  <c r="K15" i="1" s="1"/>
  <c r="AL15" i="1"/>
  <c r="R14" i="1"/>
  <c r="S14" i="1" s="1"/>
  <c r="AF14" i="1"/>
  <c r="AM14" i="1"/>
  <c r="AD15" i="1" l="1"/>
  <c r="AG15" i="1"/>
  <c r="P15" i="1"/>
  <c r="AB15" i="1" s="1"/>
  <c r="X15" i="1"/>
  <c r="Z15" i="1" s="1"/>
  <c r="AA15" i="1" l="1"/>
  <c r="AH15" i="1"/>
  <c r="AI15" i="1" s="1"/>
  <c r="AK15" i="1" s="1"/>
  <c r="AJ15" i="1"/>
  <c r="AC15" i="1"/>
  <c r="AE15" i="1" s="1"/>
  <c r="AO15" i="1" s="1"/>
  <c r="N16" i="1"/>
  <c r="AP15" i="1" l="1"/>
  <c r="R15" i="1"/>
  <c r="S15" i="1" s="1"/>
  <c r="AF15" i="1"/>
  <c r="AM15" i="1"/>
  <c r="M16" i="1"/>
  <c r="O16" i="1"/>
  <c r="AL16" i="1" l="1"/>
  <c r="P16" i="1"/>
  <c r="AJ16" i="1" s="1"/>
  <c r="K16" i="1"/>
  <c r="AH16" i="1" l="1"/>
  <c r="AB16" i="1"/>
  <c r="AD16" i="1"/>
  <c r="AG16" i="1"/>
  <c r="AI16" i="1" l="1"/>
  <c r="AK16" i="1" s="1"/>
  <c r="AC16" i="1"/>
  <c r="AE16" i="1" s="1"/>
  <c r="AO16" i="1" s="1"/>
  <c r="X16" i="1"/>
  <c r="Z16" i="1" l="1"/>
  <c r="AA16" i="1" s="1"/>
  <c r="AP16" i="1"/>
  <c r="AF16" i="1"/>
  <c r="AM16" i="1"/>
  <c r="N17" i="1"/>
  <c r="R16" i="1" l="1"/>
  <c r="S16" i="1" s="1"/>
  <c r="M17" i="1"/>
  <c r="O17" i="1"/>
  <c r="AL17" i="1" l="1"/>
  <c r="P17" i="1"/>
  <c r="AJ17" i="1" s="1"/>
  <c r="K17" i="1"/>
  <c r="AD17" i="1" l="1"/>
  <c r="AG17" i="1"/>
  <c r="AH17" i="1"/>
  <c r="AB17" i="1"/>
  <c r="AI17" i="1" l="1"/>
  <c r="AK17" i="1" s="1"/>
  <c r="X17" i="1"/>
  <c r="AC17" i="1"/>
  <c r="AE17" i="1" s="1"/>
  <c r="AO17" i="1" s="1"/>
  <c r="Z17" i="1" l="1"/>
  <c r="AA17" i="1" s="1"/>
  <c r="AP17" i="1"/>
  <c r="AF17" i="1"/>
  <c r="AM17" i="1"/>
  <c r="N18" i="1"/>
  <c r="R17" i="1" l="1"/>
  <c r="S17" i="1" s="1"/>
  <c r="M18" i="1"/>
  <c r="K18" i="1" s="1"/>
  <c r="O18" i="1"/>
  <c r="AL18" i="1" l="1"/>
  <c r="P18" i="1"/>
  <c r="AG18" i="1"/>
  <c r="AD18" i="1"/>
  <c r="AB18" i="1" l="1"/>
  <c r="AJ18" i="1"/>
  <c r="AH18" i="1"/>
  <c r="AI18" i="1" s="1"/>
  <c r="AK18" i="1" s="1"/>
  <c r="AC18" i="1"/>
  <c r="AE18" i="1" l="1"/>
  <c r="AO18" i="1" s="1"/>
  <c r="X18" i="1"/>
  <c r="Z18" i="1" s="1"/>
  <c r="AP18" i="1" l="1"/>
  <c r="AM18" i="1"/>
  <c r="AF18" i="1"/>
  <c r="AA18" i="1"/>
  <c r="R18" i="1"/>
  <c r="S18" i="1" s="1"/>
  <c r="N19" i="1"/>
  <c r="O19" i="1" s="1"/>
  <c r="M19" i="1" l="1"/>
  <c r="P19" i="1" s="1"/>
  <c r="AJ19" i="1" s="1"/>
  <c r="AL19" i="1"/>
  <c r="K19" i="1" l="1"/>
  <c r="AH19" i="1"/>
  <c r="AB19" i="1"/>
  <c r="AD19" i="1" l="1"/>
  <c r="X19" i="1"/>
  <c r="Z19" i="1" s="1"/>
  <c r="AG19" i="1"/>
  <c r="AI19" i="1" s="1"/>
  <c r="AK19" i="1" s="1"/>
  <c r="AA19" i="1" l="1"/>
  <c r="AC19" i="1"/>
  <c r="AE19" i="1" s="1"/>
  <c r="AO19" i="1" s="1"/>
  <c r="N20" i="1"/>
  <c r="AP19" i="1" l="1"/>
  <c r="R19" i="1"/>
  <c r="S19" i="1" s="1"/>
  <c r="AF19" i="1"/>
  <c r="AM19" i="1"/>
  <c r="M20" i="1"/>
  <c r="O20" i="1"/>
  <c r="AL20" i="1" l="1"/>
  <c r="P20" i="1"/>
  <c r="AJ20" i="1" s="1"/>
  <c r="K20" i="1"/>
  <c r="AH20" i="1" l="1"/>
  <c r="AB20" i="1"/>
  <c r="AD20" i="1"/>
  <c r="AG20" i="1"/>
  <c r="AI20" i="1" l="1"/>
  <c r="AK20" i="1" s="1"/>
  <c r="X20" i="1"/>
  <c r="AC20" i="1"/>
  <c r="AE20" i="1" s="1"/>
  <c r="AO20" i="1" s="1"/>
  <c r="Z20" i="1" l="1"/>
  <c r="AA20" i="1" s="1"/>
  <c r="AP20" i="1"/>
  <c r="AF20" i="1"/>
  <c r="AM20" i="1"/>
  <c r="N21" i="1"/>
  <c r="R20" i="1" l="1"/>
  <c r="S20" i="1" s="1"/>
  <c r="O21" i="1"/>
  <c r="M21" i="1"/>
  <c r="P21" i="1" l="1"/>
  <c r="AJ21" i="1" s="1"/>
  <c r="K21" i="1"/>
  <c r="AL21" i="1"/>
  <c r="AC21" i="1" l="1"/>
  <c r="AD21" i="1"/>
  <c r="AG21" i="1"/>
  <c r="AH21" i="1"/>
  <c r="AB21" i="1"/>
  <c r="X21" i="1" l="1"/>
  <c r="Z21" i="1" s="1"/>
  <c r="AE21" i="1"/>
  <c r="AO21" i="1" s="1"/>
  <c r="AI21" i="1"/>
  <c r="AP21" i="1" l="1"/>
  <c r="AA21" i="1"/>
  <c r="R21" i="1"/>
  <c r="S21" i="1" s="1"/>
  <c r="AF21" i="1"/>
  <c r="AM21" i="1"/>
  <c r="N22" i="1"/>
  <c r="M22" i="1" s="1"/>
  <c r="K22" i="1" s="1"/>
  <c r="AK21" i="1"/>
  <c r="O22" i="1" l="1"/>
  <c r="P22" i="1"/>
  <c r="AD22" i="1"/>
  <c r="AB22" i="1" l="1"/>
  <c r="AJ22" i="1"/>
  <c r="X22" i="1"/>
  <c r="AG22" i="1"/>
  <c r="AH22" i="1"/>
  <c r="AL22" i="1"/>
  <c r="AL52" i="1" s="1"/>
  <c r="Z22" i="1" l="1"/>
  <c r="AA22" i="1" s="1"/>
  <c r="AC22" i="1"/>
  <c r="AE22" i="1" s="1"/>
  <c r="AO22" i="1" s="1"/>
  <c r="AI22" i="1"/>
  <c r="AK22" i="1" s="1"/>
  <c r="AK52" i="1" s="1"/>
  <c r="N23" i="1"/>
  <c r="AP22" i="1" l="1"/>
  <c r="R22" i="1"/>
  <c r="S22" i="1" s="1"/>
  <c r="AF22" i="1"/>
  <c r="AF52" i="1" s="1"/>
  <c r="AM22" i="1"/>
  <c r="AI52" i="1"/>
  <c r="M23" i="1"/>
  <c r="O23" i="1"/>
  <c r="AL23" i="1" l="1"/>
  <c r="P23" i="1"/>
  <c r="AJ23" i="1" s="1"/>
  <c r="K23" i="1"/>
  <c r="AH23" i="1" l="1"/>
  <c r="AB23" i="1"/>
  <c r="AD23" i="1"/>
  <c r="AG23" i="1"/>
  <c r="AI23" i="1" l="1"/>
  <c r="AK23" i="1" s="1"/>
  <c r="X23" i="1"/>
  <c r="AC23" i="1"/>
  <c r="AE23" i="1" s="1"/>
  <c r="AO23" i="1" s="1"/>
  <c r="Z23" i="1" l="1"/>
  <c r="AA23" i="1" s="1"/>
  <c r="AP23" i="1"/>
  <c r="AF23" i="1"/>
  <c r="AM23" i="1"/>
  <c r="N24" i="1"/>
  <c r="R23" i="1" l="1"/>
  <c r="S23" i="1" s="1"/>
  <c r="M24" i="1"/>
  <c r="K24" i="1" s="1"/>
  <c r="O24" i="1"/>
  <c r="P24" i="1" l="1"/>
  <c r="AL24" i="1"/>
  <c r="AD24" i="1"/>
  <c r="AG24" i="1"/>
  <c r="AB24" i="1" l="1"/>
  <c r="AJ24" i="1"/>
  <c r="AH24" i="1"/>
  <c r="AI24" i="1" s="1"/>
  <c r="AK24" i="1" s="1"/>
  <c r="AC24" i="1"/>
  <c r="AE24" i="1" l="1"/>
  <c r="AO24" i="1" s="1"/>
  <c r="X24" i="1"/>
  <c r="Z24" i="1" s="1"/>
  <c r="AP24" i="1" l="1"/>
  <c r="AM24" i="1"/>
  <c r="AF24" i="1"/>
  <c r="AA24" i="1"/>
  <c r="R24" i="1"/>
  <c r="S24" i="1" s="1"/>
  <c r="N25" i="1"/>
  <c r="O25" i="1" s="1"/>
  <c r="M25" i="1" l="1"/>
  <c r="P25" i="1" s="1"/>
  <c r="AJ25" i="1" s="1"/>
  <c r="AL25" i="1"/>
  <c r="K25" i="1" l="1"/>
  <c r="AH25" i="1"/>
  <c r="AB25" i="1"/>
  <c r="X25" i="1" l="1"/>
  <c r="Z25" i="1" s="1"/>
  <c r="AC25" i="1"/>
  <c r="AD25" i="1"/>
  <c r="AG25" i="1"/>
  <c r="AI25" i="1" s="1"/>
  <c r="AK25" i="1" s="1"/>
  <c r="AA25" i="1" l="1"/>
  <c r="R25" i="1"/>
  <c r="S25" i="1" s="1"/>
  <c r="AE25" i="1"/>
  <c r="AO25" i="1" s="1"/>
  <c r="N26" i="1"/>
  <c r="AP25" i="1" l="1"/>
  <c r="AF25" i="1"/>
  <c r="AM25" i="1"/>
  <c r="O26" i="1"/>
  <c r="M26" i="1"/>
  <c r="K26" i="1" s="1"/>
  <c r="AL26" i="1" l="1"/>
  <c r="P26" i="1"/>
  <c r="AG26" i="1"/>
  <c r="AD26" i="1"/>
  <c r="AC26" i="1" l="1"/>
  <c r="AJ26" i="1"/>
  <c r="AB26" i="1"/>
  <c r="AH26" i="1"/>
  <c r="AI26" i="1" s="1"/>
  <c r="AK26" i="1" s="1"/>
  <c r="AE26" i="1" l="1"/>
  <c r="AO26" i="1" s="1"/>
  <c r="X26" i="1"/>
  <c r="N27" i="1" l="1"/>
  <c r="O27" i="1" s="1"/>
  <c r="Z26" i="1"/>
  <c r="AA26" i="1" s="1"/>
  <c r="AP26" i="1"/>
  <c r="AM26" i="1"/>
  <c r="AF26" i="1"/>
  <c r="R26" i="1"/>
  <c r="S26" i="1" s="1"/>
  <c r="M27" i="1" l="1"/>
  <c r="P27" i="1" s="1"/>
  <c r="AJ27" i="1" s="1"/>
  <c r="AL27" i="1"/>
  <c r="AB27" i="1" l="1"/>
  <c r="AH27" i="1"/>
  <c r="K27" i="1"/>
  <c r="AD27" i="1" s="1"/>
  <c r="AC27" i="1"/>
  <c r="X27" i="1"/>
  <c r="Z27" i="1" l="1"/>
  <c r="AA27" i="1" s="1"/>
  <c r="AG27" i="1"/>
  <c r="AI27" i="1" s="1"/>
  <c r="AK27" i="1" s="1"/>
  <c r="AE27" i="1"/>
  <c r="AO27" i="1" s="1"/>
  <c r="AP27" i="1" s="1"/>
  <c r="N28" i="1"/>
  <c r="AM27" i="1" l="1"/>
  <c r="AF27" i="1"/>
  <c r="R27" i="1"/>
  <c r="S27" i="1" s="1"/>
  <c r="O28" i="1"/>
  <c r="M28" i="1"/>
  <c r="P28" i="1" s="1"/>
  <c r="AJ28" i="1" s="1"/>
  <c r="AH28" i="1" l="1"/>
  <c r="AB28" i="1"/>
  <c r="K28" i="1"/>
  <c r="AL28" i="1"/>
  <c r="AG28" i="1" l="1"/>
  <c r="AI28" i="1" s="1"/>
  <c r="AK28" i="1" s="1"/>
  <c r="AD28" i="1"/>
  <c r="X28" i="1" l="1"/>
  <c r="AC28" i="1"/>
  <c r="AE28" i="1" s="1"/>
  <c r="AO28" i="1" s="1"/>
  <c r="Z28" i="1" l="1"/>
  <c r="AA28" i="1" s="1"/>
  <c r="AP28" i="1"/>
  <c r="AF28" i="1"/>
  <c r="AM28" i="1"/>
  <c r="N29" i="1"/>
  <c r="R28" i="1" l="1"/>
  <c r="S28" i="1" s="1"/>
  <c r="M29" i="1"/>
  <c r="O29" i="1"/>
  <c r="AL29" i="1" l="1"/>
  <c r="P29" i="1"/>
  <c r="AJ29" i="1" s="1"/>
  <c r="K29" i="1"/>
  <c r="AH29" i="1" l="1"/>
  <c r="AB29" i="1"/>
  <c r="AG29" i="1"/>
  <c r="AD29" i="1"/>
  <c r="AI29" i="1" l="1"/>
  <c r="AK29" i="1" s="1"/>
  <c r="X29" i="1"/>
  <c r="AC29" i="1"/>
  <c r="AE29" i="1" s="1"/>
  <c r="AO29" i="1" s="1"/>
  <c r="Z29" i="1" l="1"/>
  <c r="AA29" i="1" s="1"/>
  <c r="AP29" i="1"/>
  <c r="AF29" i="1"/>
  <c r="AM29" i="1"/>
  <c r="N30" i="1"/>
  <c r="R29" i="1" l="1"/>
  <c r="S29" i="1" s="1"/>
  <c r="M30" i="1"/>
  <c r="O30" i="1"/>
  <c r="P30" i="1" l="1"/>
  <c r="AJ30" i="1" s="1"/>
  <c r="K30" i="1"/>
  <c r="AL30" i="1"/>
  <c r="AC30" i="1" l="1"/>
  <c r="AG30" i="1"/>
  <c r="AD30" i="1"/>
  <c r="AH30" i="1"/>
  <c r="AB30" i="1"/>
  <c r="X30" i="1" l="1"/>
  <c r="Z30" i="1" s="1"/>
  <c r="AI30" i="1"/>
  <c r="AK30" i="1" s="1"/>
  <c r="AE30" i="1"/>
  <c r="AO30" i="1" s="1"/>
  <c r="AP30" i="1" l="1"/>
  <c r="N31" i="1"/>
  <c r="M31" i="1" s="1"/>
  <c r="P31" i="1" s="1"/>
  <c r="AJ31" i="1" s="1"/>
  <c r="AA30" i="1"/>
  <c r="AF30" i="1"/>
  <c r="AM30" i="1"/>
  <c r="O31" i="1" l="1"/>
  <c r="K31" i="1"/>
  <c r="R30" i="1"/>
  <c r="S30" i="1" s="1"/>
  <c r="AB31" i="1"/>
  <c r="AL31" i="1" l="1"/>
  <c r="AH31" i="1"/>
  <c r="AG31" i="1"/>
  <c r="AD31" i="1"/>
  <c r="X31" i="1"/>
  <c r="AC31" i="1"/>
  <c r="Z31" i="1" l="1"/>
  <c r="AA31" i="1" s="1"/>
  <c r="AI31" i="1"/>
  <c r="AK31" i="1" s="1"/>
  <c r="AE31" i="1"/>
  <c r="AO31" i="1" s="1"/>
  <c r="N32" i="1"/>
  <c r="AP31" i="1" l="1"/>
  <c r="AM31" i="1"/>
  <c r="AF31" i="1"/>
  <c r="R31" i="1"/>
  <c r="S31" i="1" s="1"/>
  <c r="M32" i="1"/>
  <c r="K32" i="1" s="1"/>
  <c r="O32" i="1"/>
  <c r="AL32" i="1" l="1"/>
  <c r="P32" i="1"/>
  <c r="AD32" i="1"/>
  <c r="AG32" i="1"/>
  <c r="AB32" i="1" l="1"/>
  <c r="AJ32" i="1"/>
  <c r="AH32" i="1"/>
  <c r="AI32" i="1" s="1"/>
  <c r="AK32" i="1" s="1"/>
  <c r="AC32" i="1"/>
  <c r="AE32" i="1" l="1"/>
  <c r="AO32" i="1" s="1"/>
  <c r="X32" i="1"/>
  <c r="Z32" i="1" s="1"/>
  <c r="AF32" i="1" l="1"/>
  <c r="AP32" i="1"/>
  <c r="AM32" i="1"/>
  <c r="AA32" i="1"/>
  <c r="R32" i="1"/>
  <c r="S32" i="1" s="1"/>
  <c r="N33" i="1"/>
  <c r="O33" i="1" s="1"/>
  <c r="AL33" i="1" l="1"/>
  <c r="M33" i="1"/>
  <c r="P33" i="1" s="1"/>
  <c r="AJ33" i="1" s="1"/>
  <c r="K33" i="1" l="1"/>
  <c r="AH33" i="1"/>
  <c r="AB33" i="1"/>
  <c r="AG33" i="1" l="1"/>
  <c r="AI33" i="1" s="1"/>
  <c r="AK33" i="1" s="1"/>
  <c r="AD33" i="1"/>
  <c r="AC33" i="1"/>
  <c r="X33" i="1"/>
  <c r="Z33" i="1" l="1"/>
  <c r="AA33" i="1" s="1"/>
  <c r="AE33" i="1"/>
  <c r="AO33" i="1" s="1"/>
  <c r="N34" i="1"/>
  <c r="AP33" i="1" l="1"/>
  <c r="R33" i="1"/>
  <c r="S33" i="1" s="1"/>
  <c r="AF33" i="1"/>
  <c r="AM33" i="1"/>
  <c r="M34" i="1"/>
  <c r="K34" i="1" s="1"/>
  <c r="O34" i="1"/>
  <c r="P34" i="1" l="1"/>
  <c r="AL34" i="1"/>
  <c r="AG34" i="1"/>
  <c r="AD34" i="1"/>
  <c r="AB34" i="1" l="1"/>
  <c r="AJ34" i="1"/>
  <c r="X34" i="1"/>
  <c r="AH34" i="1"/>
  <c r="AI34" i="1" s="1"/>
  <c r="AK34" i="1" s="1"/>
  <c r="Z34" i="1" l="1"/>
  <c r="AA34" i="1" s="1"/>
  <c r="AC34" i="1"/>
  <c r="AE34" i="1" s="1"/>
  <c r="AO34" i="1" s="1"/>
  <c r="N35" i="1"/>
  <c r="AP34" i="1" l="1"/>
  <c r="R34" i="1"/>
  <c r="S34" i="1" s="1"/>
  <c r="AF34" i="1"/>
  <c r="AM34" i="1"/>
  <c r="O35" i="1"/>
  <c r="M35" i="1"/>
  <c r="P35" i="1" l="1"/>
  <c r="AJ35" i="1" s="1"/>
  <c r="K35" i="1"/>
  <c r="AL35" i="1"/>
  <c r="AD35" i="1" l="1"/>
  <c r="AG35" i="1"/>
  <c r="AH35" i="1"/>
  <c r="AB35" i="1"/>
  <c r="AI35" i="1" l="1"/>
  <c r="AK35" i="1" s="1"/>
  <c r="X35" i="1"/>
  <c r="AC35" i="1"/>
  <c r="AE35" i="1" s="1"/>
  <c r="AO35" i="1" s="1"/>
  <c r="Z35" i="1" l="1"/>
  <c r="AA35" i="1" s="1"/>
  <c r="AP35" i="1"/>
  <c r="AF35" i="1"/>
  <c r="AM35" i="1"/>
  <c r="N36" i="1"/>
  <c r="R35" i="1" l="1"/>
  <c r="S35" i="1" s="1"/>
  <c r="M36" i="1"/>
  <c r="O36" i="1"/>
  <c r="AL36" i="1" l="1"/>
  <c r="P36" i="1"/>
  <c r="AJ36" i="1" s="1"/>
  <c r="K36" i="1"/>
  <c r="AG36" i="1" l="1"/>
  <c r="AD36" i="1"/>
  <c r="AH36" i="1"/>
  <c r="AB36" i="1"/>
  <c r="AI36" i="1" l="1"/>
  <c r="AK36" i="1" s="1"/>
  <c r="AC36" i="1"/>
  <c r="AE36" i="1" s="1"/>
  <c r="AO36" i="1" s="1"/>
  <c r="X36" i="1"/>
  <c r="Z36" i="1" l="1"/>
  <c r="AA36" i="1" s="1"/>
  <c r="AP36" i="1"/>
  <c r="AF36" i="1"/>
  <c r="AM36" i="1"/>
  <c r="N37" i="1"/>
  <c r="R36" i="1" l="1"/>
  <c r="S36" i="1" s="1"/>
  <c r="M37" i="1"/>
  <c r="P37" i="1" s="1"/>
  <c r="AJ37" i="1" s="1"/>
  <c r="O37" i="1"/>
  <c r="AH37" i="1" l="1"/>
  <c r="AL37" i="1"/>
  <c r="AB37" i="1"/>
  <c r="K37" i="1"/>
  <c r="AD37" i="1" l="1"/>
  <c r="AG37" i="1"/>
  <c r="AI37" i="1" s="1"/>
  <c r="AK37" i="1" s="1"/>
  <c r="AC37" i="1" l="1"/>
  <c r="AE37" i="1" s="1"/>
  <c r="AO37" i="1" s="1"/>
  <c r="X37" i="1"/>
  <c r="Z37" i="1" l="1"/>
  <c r="AA37" i="1" s="1"/>
  <c r="AP37" i="1"/>
  <c r="AF37" i="1"/>
  <c r="AM37" i="1"/>
  <c r="N38" i="1"/>
  <c r="R37" i="1" l="1"/>
  <c r="S37" i="1" s="1"/>
  <c r="M38" i="1"/>
  <c r="O38" i="1"/>
  <c r="AL38" i="1" l="1"/>
  <c r="P38" i="1"/>
  <c r="AJ38" i="1" s="1"/>
  <c r="K38" i="1"/>
  <c r="AC38" i="1" l="1"/>
  <c r="AG38" i="1"/>
  <c r="AD38" i="1"/>
  <c r="AH38" i="1"/>
  <c r="AB38" i="1"/>
  <c r="X38" i="1" l="1"/>
  <c r="Z38" i="1" s="1"/>
  <c r="AI38" i="1"/>
  <c r="AK38" i="1" s="1"/>
  <c r="AE38" i="1"/>
  <c r="AO38" i="1" s="1"/>
  <c r="AP38" i="1" l="1"/>
  <c r="N39" i="1"/>
  <c r="M39" i="1" s="1"/>
  <c r="K39" i="1" s="1"/>
  <c r="AA38" i="1"/>
  <c r="AF38" i="1"/>
  <c r="AM38" i="1"/>
  <c r="P39" i="1" l="1"/>
  <c r="AJ39" i="1" s="1"/>
  <c r="O39" i="1"/>
  <c r="R38" i="1"/>
  <c r="S38" i="1" s="1"/>
  <c r="X39" i="1"/>
  <c r="AD39" i="1"/>
  <c r="Z39" i="1" l="1"/>
  <c r="AA39" i="1" s="1"/>
  <c r="AB39" i="1"/>
  <c r="AL39" i="1"/>
  <c r="AG39" i="1"/>
  <c r="AH39" i="1"/>
  <c r="AC39" i="1"/>
  <c r="N40" i="1"/>
  <c r="M40" i="1" s="1"/>
  <c r="K40" i="1" s="1"/>
  <c r="AE39" i="1" l="1"/>
  <c r="AO39" i="1" s="1"/>
  <c r="AI39" i="1"/>
  <c r="AK39" i="1" s="1"/>
  <c r="R39" i="1"/>
  <c r="S39" i="1" s="1"/>
  <c r="O40" i="1"/>
  <c r="P40" i="1"/>
  <c r="AD40" i="1"/>
  <c r="AP39" i="1" l="1"/>
  <c r="AM39" i="1"/>
  <c r="AF39" i="1"/>
  <c r="AL40" i="1"/>
  <c r="AB40" i="1"/>
  <c r="AJ40" i="1"/>
  <c r="AG40" i="1"/>
  <c r="AH40" i="1"/>
  <c r="AC40" i="1"/>
  <c r="AE40" i="1" l="1"/>
  <c r="AO40" i="1" s="1"/>
  <c r="AI40" i="1"/>
  <c r="AK40" i="1" s="1"/>
  <c r="X40" i="1"/>
  <c r="Z40" i="1" s="1"/>
  <c r="AF40" i="1" l="1"/>
  <c r="AP40" i="1"/>
  <c r="AM40" i="1"/>
  <c r="N41" i="1"/>
  <c r="O41" i="1" s="1"/>
  <c r="AA40" i="1"/>
  <c r="AL41" i="1" l="1"/>
  <c r="M41" i="1"/>
  <c r="K41" i="1" s="1"/>
  <c r="R40" i="1"/>
  <c r="S40" i="1" s="1"/>
  <c r="AG41" i="1" l="1"/>
  <c r="AD41" i="1"/>
  <c r="P41" i="1"/>
  <c r="AJ41" i="1" s="1"/>
  <c r="AB41" i="1" l="1"/>
  <c r="AH41" i="1"/>
  <c r="AI41" i="1" s="1"/>
  <c r="AK41" i="1" s="1"/>
  <c r="AC41" i="1"/>
  <c r="X41" i="1"/>
  <c r="Z41" i="1" l="1"/>
  <c r="AA41" i="1" s="1"/>
  <c r="AE41" i="1"/>
  <c r="AO41" i="1" s="1"/>
  <c r="N42" i="1"/>
  <c r="AP41" i="1" l="1"/>
  <c r="AM41" i="1"/>
  <c r="AF41" i="1"/>
  <c r="R41" i="1"/>
  <c r="S41" i="1" s="1"/>
  <c r="M42" i="1"/>
  <c r="K42" i="1" s="1"/>
  <c r="O42" i="1"/>
  <c r="P42" i="1" l="1"/>
  <c r="AL42" i="1"/>
  <c r="AD42" i="1"/>
  <c r="AG42" i="1"/>
  <c r="AB42" i="1" l="1"/>
  <c r="AJ42" i="1"/>
  <c r="X42" i="1"/>
  <c r="AH42" i="1"/>
  <c r="AI42" i="1" s="1"/>
  <c r="AK42" i="1" s="1"/>
  <c r="Z42" i="1" l="1"/>
  <c r="AA42" i="1" s="1"/>
  <c r="AC42" i="1"/>
  <c r="AE42" i="1" s="1"/>
  <c r="AO42" i="1" s="1"/>
  <c r="N43" i="1"/>
  <c r="AP42" i="1" l="1"/>
  <c r="R42" i="1"/>
  <c r="S42" i="1" s="1"/>
  <c r="AF42" i="1"/>
  <c r="AM42" i="1"/>
  <c r="M43" i="1"/>
  <c r="O43" i="1"/>
  <c r="AL43" i="1" l="1"/>
  <c r="P43" i="1"/>
  <c r="AJ43" i="1" s="1"/>
  <c r="K43" i="1"/>
  <c r="AD43" i="1" l="1"/>
  <c r="AG43" i="1"/>
  <c r="AH43" i="1"/>
  <c r="AB43" i="1"/>
  <c r="AI43" i="1" l="1"/>
  <c r="AK43" i="1" s="1"/>
  <c r="X43" i="1"/>
  <c r="AC43" i="1"/>
  <c r="AE43" i="1" s="1"/>
  <c r="AO43" i="1" s="1"/>
  <c r="Z43" i="1" l="1"/>
  <c r="AA43" i="1" s="1"/>
  <c r="AP43" i="1"/>
  <c r="AF43" i="1"/>
  <c r="AM43" i="1"/>
  <c r="N44" i="1"/>
  <c r="R43" i="1" l="1"/>
  <c r="S43" i="1" s="1"/>
  <c r="M44" i="1"/>
  <c r="O44" i="1"/>
  <c r="AL44" i="1" l="1"/>
  <c r="P44" i="1"/>
  <c r="AJ44" i="1" s="1"/>
  <c r="K44" i="1"/>
  <c r="X44" i="1" l="1"/>
  <c r="AD44" i="1"/>
  <c r="AG44" i="1"/>
  <c r="AH44" i="1"/>
  <c r="AB44" i="1"/>
  <c r="Z44" i="1" l="1"/>
  <c r="AA44" i="1" s="1"/>
  <c r="AC44" i="1"/>
  <c r="AE44" i="1" s="1"/>
  <c r="AO44" i="1" s="1"/>
  <c r="N45" i="1"/>
  <c r="M45" i="1" s="1"/>
  <c r="AI44" i="1"/>
  <c r="AK44" i="1" s="1"/>
  <c r="AP44" i="1" l="1"/>
  <c r="R44" i="1"/>
  <c r="S44" i="1" s="1"/>
  <c r="AF44" i="1"/>
  <c r="AM44" i="1"/>
  <c r="O45" i="1"/>
  <c r="P45" i="1"/>
  <c r="AJ45" i="1" s="1"/>
  <c r="K45" i="1"/>
  <c r="AL45" i="1" l="1"/>
  <c r="AH45" i="1"/>
  <c r="AB45" i="1"/>
  <c r="AG45" i="1"/>
  <c r="AD45" i="1"/>
  <c r="AI45" i="1" l="1"/>
  <c r="AK45" i="1" s="1"/>
  <c r="AC45" i="1"/>
  <c r="AE45" i="1" s="1"/>
  <c r="AO45" i="1" s="1"/>
  <c r="X45" i="1"/>
  <c r="Z45" i="1" l="1"/>
  <c r="AA45" i="1" s="1"/>
  <c r="AP45" i="1"/>
  <c r="AF45" i="1"/>
  <c r="AM45" i="1"/>
  <c r="N46" i="1"/>
  <c r="R45" i="1" l="1"/>
  <c r="S45" i="1" s="1"/>
  <c r="M46" i="1"/>
  <c r="K46" i="1" s="1"/>
  <c r="O46" i="1"/>
  <c r="P46" i="1" l="1"/>
  <c r="AL46" i="1"/>
  <c r="AD46" i="1"/>
  <c r="AG46" i="1"/>
  <c r="AH46" i="1" l="1"/>
  <c r="AI46" i="1" s="1"/>
  <c r="AK46" i="1" s="1"/>
  <c r="AJ46" i="1"/>
  <c r="AB46" i="1"/>
  <c r="X46" i="1"/>
  <c r="Z46" i="1" l="1"/>
  <c r="AA46" i="1" s="1"/>
  <c r="AC46" i="1"/>
  <c r="AE46" i="1" s="1"/>
  <c r="AO46" i="1" s="1"/>
  <c r="N47" i="1"/>
  <c r="AP46" i="1" l="1"/>
  <c r="R46" i="1"/>
  <c r="S46" i="1" s="1"/>
  <c r="AF46" i="1"/>
  <c r="AM46" i="1"/>
  <c r="M47" i="1"/>
  <c r="O47" i="1"/>
  <c r="AL47" i="1" l="1"/>
  <c r="P47" i="1"/>
  <c r="AJ47" i="1" s="1"/>
  <c r="K47" i="1"/>
  <c r="AD47" i="1" l="1"/>
  <c r="AG47" i="1"/>
  <c r="AH47" i="1"/>
  <c r="AB47" i="1"/>
  <c r="AI47" i="1" l="1"/>
  <c r="AK47" i="1" s="1"/>
  <c r="AC47" i="1"/>
  <c r="AE47" i="1" s="1"/>
  <c r="AO47" i="1" s="1"/>
  <c r="X47" i="1"/>
  <c r="Z47" i="1" l="1"/>
  <c r="AA47" i="1" s="1"/>
  <c r="AP47" i="1"/>
  <c r="AF47" i="1"/>
  <c r="AM47" i="1"/>
  <c r="N48" i="1"/>
  <c r="R47" i="1" l="1"/>
  <c r="S47" i="1" s="1"/>
  <c r="O48" i="1"/>
  <c r="M48" i="1"/>
  <c r="K48" i="1" s="1"/>
  <c r="AL48" i="1" l="1"/>
  <c r="P48" i="1"/>
  <c r="AJ48" i="1" s="1"/>
  <c r="AD48" i="1"/>
  <c r="AG48" i="1"/>
  <c r="AB48" i="1" l="1"/>
  <c r="AH48" i="1"/>
  <c r="AI48" i="1" s="1"/>
  <c r="AK48" i="1" s="1"/>
  <c r="X48" i="1" l="1"/>
  <c r="AC48" i="1"/>
  <c r="AE48" i="1" s="1"/>
  <c r="AO48" i="1" s="1"/>
  <c r="Z48" i="1" l="1"/>
  <c r="AA48" i="1" s="1"/>
  <c r="AP48" i="1"/>
  <c r="AF48" i="1"/>
  <c r="AM48" i="1"/>
  <c r="N49" i="1"/>
  <c r="R48" i="1" l="1"/>
  <c r="S48" i="1" s="1"/>
  <c r="O49" i="1"/>
  <c r="M49" i="1"/>
  <c r="P49" i="1" l="1"/>
  <c r="AJ49" i="1" s="1"/>
  <c r="K49" i="1"/>
  <c r="AL49" i="1"/>
  <c r="AC49" i="1" l="1"/>
  <c r="AD49" i="1"/>
  <c r="AG49" i="1"/>
  <c r="AH49" i="1"/>
  <c r="AB49" i="1"/>
  <c r="X49" i="1" l="1"/>
  <c r="Z49" i="1" s="1"/>
  <c r="AI49" i="1"/>
  <c r="AK49" i="1" s="1"/>
  <c r="AE49" i="1"/>
  <c r="AO49" i="1" s="1"/>
  <c r="AP49" i="1" l="1"/>
  <c r="AA49" i="1"/>
  <c r="R49" i="1"/>
  <c r="S49" i="1" s="1"/>
  <c r="AF49" i="1"/>
  <c r="AM49" i="1"/>
  <c r="N50" i="1"/>
  <c r="M50" i="1" s="1"/>
  <c r="K50" i="1" s="1"/>
  <c r="AD50" i="1" l="1"/>
  <c r="O50" i="1"/>
  <c r="P50" i="1"/>
  <c r="AL50" i="1" l="1"/>
  <c r="AB50" i="1"/>
  <c r="AJ50" i="1"/>
  <c r="AG50" i="1"/>
  <c r="AC50" i="1"/>
  <c r="AH50" i="1"/>
  <c r="AE50" i="1" l="1"/>
  <c r="AO50" i="1" s="1"/>
  <c r="AI50" i="1"/>
  <c r="AK50" i="1" s="1"/>
  <c r="X50" i="1"/>
  <c r="Z50" i="1" s="1"/>
  <c r="AF50" i="1" l="1"/>
  <c r="AP50" i="1"/>
  <c r="AM50" i="1"/>
  <c r="AA50" i="1"/>
  <c r="AA51" i="1" s="1"/>
  <c r="R50" i="1"/>
  <c r="S50" i="1" s="1"/>
  <c r="S51" i="1" s="1"/>
  <c r="S5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tc={06EAE5F7-506B-4565-8AAF-EFE1EEE1F0C2}</author>
    <author>tc={212648C3-82BF-430C-9F1F-8185FE446CE7}</author>
    <author>tc={A32986EE-A715-4D4F-96C8-33372D85F191}</author>
    <author>tc={C0F2D8B7-CA15-46C4-92ED-DC3E951125BB}</author>
    <author>tc={E390CC62-5E46-4AC4-B556-00E24DEA6F1F}</author>
    <author>tc={47F7972B-84D0-43EB-A62E-7118F0ED42A8}</author>
    <author>tc={BE28AB43-24CC-4956-95BC-0F22954FF2E8}</author>
    <author>tc={488FD31C-3E75-4C04-863B-610FFF11627A}</author>
    <author>tc={5D381A2D-C121-4748-BCF9-49EC183931BD}</author>
    <author>tc={A3E30F7A-0041-4EB4-BC02-CC0AE1DEF474}</author>
    <author>tc={9D3D6FA6-EEB6-4C6F-9056-AED248043D86}</author>
    <author>tc={71E4F16C-63F9-4753-B4B9-3E30F83227FC}</author>
    <author>tc={91ED4124-6B3E-4D6C-987E-5AFF717E5DD0}</author>
    <author>tc={25B5A310-F075-441A-B300-1E2DE1CECFA4}</author>
    <author>tc={54156316-0D95-4862-8FFA-03257F83D3E2}</author>
    <author>tc={9D98AD40-50C5-40DE-AEBE-54EDE0E7FC6C}</author>
    <author>tc={FD96E0E0-675B-420D-A93A-8383BED4AB50}</author>
    <author>tc={1E9F099E-400C-41C1-9775-7255C0B0F990}</author>
    <author>tc={39A24B21-741B-459A-A0F2-B06D467598ED}</author>
    <author>tc={DF024810-B7C8-48D7-BB1A-CC3A62F4A21C}</author>
    <author>tc={4F563C28-E180-484F-8CC8-5D9E632FAA72}</author>
    <author>tc={21D182C1-65AA-40F3-830D-7FDB787BD8F1}</author>
    <author>tc={A9CFB250-1062-4B37-A25D-64324EECED98}</author>
    <author>tc={36403C8F-A3EB-4949-9274-BC03D3DE9821}</author>
    <author>tc={68695D20-31F1-46E5-BCA7-4DE7DB8750A9}</author>
    <author>tc={849D766E-8DE9-42E9-AD0D-385F99429DC4}</author>
    <author>tc={20A2E409-B51B-4DB4-A32C-35BF7AE541F8}</author>
    <author>tc={40ABC0E3-112B-4020-BD15-B8C034F301AA}</author>
    <author>tc={044E4EA6-4A62-43C7-B09E-D3FC7CFBC40A}</author>
    <author>tc={BAD252A7-2EDD-4011-AD05-FADBBCB47409}</author>
    <author>tc={D131F8E9-6E58-4150-9FD1-13BC75721A5E}</author>
    <author>tc={CDE836D4-C952-494E-9291-323ADBEEE348}</author>
    <author>tc={FB3C09BA-71F6-46CF-9924-61A134C1B541}</author>
    <author>tc={9F3FB98B-430B-4024-B639-8957F71CBFD2}</author>
  </authors>
  <commentList>
    <comment ref="G2" authorId="0" shapeId="0" xr:uid="{06EAE5F7-506B-4565-8AAF-EFE1EEE1F0C2}">
      <text>
        <t>[Threaded comment]
Your version of Excel allows you to read this threaded comment; however, any edits to it will get removed if the file is opened in a newer version of Excel. Learn more: https://go.microsoft.com/fwlink/?linkid=870924
Comment:
    TFP: Ac times the Gross Shock from 1 to 1.025</t>
      </text>
    </comment>
    <comment ref="L2" authorId="1" shapeId="0" xr:uid="{212648C3-82BF-430C-9F1F-8185FE446CE7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Adjustment Costs</t>
      </text>
    </comment>
    <comment ref="M2" authorId="2" shapeId="0" xr:uid="{A32986EE-A715-4D4F-96C8-33372D85F191}">
      <text>
        <t>[Threaded comment]
Your version of Excel allows you to read this threaded comment; however, any edits to it will get removed if the file is opened in a newer version of Excel. Learn more: https://go.microsoft.com/fwlink/?linkid=870924
Comment:
    Auxiliary Variable for Calculating MPK and MPL</t>
      </text>
    </comment>
    <comment ref="O2" authorId="3" shapeId="0" xr:uid="{C0F2D8B7-CA15-46C4-92ED-DC3E951125BB}">
      <text>
        <t>[Threaded comment]
Your version of Excel allows you to read this threaded comment; however, any edits to it will get removed if the file is opened in a newer version of Excel. Learn more: https://go.microsoft.com/fwlink/?linkid=870924
Comment:
    GDP Equation</t>
      </text>
    </comment>
    <comment ref="P2" authorId="4" shapeId="0" xr:uid="{E390CC62-5E46-4AC4-B556-00E24DEA6F1F}">
      <text>
        <t>[Threaded comment]
Your version of Excel allows you to read this threaded comment; however, any edits to it will get removed if the file is opened in a newer version of Excel. Learn more: https://go.microsoft.com/fwlink/?linkid=870924
Comment:
    Marginal Product of labor without taxes</t>
      </text>
    </comment>
    <comment ref="Q2" authorId="5" shapeId="0" xr:uid="{47F7972B-84D0-43EB-A62E-7118F0ED42A8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Adjustment cost derivative with respect to Capital</t>
      </text>
    </comment>
    <comment ref="W2" authorId="6" shapeId="0" xr:uid="{BE28AB43-24CC-4956-95BC-0F22954FF2E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Consumption from Budget constraint
</t>
      </text>
    </comment>
    <comment ref="X2" authorId="7" shapeId="0" xr:uid="{488FD31C-3E75-4C04-863B-610FFF11627A}">
      <text>
        <t>[Threaded comment]
Your version of Excel allows you to read this threaded comment; however, any edits to it will get removed if the file is opened in a newer version of Excel. Learn more: https://go.microsoft.com/fwlink/?linkid=870924
Comment:
    Marginal utility of Income</t>
      </text>
    </comment>
    <comment ref="J3" authorId="8" shapeId="0" xr:uid="{5D381A2D-C121-4748-BCF9-49EC183931BD}">
      <text>
        <t>[Threaded comment]
Your version of Excel allows you to read this threaded comment; however, any edits to it will get removed if the file is opened in a newer version of Excel. Learn more: https://go.microsoft.com/fwlink/?linkid=870924
Comment:
    Investment equation as function of Q</t>
      </text>
    </comment>
    <comment ref="R3" authorId="9" shapeId="0" xr:uid="{A3E30F7A-0041-4EB4-BC02-CC0AE1DEF474}">
      <text>
        <t>[Threaded comment]
Your version of Excel allows you to read this threaded comment; however, any edits to it will get removed if the file is opened in a newer version of Excel. Learn more: https://go.microsoft.com/fwlink/?linkid=870924
Comment:
    Euler equation for Q : should be zero at optimal path</t>
      </text>
    </comment>
    <comment ref="S3" authorId="10" shapeId="0" xr:uid="{9D3D6FA6-EEB6-4C6F-9056-AED248043D86}">
      <text>
        <t>[Threaded comment]
Your version of Excel allows you to read this threaded comment; however, any edits to it will get removed if the file is opened in a newer version of Excel. Learn more: https://go.microsoft.com/fwlink/?linkid=870924
Comment:
    Euler squared, to be minimized at zero</t>
      </text>
    </comment>
    <comment ref="Y3" authorId="11" shapeId="0" xr:uid="{71E4F16C-63F9-4753-B4B9-3E30F83227FC}">
      <text>
        <t>[Threaded comment]
Your version of Excel allows you to read this threaded comment; however, any edits to it will get removed if the file is opened in a newer version of Excel. Learn more: https://go.microsoft.com/fwlink/?linkid=870924
Comment:
    Stochastic Discount Rate</t>
      </text>
    </comment>
    <comment ref="B12" authorId="12" shapeId="0" xr:uid="{91ED4124-6B3E-4D6C-987E-5AFF717E5DD0}">
      <text>
        <t>[Threaded comment]
Your version of Excel allows you to read this threaded comment; however, any edits to it will get removed if the file is opened in a newer version of Excel. Learn more: https://go.microsoft.com/fwlink/?linkid=870924
Comment:
    Coefficient of Capital in Production</t>
      </text>
    </comment>
    <comment ref="B13" authorId="13" shapeId="0" xr:uid="{25B5A310-F075-441A-B300-1E2DE1CECFA4}">
      <text>
        <t>[Threaded comment]
Your version of Excel allows you to read this threaded comment; however, any edits to it will get removed if the file is opened in a newer version of Excel. Learn more: https://go.microsoft.com/fwlink/?linkid=870924
Comment:
    Depreciation</t>
      </text>
    </comment>
    <comment ref="B14" authorId="14" shapeId="0" xr:uid="{54156316-0D95-4862-8FFA-03257F83D3E2}">
      <text>
        <t>[Threaded comment]
Your version of Excel allows you to read this threaded comment; however, any edits to it will get removed if the file is opened in a newer version of Excel. Learn more: https://go.microsoft.com/fwlink/?linkid=870924
Comment:
    Coefficient of Adjustment Costs</t>
      </text>
    </comment>
    <comment ref="B17" authorId="15" shapeId="0" xr:uid="{9D98AD40-50C5-40DE-AEBE-54EDE0E7FC6C}">
      <text>
        <t>[Threaded comment]
Your version of Excel allows you to read this threaded comment; however, any edits to it will get removed if the file is opened in a newer version of Excel. Learn more: https://go.microsoft.com/fwlink/?linkid=870924
Comment:
    Steady State interest rate (MPK net of taxes less depreciation)</t>
      </text>
    </comment>
    <comment ref="B18" authorId="16" shapeId="0" xr:uid="{FD96E0E0-675B-420D-A93A-8383BED4AB50}">
      <text>
        <t>[Threaded comment]
Your version of Excel allows you to read this threaded comment; however, any edits to it will get removed if the file is opened in a newer version of Excel. Learn more: https://go.microsoft.com/fwlink/?linkid=870924
Comment:
    Steady state discount factor</t>
      </text>
    </comment>
    <comment ref="B20" authorId="17" shapeId="0" xr:uid="{1E9F099E-400C-41C1-9775-7255C0B0F990}">
      <text>
        <t>[Threaded comment]
Your version of Excel allows you to read this threaded comment; however, any edits to it will get removed if the file is opened in a newer version of Excel. Learn more: https://go.microsoft.com/fwlink/?linkid=870924
Comment:
    Steady state q</t>
      </text>
    </comment>
    <comment ref="B21" authorId="18" shapeId="0" xr:uid="{39A24B21-741B-459A-A0F2-B06D467598ED}">
      <text>
        <t>[Threaded comment]
Your version of Excel allows you to read this threaded comment; however, any edits to it will get removed if the file is opened in a newer version of Excel. Learn more: https://go.microsoft.com/fwlink/?linkid=870924
Comment:
    Steady state capital stock</t>
      </text>
    </comment>
    <comment ref="B22" authorId="19" shapeId="0" xr:uid="{DF024810-B7C8-48D7-BB1A-CC3A62F4A21C}">
      <text>
        <t>[Threaded comment]
Your version of Excel allows you to read this threaded comment; however, any edits to it will get removed if the file is opened in a newer version of Excel. Learn more: https://go.microsoft.com/fwlink/?linkid=870924
Comment:
    Steady state labor</t>
      </text>
    </comment>
    <comment ref="B31" authorId="20" shapeId="0" xr:uid="{4F563C28-E180-484F-8CC8-5D9E632FAA72}">
      <text>
        <t>[Threaded comment]
Your version of Excel allows you to read this threaded comment; however, any edits to it will get removed if the file is opened in a newer version of Excel. Learn more: https://go.microsoft.com/fwlink/?linkid=870924
Comment:
    CES Coefficient for Elasticity of Substitution</t>
      </text>
    </comment>
    <comment ref="B34" authorId="21" shapeId="0" xr:uid="{21D182C1-65AA-40F3-830D-7FDB787BD8F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Constant term so that y=1</t>
      </text>
    </comment>
    <comment ref="B35" authorId="22" shapeId="0" xr:uid="{A9CFB250-1062-4B37-A25D-64324EECED98}">
      <text>
        <t>[Threaded comment]
Your version of Excel allows you to read this threaded comment; however, any edits to it will get removed if the file is opened in a newer version of Excel. Learn more: https://go.microsoft.com/fwlink/?linkid=870924
Comment:
    Auxiliary Variable for Steady State</t>
      </text>
    </comment>
    <comment ref="B36" authorId="23" shapeId="0" xr:uid="{36403C8F-A3EB-4949-9274-BC03D3DE9821}">
      <text>
        <t>[Threaded comment]
Your version of Excel allows you to read this threaded comment; however, any edits to it will get removed if the file is opened in a newer version of Excel. Learn more: https://go.microsoft.com/fwlink/?linkid=870924
Comment:
    CRRA Coefficient</t>
      </text>
    </comment>
    <comment ref="B37" authorId="24" shapeId="0" xr:uid="{68695D20-31F1-46E5-BCA7-4DE7DB8750A9}">
      <text>
        <t>[Threaded comment]
Your version of Excel allows you to read this threaded comment; however, any edits to it will get removed if the file is opened in a newer version of Excel. Learn more: https://go.microsoft.com/fwlink/?linkid=870924
Comment:
    Frisch Elasticity of Labor Supply</t>
      </text>
    </comment>
    <comment ref="B39" authorId="25" shapeId="0" xr:uid="{849D766E-8DE9-42E9-AD0D-385F99429D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Steady State Consumption</t>
      </text>
    </comment>
    <comment ref="B42" authorId="26" shapeId="0" xr:uid="{20A2E409-B51B-4DB4-A32C-35BF7AE541F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Consumption tax rate</t>
      </text>
    </comment>
    <comment ref="B43" authorId="27" shapeId="0" xr:uid="{40ABC0E3-112B-4020-BD15-B8C034F301AA}">
      <text>
        <t>[Threaded comment]
Your version of Excel allows you to read this threaded comment; however, any edits to it will get removed if the file is opened in a newer version of Excel. Learn more: https://go.microsoft.com/fwlink/?linkid=870924
Comment:
    Labor income tax rate</t>
      </text>
    </comment>
    <comment ref="B44" authorId="28" shapeId="0" xr:uid="{044E4EA6-4A62-43C7-B09E-D3FC7CFBC40A}">
      <text>
        <t>[Threaded comment]
Your version of Excel allows you to read this threaded comment; however, any edits to it will get removed if the file is opened in a newer version of Excel. Learn more: https://go.microsoft.com/fwlink/?linkid=870924
Comment:
    Capital income tax rate</t>
      </text>
    </comment>
    <comment ref="B46" authorId="29" shapeId="0" xr:uid="{BAD252A7-2EDD-4011-AD05-FADBBCB47409}">
      <text>
        <t>[Threaded comment]
Your version of Excel allows you to read this threaded comment; however, any edits to it will get removed if the file is opened in a newer version of Excel. Learn more: https://go.microsoft.com/fwlink/?linkid=870924
Comment:
    Steady state lambda (marginal utility of income</t>
      </text>
    </comment>
    <comment ref="B47" authorId="30" shapeId="0" xr:uid="{D131F8E9-6E58-4150-9FD1-13BC75721A5E}">
      <text>
        <t>[Threaded comment]
Your version of Excel allows you to read this threaded comment; however, any edits to it will get removed if the file is opened in a newer version of Excel. Learn more: https://go.microsoft.com/fwlink/?linkid=870924
Comment:
    Steady state marginal prod of capital (gross of taxes)</t>
      </text>
    </comment>
    <comment ref="B48" authorId="31" shapeId="0" xr:uid="{CDE836D4-C952-494E-9291-323ADBEEE348}">
      <text>
        <t>[Threaded comment]
Your version of Excel allows you to read this threaded comment; however, any edits to it will get removed if the file is opened in a newer version of Excel. Learn more: https://go.microsoft.com/fwlink/?linkid=870924
Comment:
    Steady state marginal product of labor without taxes</t>
      </text>
    </comment>
    <comment ref="B49" authorId="32" shapeId="0" xr:uid="{FB3C09BA-71F6-46CF-9924-61A134C1B5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Disutility of Labor
</t>
      </text>
    </comment>
    <comment ref="B53" authorId="33" shapeId="0" xr:uid="{9F3FB98B-430B-4024-B639-8957F71CBFD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Constant returns to scale property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<sst xmlns="http://schemas.openxmlformats.org/spreadsheetml/2006/main" count="79" uniqueCount="77">
  <si>
    <t>Date</t>
  </si>
  <si>
    <t>TFP</t>
  </si>
  <si>
    <t>q</t>
  </si>
  <si>
    <t>k</t>
  </si>
  <si>
    <t>i</t>
  </si>
  <si>
    <t>Marg Prod K</t>
  </si>
  <si>
    <t>AdjCosts</t>
  </si>
  <si>
    <t xml:space="preserve">yhat </t>
  </si>
  <si>
    <t>L</t>
  </si>
  <si>
    <t>Y</t>
  </si>
  <si>
    <t>W</t>
  </si>
  <si>
    <t>C_k</t>
  </si>
  <si>
    <t>Euler</t>
  </si>
  <si>
    <t>EulerSQ</t>
  </si>
  <si>
    <t>epsilon</t>
  </si>
  <si>
    <t>z</t>
  </si>
  <si>
    <t>Z</t>
  </si>
  <si>
    <t xml:space="preserve"> </t>
  </si>
  <si>
    <t>Parameters</t>
  </si>
  <si>
    <t>Initial</t>
  </si>
  <si>
    <t>alpha</t>
  </si>
  <si>
    <t>Delta</t>
  </si>
  <si>
    <t>Phi</t>
  </si>
  <si>
    <t>Exogenous variables</t>
  </si>
  <si>
    <t>Interest rate</t>
  </si>
  <si>
    <t>Beta</t>
  </si>
  <si>
    <t>Steady state</t>
  </si>
  <si>
    <t>Initial SS</t>
  </si>
  <si>
    <t>qbar</t>
  </si>
  <si>
    <t>kbar</t>
  </si>
  <si>
    <t>lbar</t>
  </si>
  <si>
    <t>ybar</t>
  </si>
  <si>
    <t>rho</t>
  </si>
  <si>
    <t>sigma</t>
  </si>
  <si>
    <t>rhoc1</t>
  </si>
  <si>
    <t>yhat</t>
  </si>
  <si>
    <t>Ac</t>
  </si>
  <si>
    <t>DSGE Model</t>
  </si>
  <si>
    <t>sigma_c</t>
  </si>
  <si>
    <t>phiL</t>
  </si>
  <si>
    <t>Cbar</t>
  </si>
  <si>
    <t>tauc</t>
  </si>
  <si>
    <t>tauw</t>
  </si>
  <si>
    <t>tauk</t>
  </si>
  <si>
    <t>lambdabar</t>
  </si>
  <si>
    <t xml:space="preserve">mpk </t>
  </si>
  <si>
    <t>rhoc</t>
  </si>
  <si>
    <t>mpl</t>
  </si>
  <si>
    <t>gamma</t>
  </si>
  <si>
    <t>LL</t>
  </si>
  <si>
    <t>C</t>
  </si>
  <si>
    <t>lambda</t>
  </si>
  <si>
    <t>cbar</t>
  </si>
  <si>
    <t>junk</t>
  </si>
  <si>
    <t>yhat1</t>
  </si>
  <si>
    <t>Beta1</t>
  </si>
  <si>
    <t>Labor Tax R</t>
  </si>
  <si>
    <t>C Tax Rav</t>
  </si>
  <si>
    <t>K-Tax Rev</t>
  </si>
  <si>
    <t>Total Rev</t>
  </si>
  <si>
    <t>Total Rev/GDP</t>
  </si>
  <si>
    <t>Kshare</t>
  </si>
  <si>
    <t>wshare</t>
  </si>
  <si>
    <t>MargCost</t>
  </si>
  <si>
    <t>Revenue/GDP</t>
  </si>
  <si>
    <t>Marg Cost</t>
  </si>
  <si>
    <t>Inflation</t>
  </si>
  <si>
    <t>GROWTH</t>
  </si>
  <si>
    <t>Growth</t>
  </si>
  <si>
    <t>TaxGrowth</t>
  </si>
  <si>
    <t>WageGrowth</t>
  </si>
  <si>
    <t>EulerC</t>
  </si>
  <si>
    <t>EulerCSQ</t>
  </si>
  <si>
    <t>S-I</t>
  </si>
  <si>
    <t>NFA</t>
  </si>
  <si>
    <t>For Asset Position</t>
  </si>
  <si>
    <t>Int Rate I*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</si>
</sst>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Aptos Narrow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i/>
      <sz val="11"/>
      <color theme="0"/>
      <name val="Times New Roman"/>
      <family val="1"/>
    </font>
    <font>
      <sz val="11"/>
      <color theme="0"/>
      <name val="Times New Roman"/>
      <family val="1"/>
    </font>
    <font>
      <sz val="11"/>
      <name val="Calibri"/>
      <family val="2"/>
    </font>
    <font>
      <b/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0" fontId="2" fillId="0" borderId="0" xfId="0" applyFont="1"/>
    <xf numFmtId="0" fontId="3" fillId="3" borderId="3" xfId="0" applyFont="1" applyFill="1" applyBorder="1"/>
    <xf numFmtId="0" fontId="4" fillId="3" borderId="4" xfId="0" applyFont="1" applyFill="1" applyBorder="1"/>
    <xf numFmtId="0" fontId="3" fillId="3" borderId="4" xfId="0" applyFont="1" applyFill="1" applyBorder="1"/>
    <xf numFmtId="0" fontId="4" fillId="3" borderId="5" xfId="0" applyFont="1" applyFill="1" applyBorder="1"/>
    <xf numFmtId="0" fontId="2" fillId="4" borderId="6" xfId="0" applyFont="1" applyFill="1" applyBorder="1"/>
    <xf numFmtId="0" fontId="2" fillId="4" borderId="0" xfId="0" applyFont="1" applyFill="1"/>
    <xf numFmtId="0" fontId="2" fillId="4" borderId="7" xfId="0" applyFont="1" applyFill="1" applyBorder="1"/>
    <xf numFmtId="0" fontId="2" fillId="4" borderId="8" xfId="0" applyFont="1" applyFill="1" applyBorder="1"/>
    <xf numFmtId="0" fontId="2" fillId="4" borderId="9" xfId="0" applyFont="1" applyFill="1" applyBorder="1"/>
    <xf numFmtId="0" fontId="2" fillId="4" borderId="10" xfId="0" applyFont="1" applyFill="1" applyBorder="1"/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2" fillId="5" borderId="6" xfId="0" applyFont="1" applyFill="1" applyBorder="1"/>
    <xf numFmtId="0" fontId="2" fillId="5" borderId="0" xfId="0" applyFont="1" applyFill="1"/>
    <xf numFmtId="0" fontId="2" fillId="5" borderId="9" xfId="0" applyFont="1" applyFill="1" applyBorder="1"/>
    <xf numFmtId="0" fontId="2" fillId="5" borderId="7" xfId="0" applyFont="1" applyFill="1" applyBorder="1"/>
    <xf numFmtId="0" fontId="2" fillId="5" borderId="8" xfId="0" applyFont="1" applyFill="1" applyBorder="1"/>
    <xf numFmtId="0" fontId="2" fillId="5" borderId="10" xfId="0" applyFont="1" applyFill="1" applyBorder="1"/>
    <xf numFmtId="2" fontId="2" fillId="6" borderId="9" xfId="0" applyNumberFormat="1" applyFont="1" applyFill="1" applyBorder="1" applyAlignment="1">
      <alignment horizontal="right"/>
    </xf>
    <xf numFmtId="0" fontId="3" fillId="3" borderId="5" xfId="0" applyFont="1" applyFill="1" applyBorder="1"/>
    <xf numFmtId="2" fontId="2" fillId="4" borderId="0" xfId="0" applyNumberFormat="1" applyFont="1" applyFill="1" applyAlignment="1">
      <alignment horizontal="right"/>
    </xf>
    <xf numFmtId="2" fontId="2" fillId="4" borderId="9" xfId="0" applyNumberFormat="1" applyFont="1" applyFill="1" applyBorder="1"/>
    <xf numFmtId="2" fontId="2" fillId="6" borderId="10" xfId="0" applyNumberFormat="1" applyFont="1" applyFill="1" applyBorder="1" applyAlignment="1">
      <alignment horizontal="right"/>
    </xf>
    <xf numFmtId="2" fontId="2" fillId="4" borderId="8" xfId="0" applyNumberFormat="1" applyFont="1" applyFill="1" applyBorder="1" applyAlignment="1">
      <alignment horizontal="right"/>
    </xf>
    <xf numFmtId="2" fontId="2" fillId="4" borderId="10" xfId="0" applyNumberFormat="1" applyFont="1" applyFill="1" applyBorder="1" applyAlignment="1">
      <alignment horizontal="right"/>
    </xf>
    <xf numFmtId="164" fontId="2" fillId="4" borderId="0" xfId="0" applyNumberFormat="1" applyFont="1" applyFill="1"/>
    <xf numFmtId="164" fontId="2" fillId="4" borderId="9" xfId="0" applyNumberFormat="1" applyFont="1" applyFill="1" applyBorder="1"/>
    <xf numFmtId="0" fontId="5" fillId="4" borderId="7" xfId="0" applyFont="1" applyFill="1" applyBorder="1"/>
    <xf numFmtId="164" fontId="2" fillId="4" borderId="8" xfId="0" applyNumberFormat="1" applyFont="1" applyFill="1" applyBorder="1"/>
    <xf numFmtId="164" fontId="2" fillId="4" borderId="10" xfId="0" applyNumberFormat="1" applyFont="1" applyFill="1" applyBorder="1"/>
    <xf numFmtId="0" fontId="3" fillId="3" borderId="3" xfId="0" applyFont="1" applyFill="1" applyBorder="1" applyProtection="1">
      <protection locked="0"/>
    </xf>
    <xf numFmtId="0" fontId="4" fillId="3" borderId="5" xfId="0" applyFont="1" applyFill="1" applyBorder="1" applyProtection="1">
      <protection locked="0"/>
    </xf>
    <xf numFmtId="2" fontId="2" fillId="4" borderId="9" xfId="0" applyNumberFormat="1" applyFont="1" applyFill="1" applyBorder="1" applyProtection="1">
      <protection locked="0"/>
    </xf>
    <xf numFmtId="2" fontId="2" fillId="4" borderId="10" xfId="0" applyNumberFormat="1" applyFont="1" applyFill="1" applyBorder="1" applyProtection="1">
      <protection locked="0"/>
    </xf>
    <xf numFmtId="0" fontId="6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int110676\Dropbox\ComputMacro\EXCEL-ICM\RB_Investment_NoTaxes.xlsx" TargetMode="External"/><Relationship Id="rId1" Type="http://schemas.openxmlformats.org/officeDocument/2006/relationships/externalLinkPath" Target="RB_Investment_NoTax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bb-Dougles"/>
      <sheetName val="CES"/>
    </sheetNames>
    <sheetDataSet>
      <sheetData sheetId="0">
        <row r="23">
          <cell r="B23">
            <v>1</v>
          </cell>
        </row>
        <row r="29">
          <cell r="B29">
            <v>0.95</v>
          </cell>
        </row>
        <row r="30">
          <cell r="B30">
            <v>0.05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aul McNelis" id="{05E42E74-EB9D-4208-A81A-2BD9B2220FE8}" userId="26a10bb981c8398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4-11-18T15:18:37.49" personId="{05E42E74-EB9D-4208-A81A-2BD9B2220FE8}" id="{06EAE5F7-506B-4565-8AAF-EFE1EEE1F0C2}">
    <text>TFP: Ac times the Gross Shock from 1 to 1.025</text>
  </threadedComment>
  <threadedComment ref="L2" dT="2024-11-18T15:19:45.04" personId="{05E42E74-EB9D-4208-A81A-2BD9B2220FE8}" id="{212648C3-82BF-430C-9F1F-8185FE446CE7}">
    <text>Adjustment Costs</text>
  </threadedComment>
  <threadedComment ref="M2" dT="2024-11-18T15:20:13.46" personId="{05E42E74-EB9D-4208-A81A-2BD9B2220FE8}" id="{A32986EE-A715-4D4F-96C8-33372D85F191}">
    <text>Auxiliary Variable for Calculating MPK and MPL</text>
  </threadedComment>
  <threadedComment ref="O2" dT="2024-11-18T15:20:28.23" personId="{05E42E74-EB9D-4208-A81A-2BD9B2220FE8}" id="{C0F2D8B7-CA15-46C4-92ED-DC3E951125BB}">
    <text>GDP Equation</text>
  </threadedComment>
  <threadedComment ref="P2" dT="2024-11-18T15:20:55.47" personId="{05E42E74-EB9D-4208-A81A-2BD9B2220FE8}" id="{E390CC62-5E46-4AC4-B556-00E24DEA6F1F}">
    <text>Marginal Product of labor without taxes</text>
  </threadedComment>
  <threadedComment ref="Q2" dT="2024-11-18T15:21:25.77" personId="{05E42E74-EB9D-4208-A81A-2BD9B2220FE8}" id="{47F7972B-84D0-43EB-A62E-7118F0ED42A8}">
    <text>Adjustment cost derivative with respect to Capital</text>
  </threadedComment>
  <threadedComment ref="W2" dT="2024-11-18T15:23:12.10" personId="{05E42E74-EB9D-4208-A81A-2BD9B2220FE8}" id="{BE28AB43-24CC-4956-95BC-0F22954FF2E8}">
    <text xml:space="preserve">Consumption from Budget constraint
</text>
  </threadedComment>
  <threadedComment ref="X2" dT="2024-11-18T15:23:39.20" personId="{05E42E74-EB9D-4208-A81A-2BD9B2220FE8}" id="{488FD31C-3E75-4C04-863B-610FFF11627A}">
    <text>Marginal utility of Income</text>
  </threadedComment>
  <threadedComment ref="J3" dT="2024-11-18T15:19:21.13" personId="{05E42E74-EB9D-4208-A81A-2BD9B2220FE8}" id="{5D381A2D-C121-4748-BCF9-49EC183931BD}">
    <text>Investment equation as function of Q</text>
  </threadedComment>
  <threadedComment ref="R3" dT="2024-11-18T15:22:07.16" personId="{05E42E74-EB9D-4208-A81A-2BD9B2220FE8}" id="{A3E30F7A-0041-4EB4-BC02-CC0AE1DEF474}">
    <text>Euler equation for Q : should be zero at optimal path</text>
  </threadedComment>
  <threadedComment ref="S3" dT="2024-11-18T15:22:41.20" personId="{05E42E74-EB9D-4208-A81A-2BD9B2220FE8}" id="{9D3D6FA6-EEB6-4C6F-9056-AED248043D86}">
    <text>Euler squared, to be minimized at zero</text>
  </threadedComment>
  <threadedComment ref="Y3" dT="2024-11-18T15:24:17.45" personId="{05E42E74-EB9D-4208-A81A-2BD9B2220FE8}" id="{71E4F16C-63F9-4753-B4B9-3E30F83227FC}">
    <text>Stochastic Discount Rate</text>
  </threadedComment>
  <threadedComment ref="B12" dT="2024-11-18T15:02:54.21" personId="{05E42E74-EB9D-4208-A81A-2BD9B2220FE8}" id="{91ED4124-6B3E-4D6C-987E-5AFF717E5DD0}">
    <text>Coefficient of Capital in Production</text>
  </threadedComment>
  <threadedComment ref="B13" dT="2024-11-18T15:03:07.30" personId="{05E42E74-EB9D-4208-A81A-2BD9B2220FE8}" id="{25B5A310-F075-441A-B300-1E2DE1CECFA4}">
    <text>Depreciation</text>
  </threadedComment>
  <threadedComment ref="B14" dT="2024-11-18T15:03:29.08" personId="{05E42E74-EB9D-4208-A81A-2BD9B2220FE8}" id="{54156316-0D95-4862-8FFA-03257F83D3E2}">
    <text>Coefficient of Adjustment Costs</text>
  </threadedComment>
  <threadedComment ref="B17" dT="2024-11-18T15:04:08.18" personId="{05E42E74-EB9D-4208-A81A-2BD9B2220FE8}" id="{9D98AD40-50C5-40DE-AEBE-54EDE0E7FC6C}">
    <text>Steady State interest rate (MPK net of taxes less depreciation)</text>
  </threadedComment>
  <threadedComment ref="B18" dT="2024-11-18T15:04:29.40" personId="{05E42E74-EB9D-4208-A81A-2BD9B2220FE8}" id="{FD96E0E0-675B-420D-A93A-8383BED4AB50}">
    <text>Steady state discount factor</text>
  </threadedComment>
  <threadedComment ref="B20" dT="2024-11-18T15:12:08.76" personId="{05E42E74-EB9D-4208-A81A-2BD9B2220FE8}" id="{1E9F099E-400C-41C1-9775-7255C0B0F990}">
    <text>Steady state q</text>
  </threadedComment>
  <threadedComment ref="B21" dT="2024-11-18T15:12:46.10" personId="{05E42E74-EB9D-4208-A81A-2BD9B2220FE8}" id="{39A24B21-741B-459A-A0F2-B06D467598ED}">
    <text>Steady state capital stock</text>
  </threadedComment>
  <threadedComment ref="B22" dT="2024-11-18T15:13:00.70" personId="{05E42E74-EB9D-4208-A81A-2BD9B2220FE8}" id="{DF024810-B7C8-48D7-BB1A-CC3A62F4A21C}">
    <text>Steady state labor</text>
  </threadedComment>
  <threadedComment ref="B31" dT="2024-11-18T14:46:11.41" personId="{05E42E74-EB9D-4208-A81A-2BD9B2220FE8}" id="{4F563C28-E180-484F-8CC8-5D9E632FAA72}">
    <text>CES Coefficient for Elasticity of Substitution</text>
  </threadedComment>
  <threadedComment ref="B34" dT="2024-11-18T15:13:36.05" personId="{05E42E74-EB9D-4208-A81A-2BD9B2220FE8}" id="{21D182C1-65AA-40F3-830D-7FDB787BD8F1}">
    <text>Constant term so that y=1</text>
  </threadedComment>
  <threadedComment ref="B35" dT="2024-11-18T14:44:55.08" personId="{05E42E74-EB9D-4208-A81A-2BD9B2220FE8}" id="{A9CFB250-1062-4B37-A25D-64324EECED98}">
    <text>Auxiliary Variable for Steady State</text>
  </threadedComment>
  <threadedComment ref="B36" dT="2024-11-18T14:45:16.24" personId="{05E42E74-EB9D-4208-A81A-2BD9B2220FE8}" id="{36403C8F-A3EB-4949-9274-BC03D3DE9821}">
    <text>CRRA Coefficient</text>
  </threadedComment>
  <threadedComment ref="B37" dT="2024-11-18T14:44:05.15" personId="{05E42E74-EB9D-4208-A81A-2BD9B2220FE8}" id="{68695D20-31F1-46E5-BCA7-4DE7DB8750A9}">
    <text>Frisch Elasticity of Labor Supply</text>
  </threadedComment>
  <threadedComment ref="B39" dT="2024-11-18T14:42:59.29" personId="{05E42E74-EB9D-4208-A81A-2BD9B2220FE8}" id="{849D766E-8DE9-42E9-AD0D-385F99429DC4}">
    <text>Steady State Consumption</text>
  </threadedComment>
  <threadedComment ref="B42" dT="2024-11-18T15:13:55.43" personId="{05E42E74-EB9D-4208-A81A-2BD9B2220FE8}" id="{20A2E409-B51B-4DB4-A32C-35BF7AE541F8}">
    <text>Consumption tax rate</text>
  </threadedComment>
  <threadedComment ref="B43" dT="2024-11-18T15:14:11.13" personId="{05E42E74-EB9D-4208-A81A-2BD9B2220FE8}" id="{40ABC0E3-112B-4020-BD15-B8C034F301AA}">
    <text>Labor income tax rate</text>
  </threadedComment>
  <threadedComment ref="B44" dT="2024-11-18T15:14:27.13" personId="{05E42E74-EB9D-4208-A81A-2BD9B2220FE8}" id="{044E4EA6-4A62-43C7-B09E-D3FC7CFBC40A}">
    <text>Capital income tax rate</text>
  </threadedComment>
  <threadedComment ref="B46" dT="2024-11-18T15:14:51.04" personId="{05E42E74-EB9D-4208-A81A-2BD9B2220FE8}" id="{BAD252A7-2EDD-4011-AD05-FADBBCB47409}">
    <text>Steady state lambda (marginal utility of income</text>
  </threadedComment>
  <threadedComment ref="B47" dT="2024-11-18T15:15:24.83" personId="{05E42E74-EB9D-4208-A81A-2BD9B2220FE8}" id="{D131F8E9-6E58-4150-9FD1-13BC75721A5E}">
    <text>Steady state marginal prod of capital (gross of taxes)</text>
  </threadedComment>
  <threadedComment ref="B48" dT="2024-11-18T15:15:48.34" personId="{05E42E74-EB9D-4208-A81A-2BD9B2220FE8}" id="{CDE836D4-C952-494E-9291-323ADBEEE348}">
    <text>Steady state marginal product of labor without taxes</text>
  </threadedComment>
  <threadedComment ref="B49" dT="2024-11-18T14:42:03.72" personId="{05E42E74-EB9D-4208-A81A-2BD9B2220FE8}" id="{FB3C09BA-71F6-46CF-9924-61A134C1B541}">
    <text xml:space="preserve">Disutility of Labor
</text>
  </threadedComment>
  <threadedComment ref="B53" dT="2024-11-18T15:17:15.09" personId="{05E42E74-EB9D-4208-A81A-2BD9B2220FE8}" id="{9F3FB98B-430B-4024-B639-8957F71CBFD2}">
    <text>Constant returns to scale property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3246-20A0-4BA5-832F-0CE6502C9F05}">
  <dimension ref="A1:AQ53"/>
  <sheetViews>
    <sheetView tabSelected="1" topLeftCell="AC1" workbookViewId="0">
      <selection activeCell="AG53" sqref="AG53"/>
    </sheetView>
  </sheetViews>
  <sheetFormatPr defaultColWidth="11.42578125" defaultRowHeight="15" x14ac:dyDescent="0.25"/>
  <cols>
    <col min="1" max="1" width="32.28515625" style="3" customWidth="1"/>
    <col min="2" max="2" width="18.28515625" style="3" customWidth="1"/>
    <col min="3" max="3" width="13.7109375" style="3" bestFit="1" customWidth="1"/>
    <col min="4" max="4" width="11.42578125" style="3" hidden="1" customWidth="1"/>
    <col min="5" max="6" width="11.42578125" style="3"/>
    <col min="16" max="16" width="12.42578125" bestFit="1" customWidth="1"/>
    <col min="19" max="19" width="12.42578125" bestFit="1" customWidth="1"/>
    <col min="26" max="26" width="12" bestFit="1" customWidth="1"/>
    <col min="27" max="27" width="12" customWidth="1"/>
  </cols>
  <sheetData>
    <row r="1" spans="1:42" ht="15.75" thickBot="1" x14ac:dyDescent="0.3">
      <c r="A1" s="1"/>
      <c r="B1" s="2"/>
      <c r="C1" s="3" t="s">
        <v>37</v>
      </c>
      <c r="F1" s="3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50</v>
      </c>
      <c r="X1" t="s">
        <v>51</v>
      </c>
      <c r="Y1" t="s">
        <v>55</v>
      </c>
      <c r="Z1" t="s">
        <v>71</v>
      </c>
      <c r="AA1" t="s">
        <v>72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70</v>
      </c>
      <c r="AK1" t="s">
        <v>66</v>
      </c>
      <c r="AL1" t="s">
        <v>67</v>
      </c>
      <c r="AM1" t="s">
        <v>69</v>
      </c>
      <c r="AN1" t="s">
        <v>76</v>
      </c>
      <c r="AO1" t="s">
        <v>73</v>
      </c>
      <c r="AP1" t="s">
        <v>74</v>
      </c>
    </row>
    <row r="2" spans="1:42" ht="15.75" thickBot="1" x14ac:dyDescent="0.3">
      <c r="A2" s="3" t="s">
        <v>17</v>
      </c>
      <c r="F2" s="3">
        <f>1</f>
        <v>1</v>
      </c>
      <c r="G2">
        <f t="shared" ref="G2:G50" si="0">Ac *V2</f>
        <v>1.3863127604892389</v>
      </c>
      <c r="H2">
        <v>1</v>
      </c>
      <c r="I2">
        <v>3.71</v>
      </c>
      <c r="J2">
        <f>Delta*I2</f>
        <v>0.1484</v>
      </c>
      <c r="K2">
        <f t="shared" ref="K2:K33" si="1">G2*(alpha*I2^(rhoc-1))*M2</f>
        <v>8.0088585194104417E-2</v>
      </c>
      <c r="L2">
        <f t="shared" ref="L2:L33" si="2">(Phi/2)*((J2-Delta*I2)/I2)^2*I2</f>
        <v>0</v>
      </c>
      <c r="M2">
        <f>(alpha* I2^rhoc + (1-alpha)*N2^rhoc)^(1/rhoc-1)</f>
        <v>0.69815629325111683</v>
      </c>
      <c r="N2">
        <v>0.33</v>
      </c>
      <c r="O2">
        <f>Ac*(alpha* kbar^rhoc + (1-alpha)*lbar^rhoc)^(1/rhoc)</f>
        <v>0.99999999999999989</v>
      </c>
      <c r="P2">
        <f>G2*(1-alpha)*N2^(rhoc-1)*M2</f>
        <v>2.1299131785753715</v>
      </c>
      <c r="Q2">
        <f t="shared" ref="Q2:Q33" si="3">(Phi/2)*((J2-Delta*I2)/I2)^2 - Phi *((J2-Delta*I2)/I2)* (J2/I2)</f>
        <v>0</v>
      </c>
      <c r="T2">
        <v>0</v>
      </c>
      <c r="U2">
        <v>0</v>
      </c>
      <c r="V2">
        <f>EXP(U2)</f>
        <v>1</v>
      </c>
      <c r="W2">
        <f t="shared" ref="W2:W33" si="4">Cbar</f>
        <v>0.57392078646092071</v>
      </c>
      <c r="X2">
        <f t="shared" ref="X2:X33" si="5">W2^(-sigma_c) /(1+tauc)</f>
        <v>2.7599639275902024</v>
      </c>
      <c r="Y2">
        <f>1/(1+0.03)</f>
        <v>0.970873786407767</v>
      </c>
      <c r="AB2">
        <f t="shared" ref="AB2:AB33" si="6">tauw*N2*P2</f>
        <v>0.17571783723246817</v>
      </c>
      <c r="AC2">
        <f t="shared" ref="AC2:AC33" si="7">tauc*W2</f>
        <v>5.7392078646092075E-2</v>
      </c>
      <c r="AD2">
        <f t="shared" ref="AD2:AD33" si="8">tauk*I2*K2</f>
        <v>4.4569297660519105E-2</v>
      </c>
      <c r="AE2">
        <f>AB2+AC2+AD2</f>
        <v>0.27767921353907937</v>
      </c>
      <c r="AF2">
        <f>AE2*O2</f>
        <v>0.27767921353907932</v>
      </c>
      <c r="AG2">
        <f t="shared" ref="AG2:AG33" si="9">(K2-Delta)*(1+tauk) *H2*I2/O2</f>
        <v>0.17103794873064651</v>
      </c>
      <c r="AH2">
        <f>P2*N2/O2</f>
        <v>0.7028713489298728</v>
      </c>
      <c r="AI2">
        <f>M2*(AG2+AH2)</f>
        <v>0.6101252758923551</v>
      </c>
      <c r="AJ2">
        <v>0</v>
      </c>
      <c r="AK2">
        <v>0</v>
      </c>
      <c r="AL2">
        <v>0</v>
      </c>
      <c r="AM2">
        <v>0</v>
      </c>
      <c r="AN2">
        <v>0.03</v>
      </c>
      <c r="AO2">
        <f>(O2-W2)+(AE2-$AE$2)-J2-$AE$2</f>
        <v>0</v>
      </c>
      <c r="AP2">
        <v>0</v>
      </c>
    </row>
    <row r="3" spans="1:42" ht="15.75" thickBot="1" x14ac:dyDescent="0.3">
      <c r="A3" s="4"/>
      <c r="B3" s="5"/>
      <c r="C3" s="6"/>
      <c r="D3" s="5"/>
      <c r="E3" s="5"/>
      <c r="F3" s="7">
        <f>F2+1</f>
        <v>2</v>
      </c>
      <c r="G3">
        <f t="shared" si="0"/>
        <v>1.3863127604892389</v>
      </c>
      <c r="H3">
        <v>1</v>
      </c>
      <c r="I3">
        <f t="shared" ref="I3:I34" si="10">(1-Delta)*I2+J2</f>
        <v>3.71</v>
      </c>
      <c r="J3">
        <f>Delta*I2+ (H3-1)*(I2/Phi)</f>
        <v>0.1484</v>
      </c>
      <c r="K3">
        <f t="shared" si="1"/>
        <v>8.0088585194104417E-2</v>
      </c>
      <c r="L3">
        <f t="shared" si="2"/>
        <v>0</v>
      </c>
      <c r="M3">
        <f t="shared" ref="M3:M33" si="11">(alpha* I3^rhoc + (1-alpha)*N3^rhoc)^(1/rhoc-1)</f>
        <v>0.69815629325111683</v>
      </c>
      <c r="N3">
        <f>lbar</f>
        <v>0.33</v>
      </c>
      <c r="O3">
        <f t="shared" ref="O3:O50" si="12">G3*(alpha* I3^rhoc + (1-alpha)*N3^rhoc)^(1/rhoc)</f>
        <v>0.99999999999999989</v>
      </c>
      <c r="P3">
        <f t="shared" ref="P3:P33" si="13">G3*(1-alpha)*N3^(rhoc-1)*M3</f>
        <v>2.1299131785753715</v>
      </c>
      <c r="Q3">
        <f t="shared" si="3"/>
        <v>0</v>
      </c>
      <c r="R3">
        <f t="shared" ref="R3:R50" si="14">Y3*((1-Delta)*H3 + (K3*(1-tauk))- Q3)-H2</f>
        <v>-1.8686432864186697E-3</v>
      </c>
      <c r="S3">
        <f>R3^2</f>
        <v>3.4918277318775664E-6</v>
      </c>
      <c r="T3">
        <f t="shared" ref="T3:T34" ca="1" si="15">_xlfn.NORM.INV(RAND(),0,sigma)</f>
        <v>5.7585444479604148E-2</v>
      </c>
      <c r="U3">
        <v>0</v>
      </c>
      <c r="V3">
        <f t="shared" ref="V3:V50" si="16">EXP(U3)</f>
        <v>1</v>
      </c>
      <c r="W3">
        <f t="shared" si="4"/>
        <v>0.57392078646092071</v>
      </c>
      <c r="X3">
        <f t="shared" si="5"/>
        <v>2.7599639275902024</v>
      </c>
      <c r="Y3">
        <f t="shared" ref="Y3:Y50" si="17">Beta</f>
        <v>0.970873786407767</v>
      </c>
      <c r="Z3">
        <f t="shared" ref="Z3:Z50" si="18">Y2 * (X3 *(1+K3*(1-tauk)-Delta))-X2</f>
        <v>-5.1573880640494174E-3</v>
      </c>
      <c r="AA3">
        <f>Z3^2</f>
        <v>2.6598651643199397E-5</v>
      </c>
      <c r="AB3">
        <f t="shared" si="6"/>
        <v>0.17571783723246817</v>
      </c>
      <c r="AC3">
        <f t="shared" si="7"/>
        <v>5.7392078646092075E-2</v>
      </c>
      <c r="AD3">
        <f t="shared" si="8"/>
        <v>4.4569297660519105E-2</v>
      </c>
      <c r="AE3">
        <f t="shared" ref="AE3:AE50" si="19">AB3+AC3+AD3</f>
        <v>0.27767921353907937</v>
      </c>
      <c r="AF3">
        <f t="shared" ref="AF3:AF50" si="20">AE3*O3</f>
        <v>0.27767921353907932</v>
      </c>
      <c r="AG3">
        <f t="shared" si="9"/>
        <v>0.17103794873064651</v>
      </c>
      <c r="AH3">
        <f t="shared" ref="AH3:AH50" si="21">P3*N3/O3</f>
        <v>0.7028713489298728</v>
      </c>
      <c r="AI3">
        <f t="shared" ref="AI3:AI50" si="22">M3*(AG3+AH3)</f>
        <v>0.6101252758923551</v>
      </c>
      <c r="AJ3">
        <f>LN(P3)-LN(P2)</f>
        <v>0</v>
      </c>
      <c r="AK3">
        <f>LN(AI3)-LN(AI2)</f>
        <v>0</v>
      </c>
      <c r="AL3">
        <f>LN(O3)-LN(O2)</f>
        <v>0</v>
      </c>
      <c r="AM3">
        <f>LN(AE3)-LN(AE2)</f>
        <v>0</v>
      </c>
      <c r="AN3">
        <v>0.03</v>
      </c>
      <c r="AO3">
        <f t="shared" ref="AO3:AO53" si="23">(O3-W3)+(AE3-$AE$2)-J3-$AE$2</f>
        <v>0</v>
      </c>
      <c r="AP3">
        <f t="shared" ref="AP3:AP50" si="24">(1+Interest)*AP2+AO3</f>
        <v>0</v>
      </c>
    </row>
    <row r="4" spans="1:42" ht="15.75" thickBot="1" x14ac:dyDescent="0.3">
      <c r="A4" s="8"/>
      <c r="B4" s="9"/>
      <c r="C4" s="9"/>
      <c r="D4" s="9"/>
      <c r="E4" s="9"/>
      <c r="F4" s="7">
        <f t="shared" ref="F4:F50" si="25">F3+1</f>
        <v>3</v>
      </c>
      <c r="G4">
        <f t="shared" si="0"/>
        <v>1.3863127604892389</v>
      </c>
      <c r="H4">
        <v>1</v>
      </c>
      <c r="I4">
        <f t="shared" si="10"/>
        <v>3.71</v>
      </c>
      <c r="J4">
        <f t="shared" ref="J4:J34" si="26">Delta*I3+ (H4-1)*(I3/Phi)</f>
        <v>0.1484</v>
      </c>
      <c r="K4">
        <f t="shared" si="1"/>
        <v>8.0088585194104417E-2</v>
      </c>
      <c r="L4">
        <f t="shared" si="2"/>
        <v>0</v>
      </c>
      <c r="M4">
        <f t="shared" si="11"/>
        <v>0.69815629325111683</v>
      </c>
      <c r="N4">
        <f t="shared" ref="N4:N34" si="27">(P3 *(1-tauw)*X3/gamma)^phiLL</f>
        <v>0.33</v>
      </c>
      <c r="O4">
        <f t="shared" si="12"/>
        <v>0.99999999999999989</v>
      </c>
      <c r="P4">
        <f t="shared" si="13"/>
        <v>2.1299131785753715</v>
      </c>
      <c r="Q4">
        <f t="shared" si="3"/>
        <v>0</v>
      </c>
      <c r="R4">
        <f t="shared" si="14"/>
        <v>-1.8686432864186697E-3</v>
      </c>
      <c r="S4">
        <f t="shared" ref="S4:S50" si="28">R4^2</f>
        <v>3.4918277318775664E-6</v>
      </c>
      <c r="T4">
        <f t="shared" ca="1" si="15"/>
        <v>2.1551044670932037E-2</v>
      </c>
      <c r="U4">
        <v>0</v>
      </c>
      <c r="V4">
        <f t="shared" si="16"/>
        <v>1</v>
      </c>
      <c r="W4">
        <f t="shared" si="4"/>
        <v>0.57392078646092071</v>
      </c>
      <c r="X4">
        <f t="shared" si="5"/>
        <v>2.7599639275902024</v>
      </c>
      <c r="Y4">
        <f t="shared" si="17"/>
        <v>0.970873786407767</v>
      </c>
      <c r="Z4">
        <f t="shared" si="18"/>
        <v>-5.1573880640494174E-3</v>
      </c>
      <c r="AA4">
        <f t="shared" ref="AA4:AA50" si="29">Z4^2</f>
        <v>2.6598651643199397E-5</v>
      </c>
      <c r="AB4">
        <f t="shared" si="6"/>
        <v>0.17571783723246817</v>
      </c>
      <c r="AC4">
        <f t="shared" si="7"/>
        <v>5.7392078646092075E-2</v>
      </c>
      <c r="AD4">
        <f t="shared" si="8"/>
        <v>4.4569297660519105E-2</v>
      </c>
      <c r="AE4">
        <f t="shared" si="19"/>
        <v>0.27767921353907937</v>
      </c>
      <c r="AF4">
        <f t="shared" si="20"/>
        <v>0.27767921353907932</v>
      </c>
      <c r="AG4">
        <f t="shared" si="9"/>
        <v>0.17103794873064651</v>
      </c>
      <c r="AH4">
        <f t="shared" si="21"/>
        <v>0.7028713489298728</v>
      </c>
      <c r="AI4">
        <f t="shared" si="22"/>
        <v>0.6101252758923551</v>
      </c>
      <c r="AJ4">
        <f t="shared" ref="AJ4:AJ50" si="30">LN(P4)-LN(P3)</f>
        <v>0</v>
      </c>
      <c r="AK4">
        <f t="shared" ref="AK4:AK50" si="31">LN(AI4)-LN(AI3)</f>
        <v>0</v>
      </c>
      <c r="AL4">
        <f t="shared" ref="AL4:AL50" si="32">LN(O4)-LN(O3)</f>
        <v>0</v>
      </c>
      <c r="AM4">
        <f t="shared" ref="AM4:AM50" si="33">LN(AE4)-LN(AE3)</f>
        <v>0</v>
      </c>
      <c r="AN4">
        <v>0.03</v>
      </c>
      <c r="AO4">
        <f t="shared" si="23"/>
        <v>0</v>
      </c>
      <c r="AP4">
        <f t="shared" si="24"/>
        <v>0</v>
      </c>
    </row>
    <row r="5" spans="1:42" ht="15.75" thickBot="1" x14ac:dyDescent="0.3">
      <c r="A5" s="10"/>
      <c r="B5" s="11"/>
      <c r="C5" s="11"/>
      <c r="D5" s="11"/>
      <c r="E5" s="11"/>
      <c r="F5" s="7">
        <f t="shared" si="25"/>
        <v>4</v>
      </c>
      <c r="G5">
        <f t="shared" si="0"/>
        <v>1.3863127604892389</v>
      </c>
      <c r="H5">
        <v>1</v>
      </c>
      <c r="I5">
        <f t="shared" si="10"/>
        <v>3.71</v>
      </c>
      <c r="J5">
        <f t="shared" si="26"/>
        <v>0.1484</v>
      </c>
      <c r="K5">
        <f t="shared" si="1"/>
        <v>8.0088585194104417E-2</v>
      </c>
      <c r="L5">
        <f t="shared" si="2"/>
        <v>0</v>
      </c>
      <c r="M5">
        <f t="shared" si="11"/>
        <v>0.69815629325111683</v>
      </c>
      <c r="N5">
        <f t="shared" si="27"/>
        <v>0.33</v>
      </c>
      <c r="O5">
        <f t="shared" si="12"/>
        <v>0.99999999999999989</v>
      </c>
      <c r="P5">
        <f t="shared" si="13"/>
        <v>2.1299131785753715</v>
      </c>
      <c r="Q5">
        <f t="shared" si="3"/>
        <v>0</v>
      </c>
      <c r="R5">
        <f t="shared" si="14"/>
        <v>-1.8686432864186697E-3</v>
      </c>
      <c r="S5">
        <f t="shared" si="28"/>
        <v>3.4918277318775664E-6</v>
      </c>
      <c r="T5">
        <f t="shared" ca="1" si="15"/>
        <v>1.6201671818097677E-2</v>
      </c>
      <c r="U5">
        <v>0</v>
      </c>
      <c r="V5">
        <f t="shared" si="16"/>
        <v>1</v>
      </c>
      <c r="W5">
        <f t="shared" si="4"/>
        <v>0.57392078646092071</v>
      </c>
      <c r="X5">
        <f t="shared" si="5"/>
        <v>2.7599639275902024</v>
      </c>
      <c r="Y5">
        <f t="shared" si="17"/>
        <v>0.970873786407767</v>
      </c>
      <c r="Z5">
        <f t="shared" si="18"/>
        <v>-5.1573880640494174E-3</v>
      </c>
      <c r="AA5">
        <f t="shared" si="29"/>
        <v>2.6598651643199397E-5</v>
      </c>
      <c r="AB5">
        <f t="shared" si="6"/>
        <v>0.17571783723246817</v>
      </c>
      <c r="AC5">
        <f t="shared" si="7"/>
        <v>5.7392078646092075E-2</v>
      </c>
      <c r="AD5">
        <f t="shared" si="8"/>
        <v>4.4569297660519105E-2</v>
      </c>
      <c r="AE5">
        <f t="shared" si="19"/>
        <v>0.27767921353907937</v>
      </c>
      <c r="AF5">
        <f t="shared" si="20"/>
        <v>0.27767921353907932</v>
      </c>
      <c r="AG5">
        <f t="shared" si="9"/>
        <v>0.17103794873064651</v>
      </c>
      <c r="AH5">
        <f t="shared" si="21"/>
        <v>0.7028713489298728</v>
      </c>
      <c r="AI5">
        <f t="shared" si="22"/>
        <v>0.6101252758923551</v>
      </c>
      <c r="AJ5">
        <f t="shared" si="30"/>
        <v>0</v>
      </c>
      <c r="AK5">
        <f t="shared" si="31"/>
        <v>0</v>
      </c>
      <c r="AL5">
        <f t="shared" si="32"/>
        <v>0</v>
      </c>
      <c r="AM5">
        <f t="shared" si="33"/>
        <v>0</v>
      </c>
      <c r="AN5">
        <v>0.03</v>
      </c>
      <c r="AO5">
        <f t="shared" si="23"/>
        <v>0</v>
      </c>
      <c r="AP5">
        <f t="shared" si="24"/>
        <v>0</v>
      </c>
    </row>
    <row r="6" spans="1:42" ht="15.75" thickBot="1" x14ac:dyDescent="0.3">
      <c r="F6" s="7">
        <f t="shared" si="25"/>
        <v>5</v>
      </c>
      <c r="G6">
        <f t="shared" si="0"/>
        <v>1.3863127604892389</v>
      </c>
      <c r="H6">
        <v>1</v>
      </c>
      <c r="I6">
        <f t="shared" si="10"/>
        <v>3.71</v>
      </c>
      <c r="J6">
        <f t="shared" si="26"/>
        <v>0.1484</v>
      </c>
      <c r="K6">
        <f t="shared" si="1"/>
        <v>8.0088585194104417E-2</v>
      </c>
      <c r="L6">
        <f t="shared" si="2"/>
        <v>0</v>
      </c>
      <c r="M6">
        <f t="shared" si="11"/>
        <v>0.69815629325111683</v>
      </c>
      <c r="N6">
        <f t="shared" si="27"/>
        <v>0.33</v>
      </c>
      <c r="O6">
        <f t="shared" si="12"/>
        <v>0.99999999999999989</v>
      </c>
      <c r="P6">
        <f t="shared" si="13"/>
        <v>2.1299131785753715</v>
      </c>
      <c r="Q6">
        <f t="shared" si="3"/>
        <v>0</v>
      </c>
      <c r="R6">
        <f t="shared" si="14"/>
        <v>-1.8686432864186697E-3</v>
      </c>
      <c r="S6">
        <f t="shared" si="28"/>
        <v>3.4918277318775664E-6</v>
      </c>
      <c r="T6">
        <f t="shared" ca="1" si="15"/>
        <v>-4.5874292385795282E-2</v>
      </c>
      <c r="U6">
        <v>0</v>
      </c>
      <c r="V6">
        <f t="shared" si="16"/>
        <v>1</v>
      </c>
      <c r="W6">
        <f t="shared" si="4"/>
        <v>0.57392078646092071</v>
      </c>
      <c r="X6">
        <f t="shared" si="5"/>
        <v>2.7599639275902024</v>
      </c>
      <c r="Y6">
        <f t="shared" si="17"/>
        <v>0.970873786407767</v>
      </c>
      <c r="Z6">
        <f t="shared" si="18"/>
        <v>-5.1573880640494174E-3</v>
      </c>
      <c r="AA6">
        <f t="shared" si="29"/>
        <v>2.6598651643199397E-5</v>
      </c>
      <c r="AB6">
        <f t="shared" si="6"/>
        <v>0.17571783723246817</v>
      </c>
      <c r="AC6">
        <f t="shared" si="7"/>
        <v>5.7392078646092075E-2</v>
      </c>
      <c r="AD6">
        <f t="shared" si="8"/>
        <v>4.4569297660519105E-2</v>
      </c>
      <c r="AE6">
        <f t="shared" si="19"/>
        <v>0.27767921353907937</v>
      </c>
      <c r="AF6">
        <f t="shared" si="20"/>
        <v>0.27767921353907932</v>
      </c>
      <c r="AG6">
        <f t="shared" si="9"/>
        <v>0.17103794873064651</v>
      </c>
      <c r="AH6">
        <f t="shared" si="21"/>
        <v>0.7028713489298728</v>
      </c>
      <c r="AI6">
        <f t="shared" si="22"/>
        <v>0.6101252758923551</v>
      </c>
      <c r="AJ6">
        <f t="shared" si="30"/>
        <v>0</v>
      </c>
      <c r="AK6">
        <f t="shared" si="31"/>
        <v>0</v>
      </c>
      <c r="AL6">
        <f t="shared" si="32"/>
        <v>0</v>
      </c>
      <c r="AM6">
        <f t="shared" si="33"/>
        <v>0</v>
      </c>
      <c r="AN6">
        <v>0.03</v>
      </c>
      <c r="AO6">
        <f t="shared" si="23"/>
        <v>0</v>
      </c>
      <c r="AP6">
        <f t="shared" si="24"/>
        <v>0</v>
      </c>
    </row>
    <row r="7" spans="1:42" ht="15.75" thickBot="1" x14ac:dyDescent="0.3">
      <c r="A7" s="4"/>
      <c r="B7" s="7"/>
      <c r="F7" s="7">
        <f t="shared" si="25"/>
        <v>6</v>
      </c>
      <c r="G7">
        <f t="shared" si="0"/>
        <v>1.3863127604892389</v>
      </c>
      <c r="H7">
        <v>1</v>
      </c>
      <c r="I7">
        <f t="shared" si="10"/>
        <v>3.71</v>
      </c>
      <c r="J7">
        <f t="shared" si="26"/>
        <v>0.1484</v>
      </c>
      <c r="K7">
        <f t="shared" si="1"/>
        <v>8.0088585194104417E-2</v>
      </c>
      <c r="L7">
        <f t="shared" si="2"/>
        <v>0</v>
      </c>
      <c r="M7">
        <f t="shared" si="11"/>
        <v>0.69815629325111683</v>
      </c>
      <c r="N7">
        <f t="shared" si="27"/>
        <v>0.33</v>
      </c>
      <c r="O7">
        <f t="shared" si="12"/>
        <v>0.99999999999999989</v>
      </c>
      <c r="P7">
        <f t="shared" si="13"/>
        <v>2.1299131785753715</v>
      </c>
      <c r="Q7">
        <f t="shared" si="3"/>
        <v>0</v>
      </c>
      <c r="R7">
        <f t="shared" si="14"/>
        <v>-1.8686432864186697E-3</v>
      </c>
      <c r="S7">
        <f t="shared" si="28"/>
        <v>3.4918277318775664E-6</v>
      </c>
      <c r="T7">
        <f t="shared" ca="1" si="15"/>
        <v>-1.0468158985381901E-2</v>
      </c>
      <c r="U7">
        <v>0</v>
      </c>
      <c r="V7">
        <f t="shared" si="16"/>
        <v>1</v>
      </c>
      <c r="W7">
        <f t="shared" si="4"/>
        <v>0.57392078646092071</v>
      </c>
      <c r="X7">
        <f t="shared" si="5"/>
        <v>2.7599639275902024</v>
      </c>
      <c r="Y7">
        <f t="shared" si="17"/>
        <v>0.970873786407767</v>
      </c>
      <c r="Z7">
        <f t="shared" si="18"/>
        <v>-5.1573880640494174E-3</v>
      </c>
      <c r="AA7">
        <f t="shared" si="29"/>
        <v>2.6598651643199397E-5</v>
      </c>
      <c r="AB7">
        <f t="shared" si="6"/>
        <v>0.17571783723246817</v>
      </c>
      <c r="AC7">
        <f t="shared" si="7"/>
        <v>5.7392078646092075E-2</v>
      </c>
      <c r="AD7">
        <f t="shared" si="8"/>
        <v>4.4569297660519105E-2</v>
      </c>
      <c r="AE7">
        <f t="shared" si="19"/>
        <v>0.27767921353907937</v>
      </c>
      <c r="AF7">
        <f t="shared" si="20"/>
        <v>0.27767921353907932</v>
      </c>
      <c r="AG7">
        <f t="shared" si="9"/>
        <v>0.17103794873064651</v>
      </c>
      <c r="AH7">
        <f t="shared" si="21"/>
        <v>0.7028713489298728</v>
      </c>
      <c r="AI7">
        <f t="shared" si="22"/>
        <v>0.6101252758923551</v>
      </c>
      <c r="AJ7">
        <f t="shared" si="30"/>
        <v>0</v>
      </c>
      <c r="AK7">
        <f t="shared" si="31"/>
        <v>0</v>
      </c>
      <c r="AL7">
        <f t="shared" si="32"/>
        <v>0</v>
      </c>
      <c r="AM7">
        <f t="shared" si="33"/>
        <v>0</v>
      </c>
      <c r="AN7">
        <v>0.03</v>
      </c>
      <c r="AO7">
        <f t="shared" si="23"/>
        <v>0</v>
      </c>
      <c r="AP7">
        <f t="shared" si="24"/>
        <v>0</v>
      </c>
    </row>
    <row r="8" spans="1:42" ht="15.75" thickBot="1" x14ac:dyDescent="0.3">
      <c r="A8" s="8"/>
      <c r="B8" s="12"/>
      <c r="F8" s="7">
        <f t="shared" si="25"/>
        <v>7</v>
      </c>
      <c r="G8">
        <f t="shared" si="0"/>
        <v>1.3863127604892389</v>
      </c>
      <c r="H8">
        <v>1</v>
      </c>
      <c r="I8">
        <f t="shared" si="10"/>
        <v>3.71</v>
      </c>
      <c r="J8">
        <f t="shared" si="26"/>
        <v>0.1484</v>
      </c>
      <c r="K8">
        <f t="shared" si="1"/>
        <v>8.0088585194104417E-2</v>
      </c>
      <c r="L8">
        <f t="shared" si="2"/>
        <v>0</v>
      </c>
      <c r="M8">
        <f t="shared" si="11"/>
        <v>0.69815629325111683</v>
      </c>
      <c r="N8">
        <f t="shared" si="27"/>
        <v>0.33</v>
      </c>
      <c r="O8">
        <f t="shared" si="12"/>
        <v>0.99999999999999989</v>
      </c>
      <c r="P8">
        <f t="shared" si="13"/>
        <v>2.1299131785753715</v>
      </c>
      <c r="Q8">
        <f t="shared" si="3"/>
        <v>0</v>
      </c>
      <c r="R8">
        <f t="shared" si="14"/>
        <v>-1.8686432864186697E-3</v>
      </c>
      <c r="S8">
        <f t="shared" si="28"/>
        <v>3.4918277318775664E-6</v>
      </c>
      <c r="T8">
        <f t="shared" ca="1" si="15"/>
        <v>-7.4810935254593482E-3</v>
      </c>
      <c r="U8">
        <v>0</v>
      </c>
      <c r="V8">
        <f t="shared" si="16"/>
        <v>1</v>
      </c>
      <c r="W8">
        <f t="shared" si="4"/>
        <v>0.57392078646092071</v>
      </c>
      <c r="X8">
        <f t="shared" si="5"/>
        <v>2.7599639275902024</v>
      </c>
      <c r="Y8">
        <f t="shared" si="17"/>
        <v>0.970873786407767</v>
      </c>
      <c r="Z8">
        <f t="shared" si="18"/>
        <v>-5.1573880640494174E-3</v>
      </c>
      <c r="AA8">
        <f t="shared" si="29"/>
        <v>2.6598651643199397E-5</v>
      </c>
      <c r="AB8">
        <f t="shared" si="6"/>
        <v>0.17571783723246817</v>
      </c>
      <c r="AC8">
        <f t="shared" si="7"/>
        <v>5.7392078646092075E-2</v>
      </c>
      <c r="AD8">
        <f t="shared" si="8"/>
        <v>4.4569297660519105E-2</v>
      </c>
      <c r="AE8">
        <f t="shared" si="19"/>
        <v>0.27767921353907937</v>
      </c>
      <c r="AF8">
        <f t="shared" si="20"/>
        <v>0.27767921353907932</v>
      </c>
      <c r="AG8">
        <f t="shared" si="9"/>
        <v>0.17103794873064651</v>
      </c>
      <c r="AH8">
        <f t="shared" si="21"/>
        <v>0.7028713489298728</v>
      </c>
      <c r="AI8">
        <f t="shared" si="22"/>
        <v>0.6101252758923551</v>
      </c>
      <c r="AJ8">
        <f t="shared" si="30"/>
        <v>0</v>
      </c>
      <c r="AK8">
        <f t="shared" si="31"/>
        <v>0</v>
      </c>
      <c r="AL8">
        <f t="shared" si="32"/>
        <v>0</v>
      </c>
      <c r="AM8">
        <f t="shared" si="33"/>
        <v>0</v>
      </c>
      <c r="AN8">
        <v>0.03</v>
      </c>
      <c r="AO8">
        <f t="shared" si="23"/>
        <v>0</v>
      </c>
      <c r="AP8">
        <f t="shared" si="24"/>
        <v>0</v>
      </c>
    </row>
    <row r="9" spans="1:42" ht="15.75" thickBot="1" x14ac:dyDescent="0.3">
      <c r="A9" s="10"/>
      <c r="B9" s="13"/>
      <c r="F9" s="7">
        <f t="shared" si="25"/>
        <v>8</v>
      </c>
      <c r="G9">
        <f t="shared" si="0"/>
        <v>1.3863127604892389</v>
      </c>
      <c r="H9">
        <v>1</v>
      </c>
      <c r="I9">
        <f t="shared" si="10"/>
        <v>3.71</v>
      </c>
      <c r="J9">
        <f t="shared" si="26"/>
        <v>0.1484</v>
      </c>
      <c r="K9">
        <f t="shared" si="1"/>
        <v>8.0088585194104417E-2</v>
      </c>
      <c r="L9">
        <f t="shared" si="2"/>
        <v>0</v>
      </c>
      <c r="M9">
        <f t="shared" si="11"/>
        <v>0.69815629325111683</v>
      </c>
      <c r="N9">
        <f t="shared" si="27"/>
        <v>0.33</v>
      </c>
      <c r="O9">
        <f t="shared" si="12"/>
        <v>0.99999999999999989</v>
      </c>
      <c r="P9">
        <f t="shared" si="13"/>
        <v>2.1299131785753715</v>
      </c>
      <c r="Q9">
        <f t="shared" si="3"/>
        <v>0</v>
      </c>
      <c r="R9">
        <f t="shared" si="14"/>
        <v>-1.8686432864186697E-3</v>
      </c>
      <c r="S9">
        <f t="shared" si="28"/>
        <v>3.4918277318775664E-6</v>
      </c>
      <c r="T9">
        <f t="shared" ca="1" si="15"/>
        <v>1.8936194213898819E-2</v>
      </c>
      <c r="U9">
        <v>0</v>
      </c>
      <c r="V9">
        <f t="shared" si="16"/>
        <v>1</v>
      </c>
      <c r="W9">
        <f t="shared" si="4"/>
        <v>0.57392078646092071</v>
      </c>
      <c r="X9">
        <f t="shared" si="5"/>
        <v>2.7599639275902024</v>
      </c>
      <c r="Y9">
        <f t="shared" si="17"/>
        <v>0.970873786407767</v>
      </c>
      <c r="Z9">
        <f t="shared" si="18"/>
        <v>-5.1573880640494174E-3</v>
      </c>
      <c r="AA9">
        <f t="shared" si="29"/>
        <v>2.6598651643199397E-5</v>
      </c>
      <c r="AB9">
        <f t="shared" si="6"/>
        <v>0.17571783723246817</v>
      </c>
      <c r="AC9">
        <f t="shared" si="7"/>
        <v>5.7392078646092075E-2</v>
      </c>
      <c r="AD9">
        <f t="shared" si="8"/>
        <v>4.4569297660519105E-2</v>
      </c>
      <c r="AE9">
        <f t="shared" si="19"/>
        <v>0.27767921353907937</v>
      </c>
      <c r="AF9">
        <f t="shared" si="20"/>
        <v>0.27767921353907932</v>
      </c>
      <c r="AG9">
        <f t="shared" si="9"/>
        <v>0.17103794873064651</v>
      </c>
      <c r="AH9">
        <f t="shared" si="21"/>
        <v>0.7028713489298728</v>
      </c>
      <c r="AI9">
        <f t="shared" si="22"/>
        <v>0.6101252758923551</v>
      </c>
      <c r="AJ9">
        <f t="shared" si="30"/>
        <v>0</v>
      </c>
      <c r="AK9">
        <f t="shared" si="31"/>
        <v>0</v>
      </c>
      <c r="AL9">
        <f t="shared" si="32"/>
        <v>0</v>
      </c>
      <c r="AM9">
        <f t="shared" si="33"/>
        <v>0</v>
      </c>
      <c r="AN9">
        <v>0.03</v>
      </c>
      <c r="AO9">
        <f t="shared" si="23"/>
        <v>0</v>
      </c>
      <c r="AP9">
        <f t="shared" si="24"/>
        <v>0</v>
      </c>
    </row>
    <row r="10" spans="1:42" ht="15.75" thickBot="1" x14ac:dyDescent="0.3">
      <c r="F10" s="7">
        <f t="shared" si="25"/>
        <v>9</v>
      </c>
      <c r="G10">
        <f t="shared" si="0"/>
        <v>1.3863127604892389</v>
      </c>
      <c r="H10">
        <v>1</v>
      </c>
      <c r="I10">
        <f t="shared" si="10"/>
        <v>3.71</v>
      </c>
      <c r="J10">
        <f t="shared" si="26"/>
        <v>0.1484</v>
      </c>
      <c r="K10">
        <f t="shared" si="1"/>
        <v>8.0088585194104417E-2</v>
      </c>
      <c r="L10">
        <f t="shared" si="2"/>
        <v>0</v>
      </c>
      <c r="M10">
        <f t="shared" si="11"/>
        <v>0.69815629325111683</v>
      </c>
      <c r="N10">
        <f t="shared" si="27"/>
        <v>0.33</v>
      </c>
      <c r="O10">
        <f t="shared" si="12"/>
        <v>0.99999999999999989</v>
      </c>
      <c r="P10">
        <f t="shared" si="13"/>
        <v>2.1299131785753715</v>
      </c>
      <c r="Q10">
        <f t="shared" si="3"/>
        <v>0</v>
      </c>
      <c r="R10">
        <f t="shared" si="14"/>
        <v>-1.8686432864186697E-3</v>
      </c>
      <c r="S10">
        <f t="shared" si="28"/>
        <v>3.4918277318775664E-6</v>
      </c>
      <c r="T10">
        <f t="shared" ca="1" si="15"/>
        <v>1.5707316149504057E-2</v>
      </c>
      <c r="U10">
        <v>0</v>
      </c>
      <c r="V10">
        <f t="shared" si="16"/>
        <v>1</v>
      </c>
      <c r="W10">
        <f t="shared" si="4"/>
        <v>0.57392078646092071</v>
      </c>
      <c r="X10">
        <f t="shared" si="5"/>
        <v>2.7599639275902024</v>
      </c>
      <c r="Y10">
        <f t="shared" si="17"/>
        <v>0.970873786407767</v>
      </c>
      <c r="Z10">
        <f t="shared" si="18"/>
        <v>-5.1573880640494174E-3</v>
      </c>
      <c r="AA10">
        <f t="shared" si="29"/>
        <v>2.6598651643199397E-5</v>
      </c>
      <c r="AB10">
        <f t="shared" si="6"/>
        <v>0.17571783723246817</v>
      </c>
      <c r="AC10">
        <f t="shared" si="7"/>
        <v>5.7392078646092075E-2</v>
      </c>
      <c r="AD10">
        <f t="shared" si="8"/>
        <v>4.4569297660519105E-2</v>
      </c>
      <c r="AE10">
        <f t="shared" si="19"/>
        <v>0.27767921353907937</v>
      </c>
      <c r="AF10">
        <f t="shared" si="20"/>
        <v>0.27767921353907932</v>
      </c>
      <c r="AG10">
        <f t="shared" si="9"/>
        <v>0.17103794873064651</v>
      </c>
      <c r="AH10">
        <f t="shared" si="21"/>
        <v>0.7028713489298728</v>
      </c>
      <c r="AI10">
        <f t="shared" si="22"/>
        <v>0.6101252758923551</v>
      </c>
      <c r="AJ10">
        <f t="shared" si="30"/>
        <v>0</v>
      </c>
      <c r="AK10">
        <f t="shared" si="31"/>
        <v>0</v>
      </c>
      <c r="AL10">
        <f t="shared" si="32"/>
        <v>0</v>
      </c>
      <c r="AM10">
        <f t="shared" si="33"/>
        <v>0</v>
      </c>
      <c r="AN10">
        <v>0.03</v>
      </c>
      <c r="AO10">
        <f t="shared" si="23"/>
        <v>0</v>
      </c>
      <c r="AP10">
        <f t="shared" si="24"/>
        <v>0</v>
      </c>
    </row>
    <row r="11" spans="1:42" ht="15.75" thickBot="1" x14ac:dyDescent="0.3">
      <c r="A11" s="4" t="s">
        <v>18</v>
      </c>
      <c r="B11" s="14" t="s">
        <v>19</v>
      </c>
      <c r="C11" s="15"/>
      <c r="F11" s="7">
        <f t="shared" si="25"/>
        <v>10</v>
      </c>
      <c r="G11">
        <f t="shared" si="0"/>
        <v>1.3863127604892389</v>
      </c>
      <c r="H11">
        <v>1</v>
      </c>
      <c r="I11">
        <f t="shared" si="10"/>
        <v>3.71</v>
      </c>
      <c r="J11">
        <f t="shared" si="26"/>
        <v>0.1484</v>
      </c>
      <c r="K11">
        <f t="shared" si="1"/>
        <v>8.0088585194104417E-2</v>
      </c>
      <c r="L11">
        <f t="shared" si="2"/>
        <v>0</v>
      </c>
      <c r="M11">
        <f t="shared" si="11"/>
        <v>0.69815629325111683</v>
      </c>
      <c r="N11">
        <f t="shared" si="27"/>
        <v>0.33</v>
      </c>
      <c r="O11">
        <f t="shared" si="12"/>
        <v>0.99999999999999989</v>
      </c>
      <c r="P11">
        <f t="shared" si="13"/>
        <v>2.1299131785753715</v>
      </c>
      <c r="Q11">
        <f t="shared" si="3"/>
        <v>0</v>
      </c>
      <c r="R11">
        <f t="shared" si="14"/>
        <v>-1.8686432864186697E-3</v>
      </c>
      <c r="S11">
        <f t="shared" si="28"/>
        <v>3.4918277318775664E-6</v>
      </c>
      <c r="T11">
        <f t="shared" ca="1" si="15"/>
        <v>1.318098573461135E-2</v>
      </c>
      <c r="U11">
        <v>0</v>
      </c>
      <c r="V11">
        <f t="shared" si="16"/>
        <v>1</v>
      </c>
      <c r="W11">
        <f t="shared" si="4"/>
        <v>0.57392078646092071</v>
      </c>
      <c r="X11">
        <f t="shared" si="5"/>
        <v>2.7599639275902024</v>
      </c>
      <c r="Y11">
        <f t="shared" si="17"/>
        <v>0.970873786407767</v>
      </c>
      <c r="Z11">
        <f t="shared" si="18"/>
        <v>-5.1573880640494174E-3</v>
      </c>
      <c r="AA11">
        <f t="shared" si="29"/>
        <v>2.6598651643199397E-5</v>
      </c>
      <c r="AB11">
        <f t="shared" si="6"/>
        <v>0.17571783723246817</v>
      </c>
      <c r="AC11">
        <f t="shared" si="7"/>
        <v>5.7392078646092075E-2</v>
      </c>
      <c r="AD11">
        <f t="shared" si="8"/>
        <v>4.4569297660519105E-2</v>
      </c>
      <c r="AE11">
        <f t="shared" si="19"/>
        <v>0.27767921353907937</v>
      </c>
      <c r="AF11">
        <f t="shared" si="20"/>
        <v>0.27767921353907932</v>
      </c>
      <c r="AG11">
        <f t="shared" si="9"/>
        <v>0.17103794873064651</v>
      </c>
      <c r="AH11">
        <f t="shared" si="21"/>
        <v>0.7028713489298728</v>
      </c>
      <c r="AI11">
        <f t="shared" si="22"/>
        <v>0.6101252758923551</v>
      </c>
      <c r="AJ11">
        <f t="shared" si="30"/>
        <v>0</v>
      </c>
      <c r="AK11">
        <f t="shared" si="31"/>
        <v>0</v>
      </c>
      <c r="AL11">
        <f t="shared" si="32"/>
        <v>0</v>
      </c>
      <c r="AM11">
        <f t="shared" si="33"/>
        <v>0</v>
      </c>
      <c r="AN11">
        <v>0.03</v>
      </c>
      <c r="AO11">
        <f t="shared" si="23"/>
        <v>0</v>
      </c>
      <c r="AP11">
        <f t="shared" si="24"/>
        <v>0</v>
      </c>
    </row>
    <row r="12" spans="1:42" ht="15.75" thickBot="1" x14ac:dyDescent="0.3">
      <c r="A12" s="16" t="s">
        <v>20</v>
      </c>
      <c r="B12" s="17">
        <v>0.35</v>
      </c>
      <c r="C12" s="18"/>
      <c r="F12" s="7">
        <f t="shared" si="25"/>
        <v>11</v>
      </c>
      <c r="G12">
        <f t="shared" si="0"/>
        <v>1.3863127604892389</v>
      </c>
      <c r="H12">
        <v>1</v>
      </c>
      <c r="I12">
        <f t="shared" si="10"/>
        <v>3.71</v>
      </c>
      <c r="J12">
        <f t="shared" si="26"/>
        <v>0.1484</v>
      </c>
      <c r="K12">
        <f t="shared" si="1"/>
        <v>8.0088585194104417E-2</v>
      </c>
      <c r="L12">
        <f t="shared" si="2"/>
        <v>0</v>
      </c>
      <c r="M12">
        <f t="shared" si="11"/>
        <v>0.69815629325111683</v>
      </c>
      <c r="N12">
        <f t="shared" si="27"/>
        <v>0.33</v>
      </c>
      <c r="O12">
        <f t="shared" si="12"/>
        <v>0.99999999999999989</v>
      </c>
      <c r="P12">
        <f t="shared" si="13"/>
        <v>2.1299131785753715</v>
      </c>
      <c r="Q12">
        <f t="shared" si="3"/>
        <v>0</v>
      </c>
      <c r="R12">
        <f t="shared" si="14"/>
        <v>-1.8686432864186697E-3</v>
      </c>
      <c r="S12">
        <f t="shared" si="28"/>
        <v>3.4918277318775664E-6</v>
      </c>
      <c r="T12">
        <f t="shared" ca="1" si="15"/>
        <v>5.2228842348162607E-2</v>
      </c>
      <c r="U12">
        <v>0</v>
      </c>
      <c r="V12">
        <f t="shared" si="16"/>
        <v>1</v>
      </c>
      <c r="W12">
        <f t="shared" si="4"/>
        <v>0.57392078646092071</v>
      </c>
      <c r="X12">
        <f t="shared" si="5"/>
        <v>2.7599639275902024</v>
      </c>
      <c r="Y12">
        <f t="shared" si="17"/>
        <v>0.970873786407767</v>
      </c>
      <c r="Z12">
        <f t="shared" si="18"/>
        <v>-5.1573880640494174E-3</v>
      </c>
      <c r="AA12">
        <f t="shared" si="29"/>
        <v>2.6598651643199397E-5</v>
      </c>
      <c r="AB12">
        <f t="shared" si="6"/>
        <v>0.17571783723246817</v>
      </c>
      <c r="AC12">
        <f t="shared" si="7"/>
        <v>5.7392078646092075E-2</v>
      </c>
      <c r="AD12">
        <f t="shared" si="8"/>
        <v>4.4569297660519105E-2</v>
      </c>
      <c r="AE12">
        <f t="shared" si="19"/>
        <v>0.27767921353907937</v>
      </c>
      <c r="AF12">
        <f t="shared" si="20"/>
        <v>0.27767921353907932</v>
      </c>
      <c r="AG12">
        <f t="shared" si="9"/>
        <v>0.17103794873064651</v>
      </c>
      <c r="AH12">
        <f t="shared" si="21"/>
        <v>0.7028713489298728</v>
      </c>
      <c r="AI12">
        <f t="shared" si="22"/>
        <v>0.6101252758923551</v>
      </c>
      <c r="AJ12">
        <f t="shared" si="30"/>
        <v>0</v>
      </c>
      <c r="AK12">
        <f t="shared" si="31"/>
        <v>0</v>
      </c>
      <c r="AL12">
        <f t="shared" si="32"/>
        <v>0</v>
      </c>
      <c r="AM12">
        <f t="shared" si="33"/>
        <v>0</v>
      </c>
      <c r="AN12">
        <v>0.03</v>
      </c>
      <c r="AO12">
        <f t="shared" si="23"/>
        <v>0</v>
      </c>
      <c r="AP12">
        <f t="shared" si="24"/>
        <v>0</v>
      </c>
    </row>
    <row r="13" spans="1:42" ht="15.75" thickBot="1" x14ac:dyDescent="0.3">
      <c r="A13" s="16" t="s">
        <v>21</v>
      </c>
      <c r="B13" s="17">
        <v>0.04</v>
      </c>
      <c r="C13" s="18"/>
      <c r="F13" s="7">
        <f t="shared" si="25"/>
        <v>12</v>
      </c>
      <c r="G13">
        <f t="shared" si="0"/>
        <v>1.3863127604892389</v>
      </c>
      <c r="H13">
        <v>1</v>
      </c>
      <c r="I13">
        <f t="shared" si="10"/>
        <v>3.71</v>
      </c>
      <c r="J13">
        <f t="shared" si="26"/>
        <v>0.1484</v>
      </c>
      <c r="K13">
        <f t="shared" si="1"/>
        <v>8.0088585194104417E-2</v>
      </c>
      <c r="L13">
        <f t="shared" si="2"/>
        <v>0</v>
      </c>
      <c r="M13">
        <f t="shared" si="11"/>
        <v>0.69815629325111683</v>
      </c>
      <c r="N13">
        <f t="shared" si="27"/>
        <v>0.33</v>
      </c>
      <c r="O13">
        <f t="shared" si="12"/>
        <v>0.99999999999999989</v>
      </c>
      <c r="P13">
        <f t="shared" si="13"/>
        <v>2.1299131785753715</v>
      </c>
      <c r="Q13">
        <f t="shared" si="3"/>
        <v>0</v>
      </c>
      <c r="R13">
        <f t="shared" si="14"/>
        <v>-1.8686432864186697E-3</v>
      </c>
      <c r="S13">
        <f t="shared" si="28"/>
        <v>3.4918277318775664E-6</v>
      </c>
      <c r="T13">
        <f t="shared" ca="1" si="15"/>
        <v>9.1385601408486012E-4</v>
      </c>
      <c r="U13">
        <v>0</v>
      </c>
      <c r="V13">
        <f t="shared" si="16"/>
        <v>1</v>
      </c>
      <c r="W13">
        <f t="shared" si="4"/>
        <v>0.57392078646092071</v>
      </c>
      <c r="X13">
        <f t="shared" si="5"/>
        <v>2.7599639275902024</v>
      </c>
      <c r="Y13">
        <f t="shared" si="17"/>
        <v>0.970873786407767</v>
      </c>
      <c r="Z13">
        <f t="shared" si="18"/>
        <v>-5.1573880640494174E-3</v>
      </c>
      <c r="AA13">
        <f t="shared" si="29"/>
        <v>2.6598651643199397E-5</v>
      </c>
      <c r="AB13">
        <f t="shared" si="6"/>
        <v>0.17571783723246817</v>
      </c>
      <c r="AC13">
        <f t="shared" si="7"/>
        <v>5.7392078646092075E-2</v>
      </c>
      <c r="AD13">
        <f t="shared" si="8"/>
        <v>4.4569297660519105E-2</v>
      </c>
      <c r="AE13">
        <f t="shared" si="19"/>
        <v>0.27767921353907937</v>
      </c>
      <c r="AF13">
        <f t="shared" si="20"/>
        <v>0.27767921353907932</v>
      </c>
      <c r="AG13">
        <f t="shared" si="9"/>
        <v>0.17103794873064651</v>
      </c>
      <c r="AH13">
        <f t="shared" si="21"/>
        <v>0.7028713489298728</v>
      </c>
      <c r="AI13">
        <f t="shared" si="22"/>
        <v>0.6101252758923551</v>
      </c>
      <c r="AJ13">
        <f t="shared" si="30"/>
        <v>0</v>
      </c>
      <c r="AK13">
        <f t="shared" si="31"/>
        <v>0</v>
      </c>
      <c r="AL13">
        <f t="shared" si="32"/>
        <v>0</v>
      </c>
      <c r="AM13">
        <f t="shared" si="33"/>
        <v>0</v>
      </c>
      <c r="AN13">
        <v>0.03</v>
      </c>
      <c r="AO13">
        <f t="shared" si="23"/>
        <v>0</v>
      </c>
      <c r="AP13">
        <f t="shared" si="24"/>
        <v>0</v>
      </c>
    </row>
    <row r="14" spans="1:42" ht="15.75" thickBot="1" x14ac:dyDescent="0.3">
      <c r="A14" s="19" t="s">
        <v>22</v>
      </c>
      <c r="B14" s="20">
        <v>10</v>
      </c>
      <c r="C14" s="21"/>
      <c r="F14" s="7">
        <f t="shared" si="25"/>
        <v>13</v>
      </c>
      <c r="G14">
        <f t="shared" si="0"/>
        <v>1.3863127604892389</v>
      </c>
      <c r="H14">
        <v>1</v>
      </c>
      <c r="I14">
        <f t="shared" si="10"/>
        <v>3.71</v>
      </c>
      <c r="J14">
        <f t="shared" si="26"/>
        <v>0.1484</v>
      </c>
      <c r="K14">
        <f t="shared" si="1"/>
        <v>8.0088585194104417E-2</v>
      </c>
      <c r="L14">
        <f t="shared" si="2"/>
        <v>0</v>
      </c>
      <c r="M14">
        <f t="shared" si="11"/>
        <v>0.69815629325111683</v>
      </c>
      <c r="N14">
        <f t="shared" si="27"/>
        <v>0.33</v>
      </c>
      <c r="O14">
        <f t="shared" si="12"/>
        <v>0.99999999999999989</v>
      </c>
      <c r="P14">
        <f t="shared" si="13"/>
        <v>2.1299131785753715</v>
      </c>
      <c r="Q14">
        <f t="shared" si="3"/>
        <v>0</v>
      </c>
      <c r="R14">
        <f t="shared" si="14"/>
        <v>-1.8686432864186697E-3</v>
      </c>
      <c r="S14">
        <f t="shared" si="28"/>
        <v>3.4918277318775664E-6</v>
      </c>
      <c r="T14">
        <f t="shared" ca="1" si="15"/>
        <v>2.6344365538857068E-2</v>
      </c>
      <c r="U14">
        <v>0</v>
      </c>
      <c r="V14">
        <f t="shared" si="16"/>
        <v>1</v>
      </c>
      <c r="W14">
        <f t="shared" si="4"/>
        <v>0.57392078646092071</v>
      </c>
      <c r="X14">
        <f t="shared" si="5"/>
        <v>2.7599639275902024</v>
      </c>
      <c r="Y14">
        <f t="shared" si="17"/>
        <v>0.970873786407767</v>
      </c>
      <c r="Z14">
        <f t="shared" si="18"/>
        <v>-5.1573880640494174E-3</v>
      </c>
      <c r="AA14">
        <f t="shared" si="29"/>
        <v>2.6598651643199397E-5</v>
      </c>
      <c r="AB14">
        <f t="shared" si="6"/>
        <v>0.17571783723246817</v>
      </c>
      <c r="AC14">
        <f t="shared" si="7"/>
        <v>5.7392078646092075E-2</v>
      </c>
      <c r="AD14">
        <f t="shared" si="8"/>
        <v>4.4569297660519105E-2</v>
      </c>
      <c r="AE14">
        <f t="shared" si="19"/>
        <v>0.27767921353907937</v>
      </c>
      <c r="AF14">
        <f t="shared" si="20"/>
        <v>0.27767921353907932</v>
      </c>
      <c r="AG14">
        <f t="shared" si="9"/>
        <v>0.17103794873064651</v>
      </c>
      <c r="AH14">
        <f t="shared" si="21"/>
        <v>0.7028713489298728</v>
      </c>
      <c r="AI14">
        <f t="shared" si="22"/>
        <v>0.6101252758923551</v>
      </c>
      <c r="AJ14">
        <f t="shared" si="30"/>
        <v>0</v>
      </c>
      <c r="AK14">
        <f t="shared" si="31"/>
        <v>0</v>
      </c>
      <c r="AL14">
        <f t="shared" si="32"/>
        <v>0</v>
      </c>
      <c r="AM14">
        <f t="shared" si="33"/>
        <v>0</v>
      </c>
      <c r="AN14">
        <v>0.03</v>
      </c>
      <c r="AO14">
        <f t="shared" si="23"/>
        <v>0</v>
      </c>
      <c r="AP14">
        <f t="shared" si="24"/>
        <v>0</v>
      </c>
    </row>
    <row r="15" spans="1:42" ht="15.75" thickBot="1" x14ac:dyDescent="0.3">
      <c r="F15" s="7">
        <f t="shared" si="25"/>
        <v>14</v>
      </c>
      <c r="G15">
        <f t="shared" si="0"/>
        <v>1.3863127604892389</v>
      </c>
      <c r="H15">
        <v>1</v>
      </c>
      <c r="I15">
        <f t="shared" si="10"/>
        <v>3.71</v>
      </c>
      <c r="J15">
        <f t="shared" si="26"/>
        <v>0.1484</v>
      </c>
      <c r="K15">
        <f t="shared" si="1"/>
        <v>8.0088585194104417E-2</v>
      </c>
      <c r="L15">
        <f t="shared" si="2"/>
        <v>0</v>
      </c>
      <c r="M15">
        <f t="shared" si="11"/>
        <v>0.69815629325111683</v>
      </c>
      <c r="N15">
        <f t="shared" si="27"/>
        <v>0.33</v>
      </c>
      <c r="O15">
        <f t="shared" si="12"/>
        <v>0.99999999999999989</v>
      </c>
      <c r="P15">
        <f t="shared" si="13"/>
        <v>2.1299131785753715</v>
      </c>
      <c r="Q15">
        <f t="shared" si="3"/>
        <v>0</v>
      </c>
      <c r="R15">
        <f t="shared" si="14"/>
        <v>-1.8686432864186697E-3</v>
      </c>
      <c r="S15">
        <f t="shared" si="28"/>
        <v>3.4918277318775664E-6</v>
      </c>
      <c r="T15">
        <f t="shared" ca="1" si="15"/>
        <v>5.8882292801532704E-2</v>
      </c>
      <c r="U15">
        <v>0</v>
      </c>
      <c r="V15">
        <f t="shared" si="16"/>
        <v>1</v>
      </c>
      <c r="W15">
        <f t="shared" si="4"/>
        <v>0.57392078646092071</v>
      </c>
      <c r="X15">
        <f t="shared" si="5"/>
        <v>2.7599639275902024</v>
      </c>
      <c r="Y15">
        <f t="shared" si="17"/>
        <v>0.970873786407767</v>
      </c>
      <c r="Z15">
        <f t="shared" si="18"/>
        <v>-5.1573880640494174E-3</v>
      </c>
      <c r="AA15">
        <f t="shared" si="29"/>
        <v>2.6598651643199397E-5</v>
      </c>
      <c r="AB15">
        <f t="shared" si="6"/>
        <v>0.17571783723246817</v>
      </c>
      <c r="AC15">
        <f t="shared" si="7"/>
        <v>5.7392078646092075E-2</v>
      </c>
      <c r="AD15">
        <f t="shared" si="8"/>
        <v>4.4569297660519105E-2</v>
      </c>
      <c r="AE15">
        <f t="shared" si="19"/>
        <v>0.27767921353907937</v>
      </c>
      <c r="AF15">
        <f t="shared" si="20"/>
        <v>0.27767921353907932</v>
      </c>
      <c r="AG15">
        <f t="shared" si="9"/>
        <v>0.17103794873064651</v>
      </c>
      <c r="AH15">
        <f t="shared" si="21"/>
        <v>0.7028713489298728</v>
      </c>
      <c r="AI15">
        <f t="shared" si="22"/>
        <v>0.6101252758923551</v>
      </c>
      <c r="AJ15">
        <f t="shared" si="30"/>
        <v>0</v>
      </c>
      <c r="AK15">
        <f t="shared" si="31"/>
        <v>0</v>
      </c>
      <c r="AL15">
        <f t="shared" si="32"/>
        <v>0</v>
      </c>
      <c r="AM15">
        <f t="shared" si="33"/>
        <v>0</v>
      </c>
      <c r="AN15">
        <v>0.03</v>
      </c>
      <c r="AO15">
        <f t="shared" si="23"/>
        <v>0</v>
      </c>
      <c r="AP15">
        <f t="shared" si="24"/>
        <v>0</v>
      </c>
    </row>
    <row r="16" spans="1:42" ht="15.75" thickBot="1" x14ac:dyDescent="0.3">
      <c r="A16" s="4" t="s">
        <v>23</v>
      </c>
      <c r="B16" s="14" t="s">
        <v>19</v>
      </c>
      <c r="C16" s="15"/>
      <c r="F16" s="7">
        <f t="shared" si="25"/>
        <v>15</v>
      </c>
      <c r="G16">
        <f t="shared" si="0"/>
        <v>1.3863127604892389</v>
      </c>
      <c r="H16">
        <v>1</v>
      </c>
      <c r="I16">
        <f t="shared" si="10"/>
        <v>3.71</v>
      </c>
      <c r="J16">
        <f t="shared" si="26"/>
        <v>0.1484</v>
      </c>
      <c r="K16">
        <f t="shared" si="1"/>
        <v>8.0088585194104417E-2</v>
      </c>
      <c r="L16">
        <f t="shared" si="2"/>
        <v>0</v>
      </c>
      <c r="M16">
        <f t="shared" si="11"/>
        <v>0.69815629325111683</v>
      </c>
      <c r="N16">
        <f t="shared" si="27"/>
        <v>0.33</v>
      </c>
      <c r="O16">
        <f t="shared" si="12"/>
        <v>0.99999999999999989</v>
      </c>
      <c r="P16">
        <f t="shared" si="13"/>
        <v>2.1299131785753715</v>
      </c>
      <c r="Q16">
        <f t="shared" si="3"/>
        <v>0</v>
      </c>
      <c r="R16">
        <f t="shared" si="14"/>
        <v>-1.8686432864186697E-3</v>
      </c>
      <c r="S16">
        <f t="shared" si="28"/>
        <v>3.4918277318775664E-6</v>
      </c>
      <c r="T16">
        <f t="shared" ca="1" si="15"/>
        <v>4.3678769636609854E-2</v>
      </c>
      <c r="U16">
        <v>0</v>
      </c>
      <c r="V16">
        <f t="shared" si="16"/>
        <v>1</v>
      </c>
      <c r="W16">
        <f t="shared" si="4"/>
        <v>0.57392078646092071</v>
      </c>
      <c r="X16">
        <f t="shared" si="5"/>
        <v>2.7599639275902024</v>
      </c>
      <c r="Y16">
        <f t="shared" si="17"/>
        <v>0.970873786407767</v>
      </c>
      <c r="Z16">
        <f t="shared" si="18"/>
        <v>-5.1573880640494174E-3</v>
      </c>
      <c r="AA16">
        <f t="shared" si="29"/>
        <v>2.6598651643199397E-5</v>
      </c>
      <c r="AB16">
        <f t="shared" si="6"/>
        <v>0.17571783723246817</v>
      </c>
      <c r="AC16">
        <f t="shared" si="7"/>
        <v>5.7392078646092075E-2</v>
      </c>
      <c r="AD16">
        <f t="shared" si="8"/>
        <v>4.4569297660519105E-2</v>
      </c>
      <c r="AE16">
        <f t="shared" si="19"/>
        <v>0.27767921353907937</v>
      </c>
      <c r="AF16">
        <f t="shared" si="20"/>
        <v>0.27767921353907932</v>
      </c>
      <c r="AG16">
        <f t="shared" si="9"/>
        <v>0.17103794873064651</v>
      </c>
      <c r="AH16">
        <f t="shared" si="21"/>
        <v>0.7028713489298728</v>
      </c>
      <c r="AI16">
        <f t="shared" si="22"/>
        <v>0.6101252758923551</v>
      </c>
      <c r="AJ16">
        <f t="shared" si="30"/>
        <v>0</v>
      </c>
      <c r="AK16">
        <f t="shared" si="31"/>
        <v>0</v>
      </c>
      <c r="AL16">
        <f t="shared" si="32"/>
        <v>0</v>
      </c>
      <c r="AM16">
        <f t="shared" si="33"/>
        <v>0</v>
      </c>
      <c r="AN16">
        <v>0.03</v>
      </c>
      <c r="AO16">
        <f t="shared" si="23"/>
        <v>0</v>
      </c>
      <c r="AP16">
        <f t="shared" si="24"/>
        <v>0</v>
      </c>
    </row>
    <row r="17" spans="1:42" ht="15.75" thickBot="1" x14ac:dyDescent="0.3">
      <c r="A17" s="10" t="s">
        <v>24</v>
      </c>
      <c r="B17" s="11">
        <v>0.03</v>
      </c>
      <c r="C17" s="13"/>
      <c r="F17" s="7">
        <f t="shared" si="25"/>
        <v>16</v>
      </c>
      <c r="G17">
        <f t="shared" si="0"/>
        <v>1.3863127604892389</v>
      </c>
      <c r="H17">
        <v>1</v>
      </c>
      <c r="I17">
        <f t="shared" si="10"/>
        <v>3.71</v>
      </c>
      <c r="J17">
        <f t="shared" si="26"/>
        <v>0.1484</v>
      </c>
      <c r="K17">
        <f t="shared" si="1"/>
        <v>8.0088585194104417E-2</v>
      </c>
      <c r="L17">
        <f t="shared" si="2"/>
        <v>0</v>
      </c>
      <c r="M17">
        <f t="shared" si="11"/>
        <v>0.69815629325111683</v>
      </c>
      <c r="N17">
        <f t="shared" si="27"/>
        <v>0.33</v>
      </c>
      <c r="O17">
        <f t="shared" si="12"/>
        <v>0.99999999999999989</v>
      </c>
      <c r="P17">
        <f t="shared" si="13"/>
        <v>2.1299131785753715</v>
      </c>
      <c r="Q17">
        <f t="shared" si="3"/>
        <v>0</v>
      </c>
      <c r="R17">
        <f t="shared" si="14"/>
        <v>-1.8686432864186697E-3</v>
      </c>
      <c r="S17">
        <f t="shared" si="28"/>
        <v>3.4918277318775664E-6</v>
      </c>
      <c r="T17">
        <f t="shared" ca="1" si="15"/>
        <v>1.8190108474701625E-2</v>
      </c>
      <c r="U17">
        <v>0</v>
      </c>
      <c r="V17">
        <f t="shared" si="16"/>
        <v>1</v>
      </c>
      <c r="W17">
        <f t="shared" si="4"/>
        <v>0.57392078646092071</v>
      </c>
      <c r="X17">
        <f t="shared" si="5"/>
        <v>2.7599639275902024</v>
      </c>
      <c r="Y17">
        <f t="shared" si="17"/>
        <v>0.970873786407767</v>
      </c>
      <c r="Z17">
        <f t="shared" si="18"/>
        <v>-5.1573880640494174E-3</v>
      </c>
      <c r="AA17">
        <f t="shared" si="29"/>
        <v>2.6598651643199397E-5</v>
      </c>
      <c r="AB17">
        <f t="shared" si="6"/>
        <v>0.17571783723246817</v>
      </c>
      <c r="AC17">
        <f t="shared" si="7"/>
        <v>5.7392078646092075E-2</v>
      </c>
      <c r="AD17">
        <f t="shared" si="8"/>
        <v>4.4569297660519105E-2</v>
      </c>
      <c r="AE17">
        <f t="shared" si="19"/>
        <v>0.27767921353907937</v>
      </c>
      <c r="AF17">
        <f t="shared" si="20"/>
        <v>0.27767921353907932</v>
      </c>
      <c r="AG17">
        <f t="shared" si="9"/>
        <v>0.17103794873064651</v>
      </c>
      <c r="AH17">
        <f t="shared" si="21"/>
        <v>0.7028713489298728</v>
      </c>
      <c r="AI17">
        <f t="shared" si="22"/>
        <v>0.6101252758923551</v>
      </c>
      <c r="AJ17">
        <f t="shared" si="30"/>
        <v>0</v>
      </c>
      <c r="AK17">
        <f t="shared" si="31"/>
        <v>0</v>
      </c>
      <c r="AL17">
        <f t="shared" si="32"/>
        <v>0</v>
      </c>
      <c r="AM17">
        <f t="shared" si="33"/>
        <v>0</v>
      </c>
      <c r="AN17">
        <v>0.03</v>
      </c>
      <c r="AO17">
        <f t="shared" si="23"/>
        <v>0</v>
      </c>
      <c r="AP17">
        <f t="shared" si="24"/>
        <v>0</v>
      </c>
    </row>
    <row r="18" spans="1:42" ht="15.75" thickBot="1" x14ac:dyDescent="0.3">
      <c r="A18" s="3" t="s">
        <v>25</v>
      </c>
      <c r="B18" s="3">
        <f>1/(1+Interest)</f>
        <v>0.970873786407767</v>
      </c>
      <c r="D18" s="22"/>
      <c r="F18" s="7">
        <f t="shared" si="25"/>
        <v>17</v>
      </c>
      <c r="G18">
        <f t="shared" si="0"/>
        <v>1.3863127604892389</v>
      </c>
      <c r="H18">
        <v>1</v>
      </c>
      <c r="I18">
        <f t="shared" si="10"/>
        <v>3.71</v>
      </c>
      <c r="J18">
        <f t="shared" si="26"/>
        <v>0.1484</v>
      </c>
      <c r="K18">
        <f t="shared" si="1"/>
        <v>8.0088585194104417E-2</v>
      </c>
      <c r="L18">
        <f t="shared" si="2"/>
        <v>0</v>
      </c>
      <c r="M18">
        <f t="shared" si="11"/>
        <v>0.69815629325111683</v>
      </c>
      <c r="N18">
        <f t="shared" si="27"/>
        <v>0.33</v>
      </c>
      <c r="O18">
        <f t="shared" si="12"/>
        <v>0.99999999999999989</v>
      </c>
      <c r="P18">
        <f t="shared" si="13"/>
        <v>2.1299131785753715</v>
      </c>
      <c r="Q18">
        <f t="shared" si="3"/>
        <v>0</v>
      </c>
      <c r="R18">
        <f t="shared" si="14"/>
        <v>-1.8686432864186697E-3</v>
      </c>
      <c r="S18">
        <f t="shared" si="28"/>
        <v>3.4918277318775664E-6</v>
      </c>
      <c r="T18">
        <f t="shared" ca="1" si="15"/>
        <v>1.5526113624268593E-2</v>
      </c>
      <c r="U18">
        <v>0</v>
      </c>
      <c r="V18">
        <f t="shared" si="16"/>
        <v>1</v>
      </c>
      <c r="W18">
        <f t="shared" si="4"/>
        <v>0.57392078646092071</v>
      </c>
      <c r="X18">
        <f t="shared" si="5"/>
        <v>2.7599639275902024</v>
      </c>
      <c r="Y18">
        <f t="shared" si="17"/>
        <v>0.970873786407767</v>
      </c>
      <c r="Z18">
        <f t="shared" si="18"/>
        <v>-5.1573880640494174E-3</v>
      </c>
      <c r="AA18">
        <f t="shared" si="29"/>
        <v>2.6598651643199397E-5</v>
      </c>
      <c r="AB18">
        <f t="shared" si="6"/>
        <v>0.17571783723246817</v>
      </c>
      <c r="AC18">
        <f t="shared" si="7"/>
        <v>5.7392078646092075E-2</v>
      </c>
      <c r="AD18">
        <f t="shared" si="8"/>
        <v>4.4569297660519105E-2</v>
      </c>
      <c r="AE18">
        <f t="shared" si="19"/>
        <v>0.27767921353907937</v>
      </c>
      <c r="AF18">
        <f t="shared" si="20"/>
        <v>0.27767921353907932</v>
      </c>
      <c r="AG18">
        <f t="shared" si="9"/>
        <v>0.17103794873064651</v>
      </c>
      <c r="AH18">
        <f t="shared" si="21"/>
        <v>0.7028713489298728</v>
      </c>
      <c r="AI18">
        <f t="shared" si="22"/>
        <v>0.6101252758923551</v>
      </c>
      <c r="AJ18">
        <f t="shared" si="30"/>
        <v>0</v>
      </c>
      <c r="AK18">
        <f t="shared" si="31"/>
        <v>0</v>
      </c>
      <c r="AL18">
        <f t="shared" si="32"/>
        <v>0</v>
      </c>
      <c r="AM18">
        <f t="shared" si="33"/>
        <v>0</v>
      </c>
      <c r="AN18">
        <v>0.03</v>
      </c>
      <c r="AO18">
        <f t="shared" si="23"/>
        <v>0</v>
      </c>
      <c r="AP18">
        <f t="shared" si="24"/>
        <v>0</v>
      </c>
    </row>
    <row r="19" spans="1:42" ht="15.75" thickBot="1" x14ac:dyDescent="0.3">
      <c r="A19" s="4" t="s">
        <v>26</v>
      </c>
      <c r="B19" s="6" t="s">
        <v>27</v>
      </c>
      <c r="C19" s="23"/>
      <c r="D19" s="22" t="e">
        <f>_PK1</f>
        <v>#NAME?</v>
      </c>
      <c r="F19" s="7">
        <f t="shared" si="25"/>
        <v>18</v>
      </c>
      <c r="G19">
        <f t="shared" si="0"/>
        <v>1.3863127604892389</v>
      </c>
      <c r="H19">
        <v>1</v>
      </c>
      <c r="I19">
        <f t="shared" si="10"/>
        <v>3.71</v>
      </c>
      <c r="J19">
        <f t="shared" si="26"/>
        <v>0.1484</v>
      </c>
      <c r="K19">
        <f t="shared" si="1"/>
        <v>8.0088585194104417E-2</v>
      </c>
      <c r="L19">
        <f t="shared" si="2"/>
        <v>0</v>
      </c>
      <c r="M19">
        <f t="shared" si="11"/>
        <v>0.69815629325111683</v>
      </c>
      <c r="N19">
        <f t="shared" si="27"/>
        <v>0.33</v>
      </c>
      <c r="O19">
        <f t="shared" si="12"/>
        <v>0.99999999999999989</v>
      </c>
      <c r="P19">
        <f t="shared" si="13"/>
        <v>2.1299131785753715</v>
      </c>
      <c r="Q19">
        <f t="shared" si="3"/>
        <v>0</v>
      </c>
      <c r="R19">
        <f t="shared" si="14"/>
        <v>-1.8686432864186697E-3</v>
      </c>
      <c r="S19">
        <f t="shared" si="28"/>
        <v>3.4918277318775664E-6</v>
      </c>
      <c r="T19">
        <f t="shared" ca="1" si="15"/>
        <v>7.1018244573802319E-2</v>
      </c>
      <c r="U19">
        <v>0</v>
      </c>
      <c r="V19">
        <f t="shared" si="16"/>
        <v>1</v>
      </c>
      <c r="W19">
        <f t="shared" si="4"/>
        <v>0.57392078646092071</v>
      </c>
      <c r="X19">
        <f t="shared" si="5"/>
        <v>2.7599639275902024</v>
      </c>
      <c r="Y19">
        <f t="shared" si="17"/>
        <v>0.970873786407767</v>
      </c>
      <c r="Z19">
        <f t="shared" si="18"/>
        <v>-5.1573880640494174E-3</v>
      </c>
      <c r="AA19">
        <f t="shared" si="29"/>
        <v>2.6598651643199397E-5</v>
      </c>
      <c r="AB19">
        <f t="shared" si="6"/>
        <v>0.17571783723246817</v>
      </c>
      <c r="AC19">
        <f t="shared" si="7"/>
        <v>5.7392078646092075E-2</v>
      </c>
      <c r="AD19">
        <f t="shared" si="8"/>
        <v>4.4569297660519105E-2</v>
      </c>
      <c r="AE19">
        <f t="shared" si="19"/>
        <v>0.27767921353907937</v>
      </c>
      <c r="AF19">
        <f t="shared" si="20"/>
        <v>0.27767921353907932</v>
      </c>
      <c r="AG19">
        <f t="shared" si="9"/>
        <v>0.17103794873064651</v>
      </c>
      <c r="AH19">
        <f t="shared" si="21"/>
        <v>0.7028713489298728</v>
      </c>
      <c r="AI19">
        <f t="shared" si="22"/>
        <v>0.6101252758923551</v>
      </c>
      <c r="AJ19">
        <f t="shared" si="30"/>
        <v>0</v>
      </c>
      <c r="AK19">
        <f t="shared" si="31"/>
        <v>0</v>
      </c>
      <c r="AL19">
        <f t="shared" si="32"/>
        <v>0</v>
      </c>
      <c r="AM19">
        <f t="shared" si="33"/>
        <v>0</v>
      </c>
      <c r="AN19">
        <v>0.03</v>
      </c>
      <c r="AO19">
        <f t="shared" si="23"/>
        <v>0</v>
      </c>
      <c r="AP19">
        <f t="shared" si="24"/>
        <v>0</v>
      </c>
    </row>
    <row r="20" spans="1:42" ht="15.75" thickBot="1" x14ac:dyDescent="0.3">
      <c r="A20" s="8" t="s">
        <v>28</v>
      </c>
      <c r="B20" s="24">
        <v>1</v>
      </c>
      <c r="C20" s="25"/>
      <c r="D20" s="26" t="e">
        <f>((R_1)/Alpha1)^(1/(Alpha1-1))</f>
        <v>#REF!</v>
      </c>
      <c r="F20" s="7">
        <f t="shared" si="25"/>
        <v>19</v>
      </c>
      <c r="G20">
        <f t="shared" si="0"/>
        <v>1.3863127604892389</v>
      </c>
      <c r="H20">
        <v>1</v>
      </c>
      <c r="I20">
        <f t="shared" si="10"/>
        <v>3.71</v>
      </c>
      <c r="J20">
        <f t="shared" si="26"/>
        <v>0.1484</v>
      </c>
      <c r="K20">
        <f t="shared" si="1"/>
        <v>8.0088585194104417E-2</v>
      </c>
      <c r="L20">
        <f t="shared" si="2"/>
        <v>0</v>
      </c>
      <c r="M20">
        <f t="shared" si="11"/>
        <v>0.69815629325111683</v>
      </c>
      <c r="N20">
        <f t="shared" si="27"/>
        <v>0.33</v>
      </c>
      <c r="O20">
        <f t="shared" si="12"/>
        <v>0.99999999999999989</v>
      </c>
      <c r="P20">
        <f t="shared" si="13"/>
        <v>2.1299131785753715</v>
      </c>
      <c r="Q20">
        <f t="shared" si="3"/>
        <v>0</v>
      </c>
      <c r="R20">
        <f t="shared" si="14"/>
        <v>-1.8686432864186697E-3</v>
      </c>
      <c r="S20">
        <f t="shared" si="28"/>
        <v>3.4918277318775664E-6</v>
      </c>
      <c r="T20">
        <f t="shared" ca="1" si="15"/>
        <v>-3.9065869965057613E-2</v>
      </c>
      <c r="U20">
        <v>0</v>
      </c>
      <c r="V20">
        <f t="shared" si="16"/>
        <v>1</v>
      </c>
      <c r="W20">
        <f t="shared" si="4"/>
        <v>0.57392078646092071</v>
      </c>
      <c r="X20">
        <f t="shared" si="5"/>
        <v>2.7599639275902024</v>
      </c>
      <c r="Y20">
        <f t="shared" si="17"/>
        <v>0.970873786407767</v>
      </c>
      <c r="Z20">
        <f t="shared" si="18"/>
        <v>-5.1573880640494174E-3</v>
      </c>
      <c r="AA20">
        <f t="shared" si="29"/>
        <v>2.6598651643199397E-5</v>
      </c>
      <c r="AB20">
        <f t="shared" si="6"/>
        <v>0.17571783723246817</v>
      </c>
      <c r="AC20">
        <f t="shared" si="7"/>
        <v>5.7392078646092075E-2</v>
      </c>
      <c r="AD20">
        <f t="shared" si="8"/>
        <v>4.4569297660519105E-2</v>
      </c>
      <c r="AE20">
        <f t="shared" si="19"/>
        <v>0.27767921353907937</v>
      </c>
      <c r="AF20">
        <f t="shared" si="20"/>
        <v>0.27767921353907932</v>
      </c>
      <c r="AG20">
        <f t="shared" si="9"/>
        <v>0.17103794873064651</v>
      </c>
      <c r="AH20">
        <f t="shared" si="21"/>
        <v>0.7028713489298728</v>
      </c>
      <c r="AI20">
        <f t="shared" si="22"/>
        <v>0.6101252758923551</v>
      </c>
      <c r="AJ20">
        <f t="shared" si="30"/>
        <v>0</v>
      </c>
      <c r="AK20">
        <f t="shared" si="31"/>
        <v>0</v>
      </c>
      <c r="AL20">
        <f t="shared" si="32"/>
        <v>0</v>
      </c>
      <c r="AM20">
        <f t="shared" si="33"/>
        <v>0</v>
      </c>
      <c r="AN20">
        <v>0.03</v>
      </c>
      <c r="AO20">
        <f t="shared" si="23"/>
        <v>0</v>
      </c>
      <c r="AP20">
        <f t="shared" si="24"/>
        <v>0</v>
      </c>
    </row>
    <row r="21" spans="1:42" ht="15.75" thickBot="1" x14ac:dyDescent="0.3">
      <c r="A21" s="10" t="s">
        <v>29</v>
      </c>
      <c r="B21" s="27">
        <v>3.71</v>
      </c>
      <c r="C21" s="28"/>
      <c r="F21" s="7">
        <f t="shared" si="25"/>
        <v>20</v>
      </c>
      <c r="G21">
        <f t="shared" si="0"/>
        <v>1.3863127604892389</v>
      </c>
      <c r="H21">
        <v>1</v>
      </c>
      <c r="I21">
        <f t="shared" si="10"/>
        <v>3.71</v>
      </c>
      <c r="J21">
        <f t="shared" si="26"/>
        <v>0.1484</v>
      </c>
      <c r="K21">
        <f t="shared" si="1"/>
        <v>8.0088585194104417E-2</v>
      </c>
      <c r="L21">
        <f t="shared" si="2"/>
        <v>0</v>
      </c>
      <c r="M21">
        <f t="shared" si="11"/>
        <v>0.69815629325111683</v>
      </c>
      <c r="N21">
        <f t="shared" si="27"/>
        <v>0.33</v>
      </c>
      <c r="O21">
        <f t="shared" si="12"/>
        <v>0.99999999999999989</v>
      </c>
      <c r="P21">
        <f t="shared" si="13"/>
        <v>2.1299131785753715</v>
      </c>
      <c r="Q21">
        <f t="shared" si="3"/>
        <v>0</v>
      </c>
      <c r="R21">
        <f t="shared" si="14"/>
        <v>-1.8686432864186697E-3</v>
      </c>
      <c r="S21">
        <f t="shared" si="28"/>
        <v>3.4918277318775664E-6</v>
      </c>
      <c r="T21">
        <f t="shared" ca="1" si="15"/>
        <v>8.0855555748837155E-2</v>
      </c>
      <c r="U21">
        <v>0</v>
      </c>
      <c r="V21">
        <f t="shared" si="16"/>
        <v>1</v>
      </c>
      <c r="W21">
        <f t="shared" si="4"/>
        <v>0.57392078646092071</v>
      </c>
      <c r="X21">
        <f t="shared" si="5"/>
        <v>2.7599639275902024</v>
      </c>
      <c r="Y21">
        <f t="shared" si="17"/>
        <v>0.970873786407767</v>
      </c>
      <c r="Z21">
        <f t="shared" si="18"/>
        <v>-5.1573880640494174E-3</v>
      </c>
      <c r="AA21">
        <f t="shared" si="29"/>
        <v>2.6598651643199397E-5</v>
      </c>
      <c r="AB21">
        <f t="shared" si="6"/>
        <v>0.17571783723246817</v>
      </c>
      <c r="AC21">
        <f t="shared" si="7"/>
        <v>5.7392078646092075E-2</v>
      </c>
      <c r="AD21">
        <f t="shared" si="8"/>
        <v>4.4569297660519105E-2</v>
      </c>
      <c r="AE21">
        <f t="shared" si="19"/>
        <v>0.27767921353907937</v>
      </c>
      <c r="AF21">
        <f t="shared" si="20"/>
        <v>0.27767921353907932</v>
      </c>
      <c r="AG21">
        <f t="shared" si="9"/>
        <v>0.17103794873064651</v>
      </c>
      <c r="AH21">
        <f t="shared" si="21"/>
        <v>0.7028713489298728</v>
      </c>
      <c r="AI21">
        <f t="shared" si="22"/>
        <v>0.6101252758923551</v>
      </c>
      <c r="AJ21">
        <f t="shared" si="30"/>
        <v>0</v>
      </c>
      <c r="AK21">
        <f t="shared" si="31"/>
        <v>0</v>
      </c>
      <c r="AL21">
        <f t="shared" si="32"/>
        <v>0</v>
      </c>
      <c r="AM21">
        <f t="shared" si="33"/>
        <v>0</v>
      </c>
      <c r="AN21">
        <v>0.03</v>
      </c>
      <c r="AO21">
        <f t="shared" si="23"/>
        <v>0</v>
      </c>
      <c r="AP21">
        <f t="shared" si="24"/>
        <v>0</v>
      </c>
    </row>
    <row r="22" spans="1:42" ht="15.75" thickBot="1" x14ac:dyDescent="0.3">
      <c r="A22" s="3" t="s">
        <v>30</v>
      </c>
      <c r="B22" s="3">
        <v>0.33</v>
      </c>
      <c r="F22" s="7">
        <f t="shared" si="25"/>
        <v>21</v>
      </c>
      <c r="G22">
        <f t="shared" si="0"/>
        <v>1.3863127604892389</v>
      </c>
      <c r="H22">
        <v>1</v>
      </c>
      <c r="I22">
        <f t="shared" si="10"/>
        <v>3.71</v>
      </c>
      <c r="J22">
        <f t="shared" si="26"/>
        <v>0.1484</v>
      </c>
      <c r="K22">
        <f t="shared" si="1"/>
        <v>8.0088585194104417E-2</v>
      </c>
      <c r="L22">
        <f t="shared" si="2"/>
        <v>0</v>
      </c>
      <c r="M22">
        <f t="shared" si="11"/>
        <v>0.69815629325111683</v>
      </c>
      <c r="N22">
        <f t="shared" si="27"/>
        <v>0.33</v>
      </c>
      <c r="O22">
        <f t="shared" si="12"/>
        <v>0.99999999999999989</v>
      </c>
      <c r="P22">
        <f t="shared" si="13"/>
        <v>2.1299131785753715</v>
      </c>
      <c r="Q22">
        <f t="shared" si="3"/>
        <v>0</v>
      </c>
      <c r="R22">
        <f t="shared" si="14"/>
        <v>-1.8686432864186697E-3</v>
      </c>
      <c r="S22">
        <f t="shared" si="28"/>
        <v>3.4918277318775664E-6</v>
      </c>
      <c r="T22">
        <f t="shared" ca="1" si="15"/>
        <v>3.3644759083650666E-2</v>
      </c>
      <c r="U22">
        <v>0</v>
      </c>
      <c r="V22">
        <f t="shared" si="16"/>
        <v>1</v>
      </c>
      <c r="W22">
        <f t="shared" si="4"/>
        <v>0.57392078646092071</v>
      </c>
      <c r="X22">
        <f t="shared" si="5"/>
        <v>2.7599639275902024</v>
      </c>
      <c r="Y22">
        <f t="shared" si="17"/>
        <v>0.970873786407767</v>
      </c>
      <c r="Z22">
        <f t="shared" si="18"/>
        <v>-5.1573880640494174E-3</v>
      </c>
      <c r="AA22">
        <f t="shared" si="29"/>
        <v>2.6598651643199397E-5</v>
      </c>
      <c r="AB22">
        <f t="shared" si="6"/>
        <v>0.17571783723246817</v>
      </c>
      <c r="AC22">
        <f t="shared" si="7"/>
        <v>5.7392078646092075E-2</v>
      </c>
      <c r="AD22">
        <f t="shared" si="8"/>
        <v>4.4569297660519105E-2</v>
      </c>
      <c r="AE22">
        <f t="shared" si="19"/>
        <v>0.27767921353907937</v>
      </c>
      <c r="AF22">
        <f t="shared" si="20"/>
        <v>0.27767921353907932</v>
      </c>
      <c r="AG22">
        <f t="shared" si="9"/>
        <v>0.17103794873064651</v>
      </c>
      <c r="AH22">
        <f t="shared" si="21"/>
        <v>0.7028713489298728</v>
      </c>
      <c r="AI22">
        <f t="shared" si="22"/>
        <v>0.6101252758923551</v>
      </c>
      <c r="AJ22">
        <f t="shared" si="30"/>
        <v>0</v>
      </c>
      <c r="AK22">
        <f t="shared" si="31"/>
        <v>0</v>
      </c>
      <c r="AL22">
        <f t="shared" si="32"/>
        <v>0</v>
      </c>
      <c r="AM22">
        <f t="shared" si="33"/>
        <v>0</v>
      </c>
      <c r="AN22">
        <v>0.03</v>
      </c>
      <c r="AO22">
        <f t="shared" si="23"/>
        <v>0</v>
      </c>
      <c r="AP22">
        <f t="shared" si="24"/>
        <v>0</v>
      </c>
    </row>
    <row r="23" spans="1:42" ht="15.75" thickBot="1" x14ac:dyDescent="0.3">
      <c r="A23" s="4" t="s">
        <v>31</v>
      </c>
      <c r="B23" s="14">
        <f>1</f>
        <v>1</v>
      </c>
      <c r="C23" s="15"/>
      <c r="F23" s="7">
        <f t="shared" si="25"/>
        <v>22</v>
      </c>
      <c r="G23">
        <f t="shared" si="0"/>
        <v>1.3863127604892389</v>
      </c>
      <c r="H23">
        <v>1</v>
      </c>
      <c r="I23">
        <f t="shared" si="10"/>
        <v>3.71</v>
      </c>
      <c r="J23">
        <f t="shared" si="26"/>
        <v>0.1484</v>
      </c>
      <c r="K23">
        <f t="shared" si="1"/>
        <v>8.0088585194104417E-2</v>
      </c>
      <c r="L23">
        <f t="shared" si="2"/>
        <v>0</v>
      </c>
      <c r="M23">
        <f t="shared" si="11"/>
        <v>0.69815629325111683</v>
      </c>
      <c r="N23">
        <f t="shared" si="27"/>
        <v>0.33</v>
      </c>
      <c r="O23">
        <f t="shared" si="12"/>
        <v>0.99999999999999989</v>
      </c>
      <c r="P23">
        <f t="shared" si="13"/>
        <v>2.1299131785753715</v>
      </c>
      <c r="Q23">
        <f t="shared" si="3"/>
        <v>0</v>
      </c>
      <c r="R23">
        <f t="shared" si="14"/>
        <v>-1.8686432864186697E-3</v>
      </c>
      <c r="S23">
        <f t="shared" si="28"/>
        <v>3.4918277318775664E-6</v>
      </c>
      <c r="T23">
        <f t="shared" ca="1" si="15"/>
        <v>5.0668984651349849E-2</v>
      </c>
      <c r="U23">
        <v>0</v>
      </c>
      <c r="V23">
        <f t="shared" si="16"/>
        <v>1</v>
      </c>
      <c r="W23">
        <f t="shared" si="4"/>
        <v>0.57392078646092071</v>
      </c>
      <c r="X23">
        <f t="shared" si="5"/>
        <v>2.7599639275902024</v>
      </c>
      <c r="Y23">
        <f t="shared" si="17"/>
        <v>0.970873786407767</v>
      </c>
      <c r="Z23">
        <f t="shared" si="18"/>
        <v>-5.1573880640494174E-3</v>
      </c>
      <c r="AA23">
        <f t="shared" si="29"/>
        <v>2.6598651643199397E-5</v>
      </c>
      <c r="AB23">
        <f t="shared" si="6"/>
        <v>0.17571783723246817</v>
      </c>
      <c r="AC23">
        <f t="shared" si="7"/>
        <v>5.7392078646092075E-2</v>
      </c>
      <c r="AD23">
        <f t="shared" si="8"/>
        <v>4.4569297660519105E-2</v>
      </c>
      <c r="AE23">
        <f t="shared" si="19"/>
        <v>0.27767921353907937</v>
      </c>
      <c r="AF23">
        <f t="shared" si="20"/>
        <v>0.27767921353907932</v>
      </c>
      <c r="AG23">
        <f t="shared" si="9"/>
        <v>0.17103794873064651</v>
      </c>
      <c r="AH23">
        <f t="shared" si="21"/>
        <v>0.7028713489298728</v>
      </c>
      <c r="AI23">
        <f t="shared" si="22"/>
        <v>0.6101252758923551</v>
      </c>
      <c r="AJ23">
        <f t="shared" si="30"/>
        <v>0</v>
      </c>
      <c r="AK23">
        <f t="shared" si="31"/>
        <v>0</v>
      </c>
      <c r="AL23">
        <f t="shared" si="32"/>
        <v>0</v>
      </c>
      <c r="AM23">
        <f t="shared" si="33"/>
        <v>0</v>
      </c>
      <c r="AN23">
        <v>0.03</v>
      </c>
      <c r="AO23">
        <f t="shared" si="23"/>
        <v>0</v>
      </c>
      <c r="AP23">
        <f t="shared" si="24"/>
        <v>0</v>
      </c>
    </row>
    <row r="24" spans="1:42" ht="15.75" thickBot="1" x14ac:dyDescent="0.3">
      <c r="A24" s="8" t="s">
        <v>52</v>
      </c>
      <c r="B24" s="29">
        <f>(ybar - Delta*kbar - tauw * lbar *mpl - tauk * mpk *kbar)/(1+tauc)</f>
        <v>0.57392078646092071</v>
      </c>
      <c r="C24" s="30"/>
      <c r="F24" s="7">
        <f t="shared" si="25"/>
        <v>23</v>
      </c>
      <c r="G24">
        <f t="shared" si="0"/>
        <v>1.3863127604892389</v>
      </c>
      <c r="H24">
        <v>1</v>
      </c>
      <c r="I24">
        <f t="shared" si="10"/>
        <v>3.71</v>
      </c>
      <c r="J24">
        <f t="shared" si="26"/>
        <v>0.1484</v>
      </c>
      <c r="K24">
        <f t="shared" si="1"/>
        <v>8.0088585194104417E-2</v>
      </c>
      <c r="L24">
        <f t="shared" si="2"/>
        <v>0</v>
      </c>
      <c r="M24">
        <f t="shared" si="11"/>
        <v>0.69815629325111683</v>
      </c>
      <c r="N24">
        <f t="shared" si="27"/>
        <v>0.33</v>
      </c>
      <c r="O24">
        <f t="shared" si="12"/>
        <v>0.99999999999999989</v>
      </c>
      <c r="P24">
        <f t="shared" si="13"/>
        <v>2.1299131785753715</v>
      </c>
      <c r="Q24">
        <f t="shared" si="3"/>
        <v>0</v>
      </c>
      <c r="R24">
        <f t="shared" si="14"/>
        <v>-1.8686432864186697E-3</v>
      </c>
      <c r="S24">
        <f t="shared" si="28"/>
        <v>3.4918277318775664E-6</v>
      </c>
      <c r="T24">
        <f t="shared" ca="1" si="15"/>
        <v>3.7520692238908568E-2</v>
      </c>
      <c r="U24">
        <v>0</v>
      </c>
      <c r="V24">
        <f t="shared" si="16"/>
        <v>1</v>
      </c>
      <c r="W24">
        <f t="shared" si="4"/>
        <v>0.57392078646092071</v>
      </c>
      <c r="X24">
        <f t="shared" si="5"/>
        <v>2.7599639275902024</v>
      </c>
      <c r="Y24">
        <f t="shared" si="17"/>
        <v>0.970873786407767</v>
      </c>
      <c r="Z24">
        <f t="shared" si="18"/>
        <v>-5.1573880640494174E-3</v>
      </c>
      <c r="AA24">
        <f t="shared" si="29"/>
        <v>2.6598651643199397E-5</v>
      </c>
      <c r="AB24">
        <f t="shared" si="6"/>
        <v>0.17571783723246817</v>
      </c>
      <c r="AC24">
        <f t="shared" si="7"/>
        <v>5.7392078646092075E-2</v>
      </c>
      <c r="AD24">
        <f t="shared" si="8"/>
        <v>4.4569297660519105E-2</v>
      </c>
      <c r="AE24">
        <f t="shared" si="19"/>
        <v>0.27767921353907937</v>
      </c>
      <c r="AF24">
        <f t="shared" si="20"/>
        <v>0.27767921353907932</v>
      </c>
      <c r="AG24">
        <f t="shared" si="9"/>
        <v>0.17103794873064651</v>
      </c>
      <c r="AH24">
        <f t="shared" si="21"/>
        <v>0.7028713489298728</v>
      </c>
      <c r="AI24">
        <f t="shared" si="22"/>
        <v>0.6101252758923551</v>
      </c>
      <c r="AJ24">
        <f t="shared" si="30"/>
        <v>0</v>
      </c>
      <c r="AK24">
        <f t="shared" si="31"/>
        <v>0</v>
      </c>
      <c r="AL24">
        <f t="shared" si="32"/>
        <v>0</v>
      </c>
      <c r="AM24">
        <f t="shared" si="33"/>
        <v>0</v>
      </c>
      <c r="AN24">
        <v>0.03</v>
      </c>
      <c r="AO24">
        <f t="shared" si="23"/>
        <v>0</v>
      </c>
      <c r="AP24">
        <f t="shared" si="24"/>
        <v>0</v>
      </c>
    </row>
    <row r="25" spans="1:42" ht="15.75" thickBot="1" x14ac:dyDescent="0.3">
      <c r="A25" s="31"/>
      <c r="B25" s="32"/>
      <c r="C25" s="33"/>
      <c r="F25" s="7">
        <f t="shared" si="25"/>
        <v>24</v>
      </c>
      <c r="G25">
        <f t="shared" si="0"/>
        <v>1.3863127604892389</v>
      </c>
      <c r="H25">
        <v>1</v>
      </c>
      <c r="I25">
        <f t="shared" si="10"/>
        <v>3.71</v>
      </c>
      <c r="J25">
        <f t="shared" si="26"/>
        <v>0.1484</v>
      </c>
      <c r="K25">
        <f t="shared" si="1"/>
        <v>8.0088585194104417E-2</v>
      </c>
      <c r="L25">
        <f t="shared" si="2"/>
        <v>0</v>
      </c>
      <c r="M25">
        <f t="shared" si="11"/>
        <v>0.69815629325111683</v>
      </c>
      <c r="N25">
        <f t="shared" si="27"/>
        <v>0.33</v>
      </c>
      <c r="O25">
        <f t="shared" si="12"/>
        <v>0.99999999999999989</v>
      </c>
      <c r="P25">
        <f t="shared" si="13"/>
        <v>2.1299131785753715</v>
      </c>
      <c r="Q25">
        <f t="shared" si="3"/>
        <v>0</v>
      </c>
      <c r="R25">
        <f t="shared" si="14"/>
        <v>-1.8686432864186697E-3</v>
      </c>
      <c r="S25">
        <f t="shared" si="28"/>
        <v>3.4918277318775664E-6</v>
      </c>
      <c r="T25">
        <f t="shared" ca="1" si="15"/>
        <v>-8.9068250994358746E-3</v>
      </c>
      <c r="U25">
        <v>0</v>
      </c>
      <c r="V25">
        <f t="shared" si="16"/>
        <v>1</v>
      </c>
      <c r="W25">
        <f t="shared" si="4"/>
        <v>0.57392078646092071</v>
      </c>
      <c r="X25">
        <f t="shared" si="5"/>
        <v>2.7599639275902024</v>
      </c>
      <c r="Y25">
        <f t="shared" si="17"/>
        <v>0.970873786407767</v>
      </c>
      <c r="Z25">
        <f t="shared" si="18"/>
        <v>-5.1573880640494174E-3</v>
      </c>
      <c r="AA25">
        <f t="shared" si="29"/>
        <v>2.6598651643199397E-5</v>
      </c>
      <c r="AB25">
        <f t="shared" si="6"/>
        <v>0.17571783723246817</v>
      </c>
      <c r="AC25">
        <f t="shared" si="7"/>
        <v>5.7392078646092075E-2</v>
      </c>
      <c r="AD25">
        <f t="shared" si="8"/>
        <v>4.4569297660519105E-2</v>
      </c>
      <c r="AE25">
        <f t="shared" si="19"/>
        <v>0.27767921353907937</v>
      </c>
      <c r="AF25">
        <f t="shared" si="20"/>
        <v>0.27767921353907932</v>
      </c>
      <c r="AG25">
        <f t="shared" si="9"/>
        <v>0.17103794873064651</v>
      </c>
      <c r="AH25">
        <f t="shared" si="21"/>
        <v>0.7028713489298728</v>
      </c>
      <c r="AI25">
        <f t="shared" si="22"/>
        <v>0.6101252758923551</v>
      </c>
      <c r="AJ25">
        <f t="shared" si="30"/>
        <v>0</v>
      </c>
      <c r="AK25">
        <f t="shared" si="31"/>
        <v>0</v>
      </c>
      <c r="AL25">
        <f t="shared" si="32"/>
        <v>0</v>
      </c>
      <c r="AM25">
        <f t="shared" si="33"/>
        <v>0</v>
      </c>
      <c r="AN25">
        <v>0.03</v>
      </c>
      <c r="AO25">
        <f t="shared" si="23"/>
        <v>0</v>
      </c>
      <c r="AP25">
        <f t="shared" si="24"/>
        <v>0</v>
      </c>
    </row>
    <row r="26" spans="1:42" ht="15.75" thickBot="1" x14ac:dyDescent="0.3">
      <c r="F26" s="7">
        <f t="shared" si="25"/>
        <v>25</v>
      </c>
      <c r="G26">
        <f t="shared" si="0"/>
        <v>1.3863127604892389</v>
      </c>
      <c r="H26">
        <v>1</v>
      </c>
      <c r="I26">
        <f t="shared" si="10"/>
        <v>3.71</v>
      </c>
      <c r="J26">
        <f t="shared" si="26"/>
        <v>0.1484</v>
      </c>
      <c r="K26">
        <f t="shared" si="1"/>
        <v>8.0088585194104417E-2</v>
      </c>
      <c r="L26">
        <f t="shared" si="2"/>
        <v>0</v>
      </c>
      <c r="M26">
        <f t="shared" si="11"/>
        <v>0.69815629325111683</v>
      </c>
      <c r="N26">
        <f t="shared" si="27"/>
        <v>0.33</v>
      </c>
      <c r="O26">
        <f t="shared" si="12"/>
        <v>0.99999999999999989</v>
      </c>
      <c r="P26">
        <f t="shared" si="13"/>
        <v>2.1299131785753715</v>
      </c>
      <c r="Q26">
        <f t="shared" si="3"/>
        <v>0</v>
      </c>
      <c r="R26">
        <f t="shared" si="14"/>
        <v>-1.8686432864186697E-3</v>
      </c>
      <c r="S26">
        <f t="shared" si="28"/>
        <v>3.4918277318775664E-6</v>
      </c>
      <c r="T26">
        <f t="shared" ca="1" si="15"/>
        <v>1.7498073562296778E-2</v>
      </c>
      <c r="U26">
        <v>0</v>
      </c>
      <c r="V26">
        <f t="shared" si="16"/>
        <v>1</v>
      </c>
      <c r="W26">
        <f t="shared" si="4"/>
        <v>0.57392078646092071</v>
      </c>
      <c r="X26">
        <f t="shared" si="5"/>
        <v>2.7599639275902024</v>
      </c>
      <c r="Y26">
        <f t="shared" si="17"/>
        <v>0.970873786407767</v>
      </c>
      <c r="Z26">
        <f t="shared" si="18"/>
        <v>-5.1573880640494174E-3</v>
      </c>
      <c r="AA26">
        <f t="shared" si="29"/>
        <v>2.6598651643199397E-5</v>
      </c>
      <c r="AB26">
        <f t="shared" si="6"/>
        <v>0.17571783723246817</v>
      </c>
      <c r="AC26">
        <f t="shared" si="7"/>
        <v>5.7392078646092075E-2</v>
      </c>
      <c r="AD26">
        <f t="shared" si="8"/>
        <v>4.4569297660519105E-2</v>
      </c>
      <c r="AE26">
        <f t="shared" si="19"/>
        <v>0.27767921353907937</v>
      </c>
      <c r="AF26">
        <f t="shared" si="20"/>
        <v>0.27767921353907932</v>
      </c>
      <c r="AG26">
        <f t="shared" si="9"/>
        <v>0.17103794873064651</v>
      </c>
      <c r="AH26">
        <f t="shared" si="21"/>
        <v>0.7028713489298728</v>
      </c>
      <c r="AI26">
        <f t="shared" si="22"/>
        <v>0.6101252758923551</v>
      </c>
      <c r="AJ26">
        <f t="shared" si="30"/>
        <v>0</v>
      </c>
      <c r="AK26">
        <f t="shared" si="31"/>
        <v>0</v>
      </c>
      <c r="AL26">
        <f t="shared" si="32"/>
        <v>0</v>
      </c>
      <c r="AM26">
        <f t="shared" si="33"/>
        <v>0</v>
      </c>
      <c r="AN26">
        <v>0.03</v>
      </c>
      <c r="AO26">
        <f t="shared" si="23"/>
        <v>0</v>
      </c>
      <c r="AP26">
        <f t="shared" si="24"/>
        <v>0</v>
      </c>
    </row>
    <row r="27" spans="1:42" ht="15.75" thickBot="1" x14ac:dyDescent="0.3">
      <c r="A27" s="34"/>
      <c r="B27" s="35"/>
      <c r="F27" s="7">
        <f t="shared" si="25"/>
        <v>26</v>
      </c>
      <c r="G27">
        <f t="shared" si="0"/>
        <v>1.3863127604892389</v>
      </c>
      <c r="H27">
        <v>1</v>
      </c>
      <c r="I27">
        <f t="shared" si="10"/>
        <v>3.71</v>
      </c>
      <c r="J27">
        <f t="shared" si="26"/>
        <v>0.1484</v>
      </c>
      <c r="K27">
        <f t="shared" si="1"/>
        <v>8.0088585194104417E-2</v>
      </c>
      <c r="L27">
        <f t="shared" si="2"/>
        <v>0</v>
      </c>
      <c r="M27">
        <f t="shared" si="11"/>
        <v>0.69815629325111683</v>
      </c>
      <c r="N27">
        <f t="shared" si="27"/>
        <v>0.33</v>
      </c>
      <c r="O27">
        <f t="shared" si="12"/>
        <v>0.99999999999999989</v>
      </c>
      <c r="P27">
        <f t="shared" si="13"/>
        <v>2.1299131785753715</v>
      </c>
      <c r="Q27">
        <f t="shared" si="3"/>
        <v>0</v>
      </c>
      <c r="R27">
        <f t="shared" si="14"/>
        <v>-1.8686432864186697E-3</v>
      </c>
      <c r="S27">
        <f t="shared" si="28"/>
        <v>3.4918277318775664E-6</v>
      </c>
      <c r="T27">
        <f t="shared" ca="1" si="15"/>
        <v>0.11474833283029449</v>
      </c>
      <c r="U27">
        <v>0</v>
      </c>
      <c r="V27">
        <f t="shared" si="16"/>
        <v>1</v>
      </c>
      <c r="W27">
        <f t="shared" si="4"/>
        <v>0.57392078646092071</v>
      </c>
      <c r="X27">
        <f t="shared" si="5"/>
        <v>2.7599639275902024</v>
      </c>
      <c r="Y27">
        <f t="shared" si="17"/>
        <v>0.970873786407767</v>
      </c>
      <c r="Z27">
        <f t="shared" si="18"/>
        <v>-5.1573880640494174E-3</v>
      </c>
      <c r="AA27">
        <f t="shared" si="29"/>
        <v>2.6598651643199397E-5</v>
      </c>
      <c r="AB27">
        <f t="shared" si="6"/>
        <v>0.17571783723246817</v>
      </c>
      <c r="AC27">
        <f t="shared" si="7"/>
        <v>5.7392078646092075E-2</v>
      </c>
      <c r="AD27">
        <f t="shared" si="8"/>
        <v>4.4569297660519105E-2</v>
      </c>
      <c r="AE27">
        <f t="shared" si="19"/>
        <v>0.27767921353907937</v>
      </c>
      <c r="AF27">
        <f t="shared" si="20"/>
        <v>0.27767921353907932</v>
      </c>
      <c r="AG27">
        <f t="shared" si="9"/>
        <v>0.17103794873064651</v>
      </c>
      <c r="AH27">
        <f t="shared" si="21"/>
        <v>0.7028713489298728</v>
      </c>
      <c r="AI27">
        <f t="shared" si="22"/>
        <v>0.6101252758923551</v>
      </c>
      <c r="AJ27">
        <f t="shared" si="30"/>
        <v>0</v>
      </c>
      <c r="AK27">
        <f t="shared" si="31"/>
        <v>0</v>
      </c>
      <c r="AL27">
        <f t="shared" si="32"/>
        <v>0</v>
      </c>
      <c r="AM27">
        <f t="shared" si="33"/>
        <v>0</v>
      </c>
      <c r="AN27">
        <v>0.03</v>
      </c>
      <c r="AO27">
        <f t="shared" si="23"/>
        <v>0</v>
      </c>
      <c r="AP27">
        <f t="shared" si="24"/>
        <v>0</v>
      </c>
    </row>
    <row r="28" spans="1:42" ht="15.75" thickBot="1" x14ac:dyDescent="0.3">
      <c r="A28" s="8"/>
      <c r="B28" s="36"/>
      <c r="F28" s="7">
        <f t="shared" si="25"/>
        <v>27</v>
      </c>
      <c r="G28">
        <f t="shared" si="0"/>
        <v>1.3863127604892389</v>
      </c>
      <c r="H28">
        <v>1</v>
      </c>
      <c r="I28">
        <f t="shared" si="10"/>
        <v>3.71</v>
      </c>
      <c r="J28">
        <f t="shared" si="26"/>
        <v>0.1484</v>
      </c>
      <c r="K28">
        <f t="shared" si="1"/>
        <v>8.0088585194104417E-2</v>
      </c>
      <c r="L28">
        <f t="shared" si="2"/>
        <v>0</v>
      </c>
      <c r="M28">
        <f t="shared" si="11"/>
        <v>0.69815629325111683</v>
      </c>
      <c r="N28">
        <f t="shared" si="27"/>
        <v>0.33</v>
      </c>
      <c r="O28">
        <f t="shared" si="12"/>
        <v>0.99999999999999989</v>
      </c>
      <c r="P28">
        <f t="shared" si="13"/>
        <v>2.1299131785753715</v>
      </c>
      <c r="Q28">
        <f t="shared" si="3"/>
        <v>0</v>
      </c>
      <c r="R28">
        <f t="shared" si="14"/>
        <v>-1.8686432864186697E-3</v>
      </c>
      <c r="S28">
        <f t="shared" si="28"/>
        <v>3.4918277318775664E-6</v>
      </c>
      <c r="T28">
        <f t="shared" ca="1" si="15"/>
        <v>-3.602679164635552E-2</v>
      </c>
      <c r="U28">
        <v>0</v>
      </c>
      <c r="V28">
        <f t="shared" si="16"/>
        <v>1</v>
      </c>
      <c r="W28">
        <f t="shared" si="4"/>
        <v>0.57392078646092071</v>
      </c>
      <c r="X28">
        <f t="shared" si="5"/>
        <v>2.7599639275902024</v>
      </c>
      <c r="Y28">
        <f t="shared" si="17"/>
        <v>0.970873786407767</v>
      </c>
      <c r="Z28">
        <f t="shared" si="18"/>
        <v>-5.1573880640494174E-3</v>
      </c>
      <c r="AA28">
        <f t="shared" si="29"/>
        <v>2.6598651643199397E-5</v>
      </c>
      <c r="AB28">
        <f t="shared" si="6"/>
        <v>0.17571783723246817</v>
      </c>
      <c r="AC28">
        <f t="shared" si="7"/>
        <v>5.7392078646092075E-2</v>
      </c>
      <c r="AD28">
        <f t="shared" si="8"/>
        <v>4.4569297660519105E-2</v>
      </c>
      <c r="AE28">
        <f t="shared" si="19"/>
        <v>0.27767921353907937</v>
      </c>
      <c r="AF28">
        <f t="shared" si="20"/>
        <v>0.27767921353907932</v>
      </c>
      <c r="AG28">
        <f t="shared" si="9"/>
        <v>0.17103794873064651</v>
      </c>
      <c r="AH28">
        <f t="shared" si="21"/>
        <v>0.7028713489298728</v>
      </c>
      <c r="AI28">
        <f t="shared" si="22"/>
        <v>0.6101252758923551</v>
      </c>
      <c r="AJ28">
        <f t="shared" si="30"/>
        <v>0</v>
      </c>
      <c r="AK28">
        <f t="shared" si="31"/>
        <v>0</v>
      </c>
      <c r="AL28">
        <f t="shared" si="32"/>
        <v>0</v>
      </c>
      <c r="AM28">
        <f t="shared" si="33"/>
        <v>0</v>
      </c>
      <c r="AN28">
        <v>0.03</v>
      </c>
      <c r="AO28">
        <f t="shared" si="23"/>
        <v>0</v>
      </c>
      <c r="AP28">
        <f t="shared" si="24"/>
        <v>0</v>
      </c>
    </row>
    <row r="29" spans="1:42" ht="15.75" thickBot="1" x14ac:dyDescent="0.3">
      <c r="A29" s="10" t="s">
        <v>32</v>
      </c>
      <c r="B29" s="37">
        <v>0.9</v>
      </c>
      <c r="F29" s="7">
        <f t="shared" si="25"/>
        <v>28</v>
      </c>
      <c r="G29">
        <f t="shared" si="0"/>
        <v>1.3863127604892389</v>
      </c>
      <c r="H29">
        <v>1</v>
      </c>
      <c r="I29">
        <f t="shared" si="10"/>
        <v>3.71</v>
      </c>
      <c r="J29">
        <f t="shared" si="26"/>
        <v>0.1484</v>
      </c>
      <c r="K29">
        <f t="shared" si="1"/>
        <v>8.0088585194104417E-2</v>
      </c>
      <c r="L29">
        <f t="shared" si="2"/>
        <v>0</v>
      </c>
      <c r="M29">
        <f t="shared" si="11"/>
        <v>0.69815629325111683</v>
      </c>
      <c r="N29">
        <f t="shared" si="27"/>
        <v>0.33</v>
      </c>
      <c r="O29">
        <f t="shared" si="12"/>
        <v>0.99999999999999989</v>
      </c>
      <c r="P29">
        <f t="shared" si="13"/>
        <v>2.1299131785753715</v>
      </c>
      <c r="Q29">
        <f t="shared" si="3"/>
        <v>0</v>
      </c>
      <c r="R29">
        <f t="shared" si="14"/>
        <v>-1.8686432864186697E-3</v>
      </c>
      <c r="S29">
        <f t="shared" si="28"/>
        <v>3.4918277318775664E-6</v>
      </c>
      <c r="T29">
        <f t="shared" ca="1" si="15"/>
        <v>-0.11154297793540989</v>
      </c>
      <c r="U29">
        <v>0</v>
      </c>
      <c r="V29">
        <f t="shared" si="16"/>
        <v>1</v>
      </c>
      <c r="W29">
        <f t="shared" si="4"/>
        <v>0.57392078646092071</v>
      </c>
      <c r="X29">
        <f t="shared" si="5"/>
        <v>2.7599639275902024</v>
      </c>
      <c r="Y29">
        <f t="shared" si="17"/>
        <v>0.970873786407767</v>
      </c>
      <c r="Z29">
        <f t="shared" si="18"/>
        <v>-5.1573880640494174E-3</v>
      </c>
      <c r="AA29">
        <f t="shared" si="29"/>
        <v>2.6598651643199397E-5</v>
      </c>
      <c r="AB29">
        <f t="shared" si="6"/>
        <v>0.17571783723246817</v>
      </c>
      <c r="AC29">
        <f t="shared" si="7"/>
        <v>5.7392078646092075E-2</v>
      </c>
      <c r="AD29">
        <f t="shared" si="8"/>
        <v>4.4569297660519105E-2</v>
      </c>
      <c r="AE29">
        <f t="shared" si="19"/>
        <v>0.27767921353907937</v>
      </c>
      <c r="AF29">
        <f t="shared" si="20"/>
        <v>0.27767921353907932</v>
      </c>
      <c r="AG29">
        <f t="shared" si="9"/>
        <v>0.17103794873064651</v>
      </c>
      <c r="AH29">
        <f t="shared" si="21"/>
        <v>0.7028713489298728</v>
      </c>
      <c r="AI29">
        <f t="shared" si="22"/>
        <v>0.6101252758923551</v>
      </c>
      <c r="AJ29">
        <f t="shared" si="30"/>
        <v>0</v>
      </c>
      <c r="AK29">
        <f t="shared" si="31"/>
        <v>0</v>
      </c>
      <c r="AL29">
        <f t="shared" si="32"/>
        <v>0</v>
      </c>
      <c r="AM29">
        <f t="shared" si="33"/>
        <v>0</v>
      </c>
      <c r="AN29">
        <v>0.03</v>
      </c>
      <c r="AO29">
        <f t="shared" si="23"/>
        <v>0</v>
      </c>
      <c r="AP29">
        <f t="shared" si="24"/>
        <v>0</v>
      </c>
    </row>
    <row r="30" spans="1:42" ht="15.75" thickBot="1" x14ac:dyDescent="0.3">
      <c r="A30" s="3" t="s">
        <v>33</v>
      </c>
      <c r="B30" s="3">
        <v>0.01</v>
      </c>
      <c r="F30" s="7">
        <f t="shared" si="25"/>
        <v>29</v>
      </c>
      <c r="G30">
        <f t="shared" si="0"/>
        <v>1.3863127604892389</v>
      </c>
      <c r="H30">
        <v>1</v>
      </c>
      <c r="I30">
        <f t="shared" si="10"/>
        <v>3.71</v>
      </c>
      <c r="J30">
        <f t="shared" si="26"/>
        <v>0.1484</v>
      </c>
      <c r="K30">
        <f t="shared" si="1"/>
        <v>8.0088585194104417E-2</v>
      </c>
      <c r="L30">
        <f t="shared" si="2"/>
        <v>0</v>
      </c>
      <c r="M30">
        <f t="shared" si="11"/>
        <v>0.69815629325111683</v>
      </c>
      <c r="N30">
        <f t="shared" si="27"/>
        <v>0.33</v>
      </c>
      <c r="O30">
        <f t="shared" si="12"/>
        <v>0.99999999999999989</v>
      </c>
      <c r="P30">
        <f t="shared" si="13"/>
        <v>2.1299131785753715</v>
      </c>
      <c r="Q30">
        <f t="shared" si="3"/>
        <v>0</v>
      </c>
      <c r="R30">
        <f t="shared" si="14"/>
        <v>-1.8686432864186697E-3</v>
      </c>
      <c r="S30">
        <f t="shared" si="28"/>
        <v>3.4918277318775664E-6</v>
      </c>
      <c r="T30">
        <f t="shared" ca="1" si="15"/>
        <v>-9.581349987660321E-3</v>
      </c>
      <c r="U30">
        <v>0</v>
      </c>
      <c r="V30">
        <f t="shared" si="16"/>
        <v>1</v>
      </c>
      <c r="W30">
        <f t="shared" si="4"/>
        <v>0.57392078646092071</v>
      </c>
      <c r="X30">
        <f t="shared" si="5"/>
        <v>2.7599639275902024</v>
      </c>
      <c r="Y30">
        <f t="shared" si="17"/>
        <v>0.970873786407767</v>
      </c>
      <c r="Z30">
        <f t="shared" si="18"/>
        <v>-5.1573880640494174E-3</v>
      </c>
      <c r="AA30">
        <f t="shared" si="29"/>
        <v>2.6598651643199397E-5</v>
      </c>
      <c r="AB30">
        <f t="shared" si="6"/>
        <v>0.17571783723246817</v>
      </c>
      <c r="AC30">
        <f t="shared" si="7"/>
        <v>5.7392078646092075E-2</v>
      </c>
      <c r="AD30">
        <f t="shared" si="8"/>
        <v>4.4569297660519105E-2</v>
      </c>
      <c r="AE30">
        <f t="shared" si="19"/>
        <v>0.27767921353907937</v>
      </c>
      <c r="AF30">
        <f t="shared" si="20"/>
        <v>0.27767921353907932</v>
      </c>
      <c r="AG30">
        <f t="shared" si="9"/>
        <v>0.17103794873064651</v>
      </c>
      <c r="AH30">
        <f t="shared" si="21"/>
        <v>0.7028713489298728</v>
      </c>
      <c r="AI30">
        <f t="shared" si="22"/>
        <v>0.6101252758923551</v>
      </c>
      <c r="AJ30">
        <f t="shared" si="30"/>
        <v>0</v>
      </c>
      <c r="AK30">
        <f t="shared" si="31"/>
        <v>0</v>
      </c>
      <c r="AL30">
        <f t="shared" si="32"/>
        <v>0</v>
      </c>
      <c r="AM30">
        <f t="shared" si="33"/>
        <v>0</v>
      </c>
      <c r="AN30">
        <v>0.03</v>
      </c>
      <c r="AO30">
        <f t="shared" si="23"/>
        <v>0</v>
      </c>
      <c r="AP30">
        <f t="shared" si="24"/>
        <v>0</v>
      </c>
    </row>
    <row r="31" spans="1:42" ht="15.75" thickBot="1" x14ac:dyDescent="0.3">
      <c r="A31" s="3" t="s">
        <v>46</v>
      </c>
      <c r="B31" s="3">
        <v>-0.1</v>
      </c>
      <c r="F31" s="7">
        <f t="shared" si="25"/>
        <v>30</v>
      </c>
      <c r="G31">
        <f t="shared" si="0"/>
        <v>1.3863127604892389</v>
      </c>
      <c r="H31">
        <v>1</v>
      </c>
      <c r="I31">
        <f t="shared" si="10"/>
        <v>3.71</v>
      </c>
      <c r="J31">
        <f t="shared" si="26"/>
        <v>0.1484</v>
      </c>
      <c r="K31">
        <f t="shared" si="1"/>
        <v>8.0088585194104417E-2</v>
      </c>
      <c r="L31">
        <f t="shared" si="2"/>
        <v>0</v>
      </c>
      <c r="M31">
        <f t="shared" si="11"/>
        <v>0.69815629325111683</v>
      </c>
      <c r="N31">
        <f t="shared" si="27"/>
        <v>0.33</v>
      </c>
      <c r="O31">
        <f t="shared" si="12"/>
        <v>0.99999999999999989</v>
      </c>
      <c r="P31">
        <f t="shared" si="13"/>
        <v>2.1299131785753715</v>
      </c>
      <c r="Q31">
        <f t="shared" si="3"/>
        <v>0</v>
      </c>
      <c r="R31">
        <f t="shared" si="14"/>
        <v>-1.8686432864186697E-3</v>
      </c>
      <c r="S31">
        <f t="shared" si="28"/>
        <v>3.4918277318775664E-6</v>
      </c>
      <c r="T31">
        <f t="shared" ca="1" si="15"/>
        <v>-4.4406250896207505E-2</v>
      </c>
      <c r="U31">
        <v>0</v>
      </c>
      <c r="V31">
        <f t="shared" si="16"/>
        <v>1</v>
      </c>
      <c r="W31">
        <f t="shared" si="4"/>
        <v>0.57392078646092071</v>
      </c>
      <c r="X31">
        <f t="shared" si="5"/>
        <v>2.7599639275902024</v>
      </c>
      <c r="Y31">
        <f t="shared" si="17"/>
        <v>0.970873786407767</v>
      </c>
      <c r="Z31">
        <f t="shared" si="18"/>
        <v>-5.1573880640494174E-3</v>
      </c>
      <c r="AA31">
        <f t="shared" si="29"/>
        <v>2.6598651643199397E-5</v>
      </c>
      <c r="AB31">
        <f t="shared" si="6"/>
        <v>0.17571783723246817</v>
      </c>
      <c r="AC31">
        <f t="shared" si="7"/>
        <v>5.7392078646092075E-2</v>
      </c>
      <c r="AD31">
        <f t="shared" si="8"/>
        <v>4.4569297660519105E-2</v>
      </c>
      <c r="AE31">
        <f t="shared" si="19"/>
        <v>0.27767921353907937</v>
      </c>
      <c r="AF31">
        <f t="shared" si="20"/>
        <v>0.27767921353907932</v>
      </c>
      <c r="AG31">
        <f t="shared" si="9"/>
        <v>0.17103794873064651</v>
      </c>
      <c r="AH31">
        <f t="shared" si="21"/>
        <v>0.7028713489298728</v>
      </c>
      <c r="AI31">
        <f t="shared" si="22"/>
        <v>0.6101252758923551</v>
      </c>
      <c r="AJ31">
        <f t="shared" si="30"/>
        <v>0</v>
      </c>
      <c r="AK31">
        <f t="shared" si="31"/>
        <v>0</v>
      </c>
      <c r="AL31">
        <f t="shared" si="32"/>
        <v>0</v>
      </c>
      <c r="AM31">
        <f t="shared" si="33"/>
        <v>0</v>
      </c>
      <c r="AN31">
        <v>0.03</v>
      </c>
      <c r="AO31">
        <f t="shared" si="23"/>
        <v>0</v>
      </c>
      <c r="AP31">
        <f t="shared" si="24"/>
        <v>0</v>
      </c>
    </row>
    <row r="32" spans="1:42" ht="15.75" thickBot="1" x14ac:dyDescent="0.3">
      <c r="A32" s="38" t="s">
        <v>34</v>
      </c>
      <c r="B32" s="39"/>
      <c r="C32" s="39"/>
      <c r="F32" s="7">
        <f t="shared" si="25"/>
        <v>31</v>
      </c>
      <c r="G32">
        <f t="shared" si="0"/>
        <v>1.3863127604892389</v>
      </c>
      <c r="H32">
        <v>1</v>
      </c>
      <c r="I32">
        <f t="shared" si="10"/>
        <v>3.71</v>
      </c>
      <c r="J32">
        <f t="shared" si="26"/>
        <v>0.1484</v>
      </c>
      <c r="K32">
        <f t="shared" si="1"/>
        <v>8.0088585194104417E-2</v>
      </c>
      <c r="L32">
        <f t="shared" si="2"/>
        <v>0</v>
      </c>
      <c r="M32">
        <f t="shared" si="11"/>
        <v>0.69815629325111683</v>
      </c>
      <c r="N32">
        <f t="shared" si="27"/>
        <v>0.33</v>
      </c>
      <c r="O32">
        <f t="shared" si="12"/>
        <v>0.99999999999999989</v>
      </c>
      <c r="P32">
        <f t="shared" si="13"/>
        <v>2.1299131785753715</v>
      </c>
      <c r="Q32">
        <f t="shared" si="3"/>
        <v>0</v>
      </c>
      <c r="R32">
        <f t="shared" si="14"/>
        <v>-1.8686432864186697E-3</v>
      </c>
      <c r="S32">
        <f t="shared" si="28"/>
        <v>3.4918277318775664E-6</v>
      </c>
      <c r="T32">
        <f t="shared" ca="1" si="15"/>
        <v>-2.0762995464892048E-2</v>
      </c>
      <c r="U32">
        <v>0</v>
      </c>
      <c r="V32">
        <f t="shared" si="16"/>
        <v>1</v>
      </c>
      <c r="W32">
        <f t="shared" si="4"/>
        <v>0.57392078646092071</v>
      </c>
      <c r="X32">
        <f t="shared" si="5"/>
        <v>2.7599639275902024</v>
      </c>
      <c r="Y32">
        <f t="shared" si="17"/>
        <v>0.970873786407767</v>
      </c>
      <c r="Z32">
        <f t="shared" si="18"/>
        <v>-5.1573880640494174E-3</v>
      </c>
      <c r="AA32">
        <f t="shared" si="29"/>
        <v>2.6598651643199397E-5</v>
      </c>
      <c r="AB32">
        <f t="shared" si="6"/>
        <v>0.17571783723246817</v>
      </c>
      <c r="AC32">
        <f t="shared" si="7"/>
        <v>5.7392078646092075E-2</v>
      </c>
      <c r="AD32">
        <f t="shared" si="8"/>
        <v>4.4569297660519105E-2</v>
      </c>
      <c r="AE32">
        <f t="shared" si="19"/>
        <v>0.27767921353907937</v>
      </c>
      <c r="AF32">
        <f t="shared" si="20"/>
        <v>0.27767921353907932</v>
      </c>
      <c r="AG32">
        <f t="shared" si="9"/>
        <v>0.17103794873064651</v>
      </c>
      <c r="AH32">
        <f t="shared" si="21"/>
        <v>0.7028713489298728</v>
      </c>
      <c r="AI32">
        <f t="shared" si="22"/>
        <v>0.6101252758923551</v>
      </c>
      <c r="AJ32">
        <f t="shared" si="30"/>
        <v>0</v>
      </c>
      <c r="AK32">
        <f t="shared" si="31"/>
        <v>0</v>
      </c>
      <c r="AL32">
        <f t="shared" si="32"/>
        <v>0</v>
      </c>
      <c r="AM32">
        <f t="shared" si="33"/>
        <v>0</v>
      </c>
      <c r="AN32">
        <v>0.03</v>
      </c>
      <c r="AO32">
        <f t="shared" si="23"/>
        <v>0</v>
      </c>
      <c r="AP32">
        <f t="shared" si="24"/>
        <v>0</v>
      </c>
    </row>
    <row r="33" spans="1:42" ht="15.75" thickBot="1" x14ac:dyDescent="0.3">
      <c r="A33" s="3" t="s">
        <v>35</v>
      </c>
      <c r="B33" s="3">
        <f>( alpha*kbar^(rhoc)+(1-alpha)*lbar^(rhoc))^(1/rhoc)</f>
        <v>0.72133794660239103</v>
      </c>
      <c r="F33" s="7">
        <f t="shared" si="25"/>
        <v>32</v>
      </c>
      <c r="G33">
        <f t="shared" si="0"/>
        <v>1.3863127604892389</v>
      </c>
      <c r="H33">
        <v>1</v>
      </c>
      <c r="I33">
        <f t="shared" si="10"/>
        <v>3.71</v>
      </c>
      <c r="J33">
        <f t="shared" si="26"/>
        <v>0.1484</v>
      </c>
      <c r="K33">
        <f t="shared" si="1"/>
        <v>8.0088585194104417E-2</v>
      </c>
      <c r="L33">
        <f t="shared" si="2"/>
        <v>0</v>
      </c>
      <c r="M33">
        <f t="shared" si="11"/>
        <v>0.69815629325111683</v>
      </c>
      <c r="N33">
        <f t="shared" si="27"/>
        <v>0.33</v>
      </c>
      <c r="O33">
        <f t="shared" si="12"/>
        <v>0.99999999999999989</v>
      </c>
      <c r="P33">
        <f t="shared" si="13"/>
        <v>2.1299131785753715</v>
      </c>
      <c r="Q33">
        <f t="shared" si="3"/>
        <v>0</v>
      </c>
      <c r="R33">
        <f t="shared" si="14"/>
        <v>-1.8686432864186697E-3</v>
      </c>
      <c r="S33">
        <f t="shared" si="28"/>
        <v>3.4918277318775664E-6</v>
      </c>
      <c r="T33">
        <f t="shared" ca="1" si="15"/>
        <v>-7.6210630333598201E-4</v>
      </c>
      <c r="U33">
        <v>0</v>
      </c>
      <c r="V33">
        <f t="shared" si="16"/>
        <v>1</v>
      </c>
      <c r="W33">
        <f t="shared" si="4"/>
        <v>0.57392078646092071</v>
      </c>
      <c r="X33">
        <f t="shared" si="5"/>
        <v>2.7599639275902024</v>
      </c>
      <c r="Y33">
        <f t="shared" si="17"/>
        <v>0.970873786407767</v>
      </c>
      <c r="Z33">
        <f t="shared" si="18"/>
        <v>-5.1573880640494174E-3</v>
      </c>
      <c r="AA33">
        <f t="shared" si="29"/>
        <v>2.6598651643199397E-5</v>
      </c>
      <c r="AB33">
        <f t="shared" si="6"/>
        <v>0.17571783723246817</v>
      </c>
      <c r="AC33">
        <f t="shared" si="7"/>
        <v>5.7392078646092075E-2</v>
      </c>
      <c r="AD33">
        <f t="shared" si="8"/>
        <v>4.4569297660519105E-2</v>
      </c>
      <c r="AE33">
        <f t="shared" si="19"/>
        <v>0.27767921353907937</v>
      </c>
      <c r="AF33">
        <f t="shared" si="20"/>
        <v>0.27767921353907932</v>
      </c>
      <c r="AG33">
        <f t="shared" si="9"/>
        <v>0.17103794873064651</v>
      </c>
      <c r="AH33">
        <f t="shared" si="21"/>
        <v>0.7028713489298728</v>
      </c>
      <c r="AI33">
        <f t="shared" si="22"/>
        <v>0.6101252758923551</v>
      </c>
      <c r="AJ33">
        <f t="shared" si="30"/>
        <v>0</v>
      </c>
      <c r="AK33">
        <f t="shared" si="31"/>
        <v>0</v>
      </c>
      <c r="AL33">
        <f t="shared" si="32"/>
        <v>0</v>
      </c>
      <c r="AM33">
        <f t="shared" si="33"/>
        <v>0</v>
      </c>
      <c r="AN33">
        <v>0.03</v>
      </c>
      <c r="AO33">
        <f t="shared" si="23"/>
        <v>0</v>
      </c>
      <c r="AP33">
        <f t="shared" si="24"/>
        <v>0</v>
      </c>
    </row>
    <row r="34" spans="1:42" ht="15.75" thickBot="1" x14ac:dyDescent="0.3">
      <c r="A34" s="3" t="s">
        <v>36</v>
      </c>
      <c r="B34" s="3">
        <f>1/yhat</f>
        <v>1.3863127604892389</v>
      </c>
      <c r="F34" s="7">
        <f t="shared" si="25"/>
        <v>33</v>
      </c>
      <c r="G34">
        <f t="shared" si="0"/>
        <v>1.3863127604892389</v>
      </c>
      <c r="H34">
        <v>1</v>
      </c>
      <c r="I34">
        <f t="shared" si="10"/>
        <v>3.71</v>
      </c>
      <c r="J34">
        <f t="shared" si="26"/>
        <v>0.1484</v>
      </c>
      <c r="K34">
        <f t="shared" ref="K34:K50" si="34">G34*(alpha*I34^(rhoc-1))*M34</f>
        <v>8.0088585194104417E-2</v>
      </c>
      <c r="L34">
        <f t="shared" ref="L34:L50" si="35">(Phi/2)*((J34-Delta*I34)/I34)^2*I34</f>
        <v>0</v>
      </c>
      <c r="M34">
        <f t="shared" ref="M34:M50" si="36">(alpha* I34^rhoc + (1-alpha)*N34^rhoc)^(1/rhoc-1)</f>
        <v>0.69815629325111683</v>
      </c>
      <c r="N34">
        <f t="shared" si="27"/>
        <v>0.33</v>
      </c>
      <c r="O34">
        <f t="shared" si="12"/>
        <v>0.99999999999999989</v>
      </c>
      <c r="P34">
        <f t="shared" ref="P34:P50" si="37">G34*(1-alpha)*N34^(rhoc-1)*M34</f>
        <v>2.1299131785753715</v>
      </c>
      <c r="Q34">
        <f t="shared" ref="Q34:Q50" si="38">(Phi/2)*((J34-Delta*I34)/I34)^2 - Phi *((J34-Delta*I34)/I34)* (J34/I34)</f>
        <v>0</v>
      </c>
      <c r="R34">
        <f t="shared" si="14"/>
        <v>-1.8686432864186697E-3</v>
      </c>
      <c r="S34">
        <f t="shared" si="28"/>
        <v>3.4918277318775664E-6</v>
      </c>
      <c r="T34">
        <f t="shared" ca="1" si="15"/>
        <v>3.0204986049587657E-2</v>
      </c>
      <c r="U34">
        <v>0</v>
      </c>
      <c r="V34">
        <f t="shared" si="16"/>
        <v>1</v>
      </c>
      <c r="W34">
        <f t="shared" ref="W34:W50" si="39">Cbar</f>
        <v>0.57392078646092071</v>
      </c>
      <c r="X34">
        <f t="shared" ref="X34:X50" si="40">W34^(-sigma_c) /(1+tauc)</f>
        <v>2.7599639275902024</v>
      </c>
      <c r="Y34">
        <f t="shared" si="17"/>
        <v>0.970873786407767</v>
      </c>
      <c r="Z34">
        <f t="shared" si="18"/>
        <v>-5.1573880640494174E-3</v>
      </c>
      <c r="AA34">
        <f t="shared" si="29"/>
        <v>2.6598651643199397E-5</v>
      </c>
      <c r="AB34">
        <f t="shared" ref="AB34:AB50" si="41">tauw*N34*P34</f>
        <v>0.17571783723246817</v>
      </c>
      <c r="AC34">
        <f t="shared" ref="AC34:AC50" si="42">tauc*W34</f>
        <v>5.7392078646092075E-2</v>
      </c>
      <c r="AD34">
        <f t="shared" ref="AD34:AD50" si="43">tauk*I34*K34</f>
        <v>4.4569297660519105E-2</v>
      </c>
      <c r="AE34">
        <f t="shared" si="19"/>
        <v>0.27767921353907937</v>
      </c>
      <c r="AF34">
        <f t="shared" si="20"/>
        <v>0.27767921353907932</v>
      </c>
      <c r="AG34">
        <f t="shared" ref="AG34:AG50" si="44">(K34-Delta)*(1+tauk) *H34*I34/O34</f>
        <v>0.17103794873064651</v>
      </c>
      <c r="AH34">
        <f t="shared" si="21"/>
        <v>0.7028713489298728</v>
      </c>
      <c r="AI34">
        <f t="shared" si="22"/>
        <v>0.6101252758923551</v>
      </c>
      <c r="AJ34">
        <f t="shared" si="30"/>
        <v>0</v>
      </c>
      <c r="AK34">
        <f t="shared" si="31"/>
        <v>0</v>
      </c>
      <c r="AL34">
        <f t="shared" si="32"/>
        <v>0</v>
      </c>
      <c r="AM34">
        <f t="shared" si="33"/>
        <v>0</v>
      </c>
      <c r="AN34">
        <v>0.03</v>
      </c>
      <c r="AO34">
        <f t="shared" si="23"/>
        <v>0</v>
      </c>
      <c r="AP34">
        <f t="shared" si="24"/>
        <v>0</v>
      </c>
    </row>
    <row r="35" spans="1:42" ht="15.75" thickBot="1" x14ac:dyDescent="0.3">
      <c r="A35" s="3" t="s">
        <v>54</v>
      </c>
      <c r="B35" s="3">
        <f>( alpha*kbar^(rhoc)+(1-alpha)*lbar^(rhoc))^(1/rhoc-1)</f>
        <v>0.69815629325111683</v>
      </c>
      <c r="F35" s="7">
        <f t="shared" si="25"/>
        <v>34</v>
      </c>
      <c r="G35">
        <f t="shared" si="0"/>
        <v>1.3863127604892389</v>
      </c>
      <c r="H35">
        <v>1</v>
      </c>
      <c r="I35">
        <f t="shared" ref="I35:I50" si="45">(1-Delta)*I34+J34</f>
        <v>3.71</v>
      </c>
      <c r="J35">
        <f t="shared" ref="J35:J50" si="46">Delta*I34+ (H35-1)*(I34/Phi)</f>
        <v>0.1484</v>
      </c>
      <c r="K35">
        <f t="shared" si="34"/>
        <v>8.0088585194104417E-2</v>
      </c>
      <c r="L35">
        <f t="shared" si="35"/>
        <v>0</v>
      </c>
      <c r="M35">
        <f t="shared" si="36"/>
        <v>0.69815629325111683</v>
      </c>
      <c r="N35">
        <f t="shared" ref="N35:N50" si="47">(P34 *(1-tauw)*X34/gamma)^phiLL</f>
        <v>0.33</v>
      </c>
      <c r="O35">
        <f t="shared" si="12"/>
        <v>0.99999999999999989</v>
      </c>
      <c r="P35">
        <f t="shared" si="37"/>
        <v>2.1299131785753715</v>
      </c>
      <c r="Q35">
        <f t="shared" si="38"/>
        <v>0</v>
      </c>
      <c r="R35">
        <f t="shared" si="14"/>
        <v>-1.8686432864186697E-3</v>
      </c>
      <c r="S35">
        <f t="shared" si="28"/>
        <v>3.4918277318775664E-6</v>
      </c>
      <c r="T35">
        <f t="shared" ref="T35:T50" ca="1" si="48">_xlfn.NORM.INV(RAND(),0,sigma)</f>
        <v>-4.328936195312977E-3</v>
      </c>
      <c r="U35">
        <v>0</v>
      </c>
      <c r="V35">
        <f t="shared" si="16"/>
        <v>1</v>
      </c>
      <c r="W35">
        <f t="shared" si="39"/>
        <v>0.57392078646092071</v>
      </c>
      <c r="X35">
        <f t="shared" si="40"/>
        <v>2.7599639275902024</v>
      </c>
      <c r="Y35">
        <f t="shared" si="17"/>
        <v>0.970873786407767</v>
      </c>
      <c r="Z35">
        <f t="shared" si="18"/>
        <v>-5.1573880640494174E-3</v>
      </c>
      <c r="AA35">
        <f t="shared" si="29"/>
        <v>2.6598651643199397E-5</v>
      </c>
      <c r="AB35">
        <f t="shared" si="41"/>
        <v>0.17571783723246817</v>
      </c>
      <c r="AC35">
        <f t="shared" si="42"/>
        <v>5.7392078646092075E-2</v>
      </c>
      <c r="AD35">
        <f t="shared" si="43"/>
        <v>4.4569297660519105E-2</v>
      </c>
      <c r="AE35">
        <f t="shared" si="19"/>
        <v>0.27767921353907937</v>
      </c>
      <c r="AF35">
        <f t="shared" si="20"/>
        <v>0.27767921353907932</v>
      </c>
      <c r="AG35">
        <f t="shared" si="44"/>
        <v>0.17103794873064651</v>
      </c>
      <c r="AH35">
        <f t="shared" si="21"/>
        <v>0.7028713489298728</v>
      </c>
      <c r="AI35">
        <f t="shared" si="22"/>
        <v>0.6101252758923551</v>
      </c>
      <c r="AJ35">
        <f t="shared" si="30"/>
        <v>0</v>
      </c>
      <c r="AK35">
        <f t="shared" si="31"/>
        <v>0</v>
      </c>
      <c r="AL35">
        <f t="shared" si="32"/>
        <v>0</v>
      </c>
      <c r="AM35">
        <f t="shared" si="33"/>
        <v>0</v>
      </c>
      <c r="AN35">
        <v>0.03</v>
      </c>
      <c r="AO35">
        <f t="shared" si="23"/>
        <v>0</v>
      </c>
      <c r="AP35">
        <f t="shared" si="24"/>
        <v>0</v>
      </c>
    </row>
    <row r="36" spans="1:42" ht="15.75" thickBot="1" x14ac:dyDescent="0.3">
      <c r="A36" s="3" t="s">
        <v>38</v>
      </c>
      <c r="B36" s="3">
        <v>2</v>
      </c>
      <c r="F36" s="7">
        <f t="shared" si="25"/>
        <v>35</v>
      </c>
      <c r="G36">
        <f t="shared" si="0"/>
        <v>1.3863127604892389</v>
      </c>
      <c r="H36">
        <v>1</v>
      </c>
      <c r="I36">
        <f t="shared" si="45"/>
        <v>3.71</v>
      </c>
      <c r="J36">
        <f t="shared" si="46"/>
        <v>0.1484</v>
      </c>
      <c r="K36">
        <f t="shared" si="34"/>
        <v>8.0088585194104417E-2</v>
      </c>
      <c r="L36">
        <f t="shared" si="35"/>
        <v>0</v>
      </c>
      <c r="M36">
        <f t="shared" si="36"/>
        <v>0.69815629325111683</v>
      </c>
      <c r="N36">
        <f t="shared" si="47"/>
        <v>0.33</v>
      </c>
      <c r="O36">
        <f t="shared" si="12"/>
        <v>0.99999999999999989</v>
      </c>
      <c r="P36">
        <f t="shared" si="37"/>
        <v>2.1299131785753715</v>
      </c>
      <c r="Q36">
        <f t="shared" si="38"/>
        <v>0</v>
      </c>
      <c r="R36">
        <f t="shared" si="14"/>
        <v>-1.8686432864186697E-3</v>
      </c>
      <c r="S36">
        <f t="shared" si="28"/>
        <v>3.4918277318775664E-6</v>
      </c>
      <c r="T36">
        <f t="shared" ca="1" si="48"/>
        <v>2.9521264738000954E-2</v>
      </c>
      <c r="U36">
        <v>0</v>
      </c>
      <c r="V36">
        <f t="shared" si="16"/>
        <v>1</v>
      </c>
      <c r="W36">
        <f t="shared" si="39"/>
        <v>0.57392078646092071</v>
      </c>
      <c r="X36">
        <f t="shared" si="40"/>
        <v>2.7599639275902024</v>
      </c>
      <c r="Y36">
        <f t="shared" si="17"/>
        <v>0.970873786407767</v>
      </c>
      <c r="Z36">
        <f t="shared" si="18"/>
        <v>-5.1573880640494174E-3</v>
      </c>
      <c r="AA36">
        <f t="shared" si="29"/>
        <v>2.6598651643199397E-5</v>
      </c>
      <c r="AB36">
        <f t="shared" si="41"/>
        <v>0.17571783723246817</v>
      </c>
      <c r="AC36">
        <f t="shared" si="42"/>
        <v>5.7392078646092075E-2</v>
      </c>
      <c r="AD36">
        <f t="shared" si="43"/>
        <v>4.4569297660519105E-2</v>
      </c>
      <c r="AE36">
        <f t="shared" si="19"/>
        <v>0.27767921353907937</v>
      </c>
      <c r="AF36">
        <f t="shared" si="20"/>
        <v>0.27767921353907932</v>
      </c>
      <c r="AG36">
        <f t="shared" si="44"/>
        <v>0.17103794873064651</v>
      </c>
      <c r="AH36">
        <f t="shared" si="21"/>
        <v>0.7028713489298728</v>
      </c>
      <c r="AI36">
        <f t="shared" si="22"/>
        <v>0.6101252758923551</v>
      </c>
      <c r="AJ36">
        <f t="shared" si="30"/>
        <v>0</v>
      </c>
      <c r="AK36">
        <f t="shared" si="31"/>
        <v>0</v>
      </c>
      <c r="AL36">
        <f t="shared" si="32"/>
        <v>0</v>
      </c>
      <c r="AM36">
        <f t="shared" si="33"/>
        <v>0</v>
      </c>
      <c r="AN36">
        <v>0.03</v>
      </c>
      <c r="AO36">
        <f t="shared" si="23"/>
        <v>0</v>
      </c>
      <c r="AP36">
        <f t="shared" si="24"/>
        <v>0</v>
      </c>
    </row>
    <row r="37" spans="1:42" ht="15.75" thickBot="1" x14ac:dyDescent="0.3">
      <c r="A37" s="3" t="s">
        <v>39</v>
      </c>
      <c r="B37" s="3">
        <f>0.5</f>
        <v>0.5</v>
      </c>
      <c r="F37" s="7">
        <f t="shared" si="25"/>
        <v>36</v>
      </c>
      <c r="G37">
        <f t="shared" si="0"/>
        <v>1.3863127604892389</v>
      </c>
      <c r="H37">
        <v>1</v>
      </c>
      <c r="I37">
        <f t="shared" si="45"/>
        <v>3.71</v>
      </c>
      <c r="J37">
        <f t="shared" si="46"/>
        <v>0.1484</v>
      </c>
      <c r="K37">
        <f t="shared" si="34"/>
        <v>8.0088585194104417E-2</v>
      </c>
      <c r="L37">
        <f t="shared" si="35"/>
        <v>0</v>
      </c>
      <c r="M37">
        <f t="shared" si="36"/>
        <v>0.69815629325111683</v>
      </c>
      <c r="N37">
        <f t="shared" si="47"/>
        <v>0.33</v>
      </c>
      <c r="O37">
        <f t="shared" si="12"/>
        <v>0.99999999999999989</v>
      </c>
      <c r="P37">
        <f t="shared" si="37"/>
        <v>2.1299131785753715</v>
      </c>
      <c r="Q37">
        <f t="shared" si="38"/>
        <v>0</v>
      </c>
      <c r="R37">
        <f t="shared" si="14"/>
        <v>-1.8686432864186697E-3</v>
      </c>
      <c r="S37">
        <f t="shared" si="28"/>
        <v>3.4918277318775664E-6</v>
      </c>
      <c r="T37">
        <f t="shared" ca="1" si="48"/>
        <v>-4.5638708457911493E-2</v>
      </c>
      <c r="U37">
        <v>0</v>
      </c>
      <c r="V37">
        <f t="shared" si="16"/>
        <v>1</v>
      </c>
      <c r="W37">
        <f t="shared" si="39"/>
        <v>0.57392078646092071</v>
      </c>
      <c r="X37">
        <f t="shared" si="40"/>
        <v>2.7599639275902024</v>
      </c>
      <c r="Y37">
        <f t="shared" si="17"/>
        <v>0.970873786407767</v>
      </c>
      <c r="Z37">
        <f t="shared" si="18"/>
        <v>-5.1573880640494174E-3</v>
      </c>
      <c r="AA37">
        <f t="shared" si="29"/>
        <v>2.6598651643199397E-5</v>
      </c>
      <c r="AB37">
        <f t="shared" si="41"/>
        <v>0.17571783723246817</v>
      </c>
      <c r="AC37">
        <f t="shared" si="42"/>
        <v>5.7392078646092075E-2</v>
      </c>
      <c r="AD37">
        <f t="shared" si="43"/>
        <v>4.4569297660519105E-2</v>
      </c>
      <c r="AE37">
        <f t="shared" si="19"/>
        <v>0.27767921353907937</v>
      </c>
      <c r="AF37">
        <f t="shared" si="20"/>
        <v>0.27767921353907932</v>
      </c>
      <c r="AG37">
        <f t="shared" si="44"/>
        <v>0.17103794873064651</v>
      </c>
      <c r="AH37">
        <f t="shared" si="21"/>
        <v>0.7028713489298728</v>
      </c>
      <c r="AI37">
        <f t="shared" si="22"/>
        <v>0.6101252758923551</v>
      </c>
      <c r="AJ37">
        <f t="shared" si="30"/>
        <v>0</v>
      </c>
      <c r="AK37">
        <f t="shared" si="31"/>
        <v>0</v>
      </c>
      <c r="AL37">
        <f t="shared" si="32"/>
        <v>0</v>
      </c>
      <c r="AM37">
        <f t="shared" si="33"/>
        <v>0</v>
      </c>
      <c r="AN37">
        <v>0.03</v>
      </c>
      <c r="AO37">
        <f t="shared" si="23"/>
        <v>0</v>
      </c>
      <c r="AP37">
        <f t="shared" si="24"/>
        <v>0</v>
      </c>
    </row>
    <row r="38" spans="1:42" ht="15.75" thickBot="1" x14ac:dyDescent="0.3">
      <c r="F38" s="7">
        <f t="shared" si="25"/>
        <v>37</v>
      </c>
      <c r="G38">
        <f t="shared" si="0"/>
        <v>1.3863127604892389</v>
      </c>
      <c r="H38">
        <v>1</v>
      </c>
      <c r="I38">
        <f t="shared" si="45"/>
        <v>3.71</v>
      </c>
      <c r="J38">
        <f t="shared" si="46"/>
        <v>0.1484</v>
      </c>
      <c r="K38">
        <f t="shared" si="34"/>
        <v>8.0088585194104417E-2</v>
      </c>
      <c r="L38">
        <f t="shared" si="35"/>
        <v>0</v>
      </c>
      <c r="M38">
        <f t="shared" si="36"/>
        <v>0.69815629325111683</v>
      </c>
      <c r="N38">
        <f t="shared" si="47"/>
        <v>0.33</v>
      </c>
      <c r="O38">
        <f t="shared" si="12"/>
        <v>0.99999999999999989</v>
      </c>
      <c r="P38">
        <f t="shared" si="37"/>
        <v>2.1299131785753715</v>
      </c>
      <c r="Q38">
        <f t="shared" si="38"/>
        <v>0</v>
      </c>
      <c r="R38">
        <f t="shared" si="14"/>
        <v>-1.8686432864186697E-3</v>
      </c>
      <c r="S38">
        <f t="shared" si="28"/>
        <v>3.4918277318775664E-6</v>
      </c>
      <c r="T38">
        <f t="shared" ca="1" si="48"/>
        <v>2.2724534607920802E-2</v>
      </c>
      <c r="U38">
        <v>0</v>
      </c>
      <c r="V38">
        <f t="shared" si="16"/>
        <v>1</v>
      </c>
      <c r="W38">
        <f t="shared" si="39"/>
        <v>0.57392078646092071</v>
      </c>
      <c r="X38">
        <f t="shared" si="40"/>
        <v>2.7599639275902024</v>
      </c>
      <c r="Y38">
        <f t="shared" si="17"/>
        <v>0.970873786407767</v>
      </c>
      <c r="Z38">
        <f t="shared" si="18"/>
        <v>-5.1573880640494174E-3</v>
      </c>
      <c r="AA38">
        <f t="shared" si="29"/>
        <v>2.6598651643199397E-5</v>
      </c>
      <c r="AB38">
        <f t="shared" si="41"/>
        <v>0.17571783723246817</v>
      </c>
      <c r="AC38">
        <f t="shared" si="42"/>
        <v>5.7392078646092075E-2</v>
      </c>
      <c r="AD38">
        <f t="shared" si="43"/>
        <v>4.4569297660519105E-2</v>
      </c>
      <c r="AE38">
        <f t="shared" si="19"/>
        <v>0.27767921353907937</v>
      </c>
      <c r="AF38">
        <f t="shared" si="20"/>
        <v>0.27767921353907932</v>
      </c>
      <c r="AG38">
        <f t="shared" si="44"/>
        <v>0.17103794873064651</v>
      </c>
      <c r="AH38">
        <f t="shared" si="21"/>
        <v>0.7028713489298728</v>
      </c>
      <c r="AI38">
        <f t="shared" si="22"/>
        <v>0.6101252758923551</v>
      </c>
      <c r="AJ38">
        <f t="shared" si="30"/>
        <v>0</v>
      </c>
      <c r="AK38">
        <f t="shared" si="31"/>
        <v>0</v>
      </c>
      <c r="AL38">
        <f t="shared" si="32"/>
        <v>0</v>
      </c>
      <c r="AM38">
        <f t="shared" si="33"/>
        <v>0</v>
      </c>
      <c r="AN38">
        <v>0.03</v>
      </c>
      <c r="AO38">
        <f t="shared" si="23"/>
        <v>0</v>
      </c>
      <c r="AP38">
        <f t="shared" si="24"/>
        <v>0</v>
      </c>
    </row>
    <row r="39" spans="1:42" ht="15.75" thickBot="1" x14ac:dyDescent="0.3">
      <c r="A39" s="3" t="s">
        <v>40</v>
      </c>
      <c r="B39" s="3">
        <f xml:space="preserve"> (ybar - Delta*kbar -tauw * mpl *lbar - tauk * kbar * mpk)/(1+tauc)</f>
        <v>0.57392078646092071</v>
      </c>
      <c r="F39" s="7">
        <f t="shared" si="25"/>
        <v>38</v>
      </c>
      <c r="G39">
        <f t="shared" si="0"/>
        <v>1.3863127604892389</v>
      </c>
      <c r="H39">
        <v>1</v>
      </c>
      <c r="I39">
        <f t="shared" si="45"/>
        <v>3.71</v>
      </c>
      <c r="J39">
        <f t="shared" si="46"/>
        <v>0.1484</v>
      </c>
      <c r="K39">
        <f t="shared" si="34"/>
        <v>8.0088585194104417E-2</v>
      </c>
      <c r="L39">
        <f t="shared" si="35"/>
        <v>0</v>
      </c>
      <c r="M39">
        <f t="shared" si="36"/>
        <v>0.69815629325111683</v>
      </c>
      <c r="N39">
        <f t="shared" si="47"/>
        <v>0.33</v>
      </c>
      <c r="O39">
        <f t="shared" si="12"/>
        <v>0.99999999999999989</v>
      </c>
      <c r="P39">
        <f t="shared" si="37"/>
        <v>2.1299131785753715</v>
      </c>
      <c r="Q39">
        <f t="shared" si="38"/>
        <v>0</v>
      </c>
      <c r="R39">
        <f t="shared" si="14"/>
        <v>-1.8686432864186697E-3</v>
      </c>
      <c r="S39">
        <f t="shared" si="28"/>
        <v>3.4918277318775664E-6</v>
      </c>
      <c r="T39">
        <f t="shared" ca="1" si="48"/>
        <v>6.7693527566672143E-2</v>
      </c>
      <c r="U39">
        <v>0</v>
      </c>
      <c r="V39">
        <f t="shared" si="16"/>
        <v>1</v>
      </c>
      <c r="W39">
        <f t="shared" si="39"/>
        <v>0.57392078646092071</v>
      </c>
      <c r="X39">
        <f t="shared" si="40"/>
        <v>2.7599639275902024</v>
      </c>
      <c r="Y39">
        <f t="shared" si="17"/>
        <v>0.970873786407767</v>
      </c>
      <c r="Z39">
        <f t="shared" si="18"/>
        <v>-5.1573880640494174E-3</v>
      </c>
      <c r="AA39">
        <f t="shared" si="29"/>
        <v>2.6598651643199397E-5</v>
      </c>
      <c r="AB39">
        <f t="shared" si="41"/>
        <v>0.17571783723246817</v>
      </c>
      <c r="AC39">
        <f t="shared" si="42"/>
        <v>5.7392078646092075E-2</v>
      </c>
      <c r="AD39">
        <f t="shared" si="43"/>
        <v>4.4569297660519105E-2</v>
      </c>
      <c r="AE39">
        <f t="shared" si="19"/>
        <v>0.27767921353907937</v>
      </c>
      <c r="AF39">
        <f t="shared" si="20"/>
        <v>0.27767921353907932</v>
      </c>
      <c r="AG39">
        <f t="shared" si="44"/>
        <v>0.17103794873064651</v>
      </c>
      <c r="AH39">
        <f t="shared" si="21"/>
        <v>0.7028713489298728</v>
      </c>
      <c r="AI39">
        <f t="shared" si="22"/>
        <v>0.6101252758923551</v>
      </c>
      <c r="AJ39">
        <f t="shared" si="30"/>
        <v>0</v>
      </c>
      <c r="AK39">
        <f t="shared" si="31"/>
        <v>0</v>
      </c>
      <c r="AL39">
        <f t="shared" si="32"/>
        <v>0</v>
      </c>
      <c r="AM39">
        <f t="shared" si="33"/>
        <v>0</v>
      </c>
      <c r="AN39">
        <v>0.03</v>
      </c>
      <c r="AO39">
        <f t="shared" si="23"/>
        <v>0</v>
      </c>
      <c r="AP39">
        <f t="shared" si="24"/>
        <v>0</v>
      </c>
    </row>
    <row r="40" spans="1:42" ht="15.75" thickBot="1" x14ac:dyDescent="0.3">
      <c r="F40" s="7">
        <f t="shared" si="25"/>
        <v>39</v>
      </c>
      <c r="G40">
        <f t="shared" si="0"/>
        <v>1.3863127604892389</v>
      </c>
      <c r="H40">
        <v>1</v>
      </c>
      <c r="I40">
        <f t="shared" si="45"/>
        <v>3.71</v>
      </c>
      <c r="J40">
        <f t="shared" si="46"/>
        <v>0.1484</v>
      </c>
      <c r="K40">
        <f t="shared" si="34"/>
        <v>8.0088585194104417E-2</v>
      </c>
      <c r="L40">
        <f t="shared" si="35"/>
        <v>0</v>
      </c>
      <c r="M40">
        <f t="shared" si="36"/>
        <v>0.69815629325111683</v>
      </c>
      <c r="N40">
        <f t="shared" si="47"/>
        <v>0.33</v>
      </c>
      <c r="O40">
        <f t="shared" si="12"/>
        <v>0.99999999999999989</v>
      </c>
      <c r="P40">
        <f t="shared" si="37"/>
        <v>2.1299131785753715</v>
      </c>
      <c r="Q40">
        <f t="shared" si="38"/>
        <v>0</v>
      </c>
      <c r="R40">
        <f t="shared" si="14"/>
        <v>-1.8686432864186697E-3</v>
      </c>
      <c r="S40">
        <f t="shared" si="28"/>
        <v>3.4918277318775664E-6</v>
      </c>
      <c r="T40">
        <f t="shared" ca="1" si="48"/>
        <v>-9.3359562110604394E-2</v>
      </c>
      <c r="U40">
        <v>0</v>
      </c>
      <c r="V40">
        <f t="shared" si="16"/>
        <v>1</v>
      </c>
      <c r="W40">
        <f t="shared" si="39"/>
        <v>0.57392078646092071</v>
      </c>
      <c r="X40">
        <f t="shared" si="40"/>
        <v>2.7599639275902024</v>
      </c>
      <c r="Y40">
        <f t="shared" si="17"/>
        <v>0.970873786407767</v>
      </c>
      <c r="Z40">
        <f t="shared" si="18"/>
        <v>-5.1573880640494174E-3</v>
      </c>
      <c r="AA40">
        <f t="shared" si="29"/>
        <v>2.6598651643199397E-5</v>
      </c>
      <c r="AB40">
        <f t="shared" si="41"/>
        <v>0.17571783723246817</v>
      </c>
      <c r="AC40">
        <f t="shared" si="42"/>
        <v>5.7392078646092075E-2</v>
      </c>
      <c r="AD40">
        <f t="shared" si="43"/>
        <v>4.4569297660519105E-2</v>
      </c>
      <c r="AE40">
        <f t="shared" si="19"/>
        <v>0.27767921353907937</v>
      </c>
      <c r="AF40">
        <f t="shared" si="20"/>
        <v>0.27767921353907932</v>
      </c>
      <c r="AG40">
        <f t="shared" si="44"/>
        <v>0.17103794873064651</v>
      </c>
      <c r="AH40">
        <f t="shared" si="21"/>
        <v>0.7028713489298728</v>
      </c>
      <c r="AI40">
        <f t="shared" si="22"/>
        <v>0.6101252758923551</v>
      </c>
      <c r="AJ40">
        <f t="shared" si="30"/>
        <v>0</v>
      </c>
      <c r="AK40">
        <f t="shared" si="31"/>
        <v>0</v>
      </c>
      <c r="AL40">
        <f t="shared" si="32"/>
        <v>0</v>
      </c>
      <c r="AM40">
        <f t="shared" si="33"/>
        <v>0</v>
      </c>
      <c r="AN40">
        <v>0.03</v>
      </c>
      <c r="AO40">
        <f t="shared" si="23"/>
        <v>0</v>
      </c>
      <c r="AP40">
        <f t="shared" si="24"/>
        <v>0</v>
      </c>
    </row>
    <row r="41" spans="1:42" ht="15.75" thickBot="1" x14ac:dyDescent="0.3">
      <c r="F41" s="7">
        <f t="shared" si="25"/>
        <v>40</v>
      </c>
      <c r="G41">
        <f t="shared" si="0"/>
        <v>1.3863127604892389</v>
      </c>
      <c r="H41">
        <v>1</v>
      </c>
      <c r="I41">
        <f t="shared" si="45"/>
        <v>3.71</v>
      </c>
      <c r="J41">
        <f t="shared" si="46"/>
        <v>0.1484</v>
      </c>
      <c r="K41">
        <f t="shared" si="34"/>
        <v>8.0088585194104417E-2</v>
      </c>
      <c r="L41">
        <f t="shared" si="35"/>
        <v>0</v>
      </c>
      <c r="M41">
        <f t="shared" si="36"/>
        <v>0.69815629325111683</v>
      </c>
      <c r="N41">
        <f t="shared" si="47"/>
        <v>0.33</v>
      </c>
      <c r="O41">
        <f t="shared" si="12"/>
        <v>0.99999999999999989</v>
      </c>
      <c r="P41">
        <f t="shared" si="37"/>
        <v>2.1299131785753715</v>
      </c>
      <c r="Q41">
        <f t="shared" si="38"/>
        <v>0</v>
      </c>
      <c r="R41">
        <f t="shared" si="14"/>
        <v>-1.8686432864186697E-3</v>
      </c>
      <c r="S41">
        <f t="shared" si="28"/>
        <v>3.4918277318775664E-6</v>
      </c>
      <c r="T41">
        <f t="shared" ca="1" si="48"/>
        <v>6.7509844317137141E-3</v>
      </c>
      <c r="U41">
        <v>0</v>
      </c>
      <c r="V41">
        <f t="shared" si="16"/>
        <v>1</v>
      </c>
      <c r="W41">
        <f t="shared" si="39"/>
        <v>0.57392078646092071</v>
      </c>
      <c r="X41">
        <f t="shared" si="40"/>
        <v>2.7599639275902024</v>
      </c>
      <c r="Y41">
        <f t="shared" si="17"/>
        <v>0.970873786407767</v>
      </c>
      <c r="Z41">
        <f t="shared" si="18"/>
        <v>-5.1573880640494174E-3</v>
      </c>
      <c r="AA41">
        <f t="shared" si="29"/>
        <v>2.6598651643199397E-5</v>
      </c>
      <c r="AB41">
        <f t="shared" si="41"/>
        <v>0.17571783723246817</v>
      </c>
      <c r="AC41">
        <f t="shared" si="42"/>
        <v>5.7392078646092075E-2</v>
      </c>
      <c r="AD41">
        <f t="shared" si="43"/>
        <v>4.4569297660519105E-2</v>
      </c>
      <c r="AE41">
        <f t="shared" si="19"/>
        <v>0.27767921353907937</v>
      </c>
      <c r="AF41">
        <f t="shared" si="20"/>
        <v>0.27767921353907932</v>
      </c>
      <c r="AG41">
        <f t="shared" si="44"/>
        <v>0.17103794873064651</v>
      </c>
      <c r="AH41">
        <f t="shared" si="21"/>
        <v>0.7028713489298728</v>
      </c>
      <c r="AI41">
        <f t="shared" si="22"/>
        <v>0.6101252758923551</v>
      </c>
      <c r="AJ41">
        <f t="shared" si="30"/>
        <v>0</v>
      </c>
      <c r="AK41">
        <f t="shared" si="31"/>
        <v>0</v>
      </c>
      <c r="AL41">
        <f t="shared" si="32"/>
        <v>0</v>
      </c>
      <c r="AM41">
        <f t="shared" si="33"/>
        <v>0</v>
      </c>
      <c r="AN41">
        <v>0.03</v>
      </c>
      <c r="AO41">
        <f t="shared" si="23"/>
        <v>0</v>
      </c>
      <c r="AP41">
        <f t="shared" si="24"/>
        <v>0</v>
      </c>
    </row>
    <row r="42" spans="1:42" ht="15.75" thickBot="1" x14ac:dyDescent="0.3">
      <c r="A42" s="3" t="s">
        <v>41</v>
      </c>
      <c r="B42" s="3">
        <v>0.1</v>
      </c>
      <c r="F42" s="7">
        <f t="shared" si="25"/>
        <v>41</v>
      </c>
      <c r="G42">
        <f t="shared" si="0"/>
        <v>1.3863127604892389</v>
      </c>
      <c r="H42">
        <v>1</v>
      </c>
      <c r="I42">
        <f t="shared" si="45"/>
        <v>3.71</v>
      </c>
      <c r="J42">
        <f t="shared" si="46"/>
        <v>0.1484</v>
      </c>
      <c r="K42">
        <f t="shared" si="34"/>
        <v>8.0088585194104417E-2</v>
      </c>
      <c r="L42">
        <f t="shared" si="35"/>
        <v>0</v>
      </c>
      <c r="M42">
        <f t="shared" si="36"/>
        <v>0.69815629325111683</v>
      </c>
      <c r="N42">
        <f t="shared" si="47"/>
        <v>0.33</v>
      </c>
      <c r="O42">
        <f t="shared" si="12"/>
        <v>0.99999999999999989</v>
      </c>
      <c r="P42">
        <f t="shared" si="37"/>
        <v>2.1299131785753715</v>
      </c>
      <c r="Q42">
        <f t="shared" si="38"/>
        <v>0</v>
      </c>
      <c r="R42">
        <f t="shared" si="14"/>
        <v>-1.8686432864186697E-3</v>
      </c>
      <c r="S42">
        <f t="shared" si="28"/>
        <v>3.4918277318775664E-6</v>
      </c>
      <c r="T42">
        <f t="shared" ca="1" si="48"/>
        <v>3.5668599711444066E-2</v>
      </c>
      <c r="U42">
        <v>0</v>
      </c>
      <c r="V42">
        <f t="shared" si="16"/>
        <v>1</v>
      </c>
      <c r="W42">
        <f t="shared" si="39"/>
        <v>0.57392078646092071</v>
      </c>
      <c r="X42">
        <f t="shared" si="40"/>
        <v>2.7599639275902024</v>
      </c>
      <c r="Y42">
        <f t="shared" si="17"/>
        <v>0.970873786407767</v>
      </c>
      <c r="Z42">
        <f t="shared" si="18"/>
        <v>-5.1573880640494174E-3</v>
      </c>
      <c r="AA42">
        <f t="shared" si="29"/>
        <v>2.6598651643199397E-5</v>
      </c>
      <c r="AB42">
        <f t="shared" si="41"/>
        <v>0.17571783723246817</v>
      </c>
      <c r="AC42">
        <f t="shared" si="42"/>
        <v>5.7392078646092075E-2</v>
      </c>
      <c r="AD42">
        <f t="shared" si="43"/>
        <v>4.4569297660519105E-2</v>
      </c>
      <c r="AE42">
        <f t="shared" si="19"/>
        <v>0.27767921353907937</v>
      </c>
      <c r="AF42">
        <f t="shared" si="20"/>
        <v>0.27767921353907932</v>
      </c>
      <c r="AG42">
        <f t="shared" si="44"/>
        <v>0.17103794873064651</v>
      </c>
      <c r="AH42">
        <f t="shared" si="21"/>
        <v>0.7028713489298728</v>
      </c>
      <c r="AI42">
        <f t="shared" si="22"/>
        <v>0.6101252758923551</v>
      </c>
      <c r="AJ42">
        <f t="shared" si="30"/>
        <v>0</v>
      </c>
      <c r="AK42">
        <f t="shared" si="31"/>
        <v>0</v>
      </c>
      <c r="AL42">
        <f t="shared" si="32"/>
        <v>0</v>
      </c>
      <c r="AM42">
        <f t="shared" si="33"/>
        <v>0</v>
      </c>
      <c r="AN42">
        <v>0.03</v>
      </c>
      <c r="AO42">
        <f t="shared" si="23"/>
        <v>0</v>
      </c>
      <c r="AP42">
        <f t="shared" si="24"/>
        <v>0</v>
      </c>
    </row>
    <row r="43" spans="1:42" ht="15.75" thickBot="1" x14ac:dyDescent="0.3">
      <c r="A43" s="3" t="s">
        <v>42</v>
      </c>
      <c r="B43" s="3">
        <v>0.25</v>
      </c>
      <c r="F43" s="7">
        <f t="shared" si="25"/>
        <v>42</v>
      </c>
      <c r="G43">
        <f t="shared" si="0"/>
        <v>1.3863127604892389</v>
      </c>
      <c r="H43">
        <v>1</v>
      </c>
      <c r="I43">
        <f t="shared" si="45"/>
        <v>3.71</v>
      </c>
      <c r="J43">
        <f t="shared" si="46"/>
        <v>0.1484</v>
      </c>
      <c r="K43">
        <f t="shared" si="34"/>
        <v>8.0088585194104417E-2</v>
      </c>
      <c r="L43">
        <f t="shared" si="35"/>
        <v>0</v>
      </c>
      <c r="M43">
        <f t="shared" si="36"/>
        <v>0.69815629325111683</v>
      </c>
      <c r="N43">
        <f t="shared" si="47"/>
        <v>0.33</v>
      </c>
      <c r="O43">
        <f t="shared" si="12"/>
        <v>0.99999999999999989</v>
      </c>
      <c r="P43">
        <f t="shared" si="37"/>
        <v>2.1299131785753715</v>
      </c>
      <c r="Q43">
        <f t="shared" si="38"/>
        <v>0</v>
      </c>
      <c r="R43">
        <f t="shared" si="14"/>
        <v>-1.8686432864186697E-3</v>
      </c>
      <c r="S43">
        <f t="shared" si="28"/>
        <v>3.4918277318775664E-6</v>
      </c>
      <c r="T43">
        <f t="shared" ca="1" si="48"/>
        <v>1.9841761765131222E-2</v>
      </c>
      <c r="U43">
        <v>0</v>
      </c>
      <c r="V43">
        <f t="shared" si="16"/>
        <v>1</v>
      </c>
      <c r="W43">
        <f t="shared" si="39"/>
        <v>0.57392078646092071</v>
      </c>
      <c r="X43">
        <f t="shared" si="40"/>
        <v>2.7599639275902024</v>
      </c>
      <c r="Y43">
        <f t="shared" si="17"/>
        <v>0.970873786407767</v>
      </c>
      <c r="Z43">
        <f t="shared" si="18"/>
        <v>-5.1573880640494174E-3</v>
      </c>
      <c r="AA43">
        <f t="shared" si="29"/>
        <v>2.6598651643199397E-5</v>
      </c>
      <c r="AB43">
        <f t="shared" si="41"/>
        <v>0.17571783723246817</v>
      </c>
      <c r="AC43">
        <f t="shared" si="42"/>
        <v>5.7392078646092075E-2</v>
      </c>
      <c r="AD43">
        <f t="shared" si="43"/>
        <v>4.4569297660519105E-2</v>
      </c>
      <c r="AE43">
        <f t="shared" si="19"/>
        <v>0.27767921353907937</v>
      </c>
      <c r="AF43">
        <f t="shared" si="20"/>
        <v>0.27767921353907932</v>
      </c>
      <c r="AG43">
        <f t="shared" si="44"/>
        <v>0.17103794873064651</v>
      </c>
      <c r="AH43">
        <f t="shared" si="21"/>
        <v>0.7028713489298728</v>
      </c>
      <c r="AI43">
        <f t="shared" si="22"/>
        <v>0.6101252758923551</v>
      </c>
      <c r="AJ43">
        <f t="shared" si="30"/>
        <v>0</v>
      </c>
      <c r="AK43">
        <f t="shared" si="31"/>
        <v>0</v>
      </c>
      <c r="AL43">
        <f t="shared" si="32"/>
        <v>0</v>
      </c>
      <c r="AM43">
        <f t="shared" si="33"/>
        <v>0</v>
      </c>
      <c r="AN43">
        <v>0.03</v>
      </c>
      <c r="AO43">
        <f t="shared" si="23"/>
        <v>0</v>
      </c>
      <c r="AP43">
        <f t="shared" si="24"/>
        <v>0</v>
      </c>
    </row>
    <row r="44" spans="1:42" ht="15.75" thickBot="1" x14ac:dyDescent="0.3">
      <c r="A44" s="3" t="s">
        <v>43</v>
      </c>
      <c r="B44" s="3">
        <v>0.15</v>
      </c>
      <c r="F44" s="7">
        <f t="shared" si="25"/>
        <v>43</v>
      </c>
      <c r="G44">
        <f t="shared" si="0"/>
        <v>1.3863127604892389</v>
      </c>
      <c r="H44">
        <v>1</v>
      </c>
      <c r="I44">
        <f t="shared" si="45"/>
        <v>3.71</v>
      </c>
      <c r="J44">
        <f t="shared" si="46"/>
        <v>0.1484</v>
      </c>
      <c r="K44">
        <f t="shared" si="34"/>
        <v>8.0088585194104417E-2</v>
      </c>
      <c r="L44">
        <f t="shared" si="35"/>
        <v>0</v>
      </c>
      <c r="M44">
        <f t="shared" si="36"/>
        <v>0.69815629325111683</v>
      </c>
      <c r="N44">
        <f t="shared" si="47"/>
        <v>0.33</v>
      </c>
      <c r="O44">
        <f t="shared" si="12"/>
        <v>0.99999999999999989</v>
      </c>
      <c r="P44">
        <f t="shared" si="37"/>
        <v>2.1299131785753715</v>
      </c>
      <c r="Q44">
        <f t="shared" si="38"/>
        <v>0</v>
      </c>
      <c r="R44">
        <f t="shared" si="14"/>
        <v>-1.8686432864186697E-3</v>
      </c>
      <c r="S44">
        <f t="shared" si="28"/>
        <v>3.4918277318775664E-6</v>
      </c>
      <c r="T44">
        <f t="shared" ca="1" si="48"/>
        <v>-1.3877823360902869E-2</v>
      </c>
      <c r="U44">
        <v>0</v>
      </c>
      <c r="V44">
        <f t="shared" si="16"/>
        <v>1</v>
      </c>
      <c r="W44">
        <f t="shared" si="39"/>
        <v>0.57392078646092071</v>
      </c>
      <c r="X44">
        <f t="shared" si="40"/>
        <v>2.7599639275902024</v>
      </c>
      <c r="Y44">
        <f t="shared" si="17"/>
        <v>0.970873786407767</v>
      </c>
      <c r="Z44">
        <f t="shared" si="18"/>
        <v>-5.1573880640494174E-3</v>
      </c>
      <c r="AA44">
        <f t="shared" si="29"/>
        <v>2.6598651643199397E-5</v>
      </c>
      <c r="AB44">
        <f t="shared" si="41"/>
        <v>0.17571783723246817</v>
      </c>
      <c r="AC44">
        <f t="shared" si="42"/>
        <v>5.7392078646092075E-2</v>
      </c>
      <c r="AD44">
        <f t="shared" si="43"/>
        <v>4.4569297660519105E-2</v>
      </c>
      <c r="AE44">
        <f t="shared" si="19"/>
        <v>0.27767921353907937</v>
      </c>
      <c r="AF44">
        <f t="shared" si="20"/>
        <v>0.27767921353907932</v>
      </c>
      <c r="AG44">
        <f t="shared" si="44"/>
        <v>0.17103794873064651</v>
      </c>
      <c r="AH44">
        <f t="shared" si="21"/>
        <v>0.7028713489298728</v>
      </c>
      <c r="AI44">
        <f t="shared" si="22"/>
        <v>0.6101252758923551</v>
      </c>
      <c r="AJ44">
        <f t="shared" si="30"/>
        <v>0</v>
      </c>
      <c r="AK44">
        <f t="shared" si="31"/>
        <v>0</v>
      </c>
      <c r="AL44">
        <f t="shared" si="32"/>
        <v>0</v>
      </c>
      <c r="AM44">
        <f t="shared" si="33"/>
        <v>0</v>
      </c>
      <c r="AN44">
        <v>0.03</v>
      </c>
      <c r="AO44">
        <f t="shared" si="23"/>
        <v>0</v>
      </c>
      <c r="AP44">
        <f t="shared" si="24"/>
        <v>0</v>
      </c>
    </row>
    <row r="45" spans="1:42" ht="15.75" thickBot="1" x14ac:dyDescent="0.3">
      <c r="F45" s="7">
        <f t="shared" si="25"/>
        <v>44</v>
      </c>
      <c r="G45">
        <f t="shared" si="0"/>
        <v>1.3863127604892389</v>
      </c>
      <c r="H45">
        <v>1</v>
      </c>
      <c r="I45">
        <f t="shared" si="45"/>
        <v>3.71</v>
      </c>
      <c r="J45">
        <f t="shared" si="46"/>
        <v>0.1484</v>
      </c>
      <c r="K45">
        <f t="shared" si="34"/>
        <v>8.0088585194104417E-2</v>
      </c>
      <c r="L45">
        <f t="shared" si="35"/>
        <v>0</v>
      </c>
      <c r="M45">
        <f t="shared" si="36"/>
        <v>0.69815629325111683</v>
      </c>
      <c r="N45">
        <f t="shared" si="47"/>
        <v>0.33</v>
      </c>
      <c r="O45">
        <f t="shared" si="12"/>
        <v>0.99999999999999989</v>
      </c>
      <c r="P45">
        <f t="shared" si="37"/>
        <v>2.1299131785753715</v>
      </c>
      <c r="Q45">
        <f t="shared" si="38"/>
        <v>0</v>
      </c>
      <c r="R45">
        <f t="shared" si="14"/>
        <v>-1.8686432864186697E-3</v>
      </c>
      <c r="S45">
        <f t="shared" si="28"/>
        <v>3.4918277318775664E-6</v>
      </c>
      <c r="T45">
        <f t="shared" ca="1" si="48"/>
        <v>-5.8081619800261712E-2</v>
      </c>
      <c r="U45">
        <v>0</v>
      </c>
      <c r="V45">
        <f t="shared" si="16"/>
        <v>1</v>
      </c>
      <c r="W45">
        <f t="shared" si="39"/>
        <v>0.57392078646092071</v>
      </c>
      <c r="X45">
        <f t="shared" si="40"/>
        <v>2.7599639275902024</v>
      </c>
      <c r="Y45">
        <f t="shared" si="17"/>
        <v>0.970873786407767</v>
      </c>
      <c r="Z45">
        <f t="shared" si="18"/>
        <v>-5.1573880640494174E-3</v>
      </c>
      <c r="AA45">
        <f t="shared" si="29"/>
        <v>2.6598651643199397E-5</v>
      </c>
      <c r="AB45">
        <f t="shared" si="41"/>
        <v>0.17571783723246817</v>
      </c>
      <c r="AC45">
        <f t="shared" si="42"/>
        <v>5.7392078646092075E-2</v>
      </c>
      <c r="AD45">
        <f t="shared" si="43"/>
        <v>4.4569297660519105E-2</v>
      </c>
      <c r="AE45">
        <f t="shared" si="19"/>
        <v>0.27767921353907937</v>
      </c>
      <c r="AF45">
        <f t="shared" si="20"/>
        <v>0.27767921353907932</v>
      </c>
      <c r="AG45">
        <f t="shared" si="44"/>
        <v>0.17103794873064651</v>
      </c>
      <c r="AH45">
        <f t="shared" si="21"/>
        <v>0.7028713489298728</v>
      </c>
      <c r="AI45">
        <f t="shared" si="22"/>
        <v>0.6101252758923551</v>
      </c>
      <c r="AJ45">
        <f t="shared" si="30"/>
        <v>0</v>
      </c>
      <c r="AK45">
        <f t="shared" si="31"/>
        <v>0</v>
      </c>
      <c r="AL45">
        <f t="shared" si="32"/>
        <v>0</v>
      </c>
      <c r="AM45">
        <f t="shared" si="33"/>
        <v>0</v>
      </c>
      <c r="AN45">
        <v>0.03</v>
      </c>
      <c r="AO45">
        <f t="shared" si="23"/>
        <v>0</v>
      </c>
      <c r="AP45">
        <f t="shared" si="24"/>
        <v>0</v>
      </c>
    </row>
    <row r="46" spans="1:42" ht="15.75" thickBot="1" x14ac:dyDescent="0.3">
      <c r="A46" s="3" t="s">
        <v>44</v>
      </c>
      <c r="B46" s="3">
        <f>Cbar^(-sigma_c)/(1+tauc)</f>
        <v>2.7599639275902024</v>
      </c>
      <c r="F46" s="7">
        <f t="shared" si="25"/>
        <v>45</v>
      </c>
      <c r="G46">
        <f t="shared" si="0"/>
        <v>1.3863127604892389</v>
      </c>
      <c r="H46">
        <v>1</v>
      </c>
      <c r="I46">
        <f t="shared" si="45"/>
        <v>3.71</v>
      </c>
      <c r="J46">
        <f t="shared" si="46"/>
        <v>0.1484</v>
      </c>
      <c r="K46">
        <f t="shared" si="34"/>
        <v>8.0088585194104417E-2</v>
      </c>
      <c r="L46">
        <f t="shared" si="35"/>
        <v>0</v>
      </c>
      <c r="M46">
        <f t="shared" si="36"/>
        <v>0.69815629325111683</v>
      </c>
      <c r="N46">
        <f t="shared" si="47"/>
        <v>0.33</v>
      </c>
      <c r="O46">
        <f t="shared" si="12"/>
        <v>0.99999999999999989</v>
      </c>
      <c r="P46">
        <f t="shared" si="37"/>
        <v>2.1299131785753715</v>
      </c>
      <c r="Q46">
        <f t="shared" si="38"/>
        <v>0</v>
      </c>
      <c r="R46">
        <f t="shared" si="14"/>
        <v>-1.8686432864186697E-3</v>
      </c>
      <c r="S46">
        <f t="shared" si="28"/>
        <v>3.4918277318775664E-6</v>
      </c>
      <c r="T46">
        <f t="shared" ca="1" si="48"/>
        <v>-3.7358121350294586E-2</v>
      </c>
      <c r="U46">
        <v>0</v>
      </c>
      <c r="V46">
        <f t="shared" si="16"/>
        <v>1</v>
      </c>
      <c r="W46">
        <f t="shared" si="39"/>
        <v>0.57392078646092071</v>
      </c>
      <c r="X46">
        <f t="shared" si="40"/>
        <v>2.7599639275902024</v>
      </c>
      <c r="Y46">
        <f t="shared" si="17"/>
        <v>0.970873786407767</v>
      </c>
      <c r="Z46">
        <f t="shared" si="18"/>
        <v>-5.1573880640494174E-3</v>
      </c>
      <c r="AA46">
        <f t="shared" si="29"/>
        <v>2.6598651643199397E-5</v>
      </c>
      <c r="AB46">
        <f t="shared" si="41"/>
        <v>0.17571783723246817</v>
      </c>
      <c r="AC46">
        <f t="shared" si="42"/>
        <v>5.7392078646092075E-2</v>
      </c>
      <c r="AD46">
        <f t="shared" si="43"/>
        <v>4.4569297660519105E-2</v>
      </c>
      <c r="AE46">
        <f t="shared" si="19"/>
        <v>0.27767921353907937</v>
      </c>
      <c r="AF46">
        <f t="shared" si="20"/>
        <v>0.27767921353907932</v>
      </c>
      <c r="AG46">
        <f t="shared" si="44"/>
        <v>0.17103794873064651</v>
      </c>
      <c r="AH46">
        <f t="shared" si="21"/>
        <v>0.7028713489298728</v>
      </c>
      <c r="AI46">
        <f t="shared" si="22"/>
        <v>0.6101252758923551</v>
      </c>
      <c r="AJ46">
        <f t="shared" si="30"/>
        <v>0</v>
      </c>
      <c r="AK46">
        <f t="shared" si="31"/>
        <v>0</v>
      </c>
      <c r="AL46">
        <f t="shared" si="32"/>
        <v>0</v>
      </c>
      <c r="AM46">
        <f t="shared" si="33"/>
        <v>0</v>
      </c>
      <c r="AN46">
        <v>0.03</v>
      </c>
      <c r="AO46">
        <f t="shared" si="23"/>
        <v>0</v>
      </c>
      <c r="AP46">
        <f t="shared" si="24"/>
        <v>0</v>
      </c>
    </row>
    <row r="47" spans="1:42" ht="15.75" thickBot="1" x14ac:dyDescent="0.3">
      <c r="A47" s="3" t="s">
        <v>45</v>
      </c>
      <c r="B47" s="3" cm="1">
        <f t="array" ref="B47">Ac * alpha * kbar^(rhoc-1)*yhat1</f>
        <v>8.0088585194104417E-2</v>
      </c>
      <c r="F47" s="7">
        <f t="shared" si="25"/>
        <v>46</v>
      </c>
      <c r="G47">
        <f t="shared" si="0"/>
        <v>1.3863127604892389</v>
      </c>
      <c r="H47">
        <v>1</v>
      </c>
      <c r="I47">
        <f t="shared" si="45"/>
        <v>3.71</v>
      </c>
      <c r="J47">
        <f t="shared" si="46"/>
        <v>0.1484</v>
      </c>
      <c r="K47">
        <f t="shared" si="34"/>
        <v>8.0088585194104417E-2</v>
      </c>
      <c r="L47">
        <f t="shared" si="35"/>
        <v>0</v>
      </c>
      <c r="M47">
        <f t="shared" si="36"/>
        <v>0.69815629325111683</v>
      </c>
      <c r="N47">
        <f t="shared" si="47"/>
        <v>0.33</v>
      </c>
      <c r="O47">
        <f t="shared" si="12"/>
        <v>0.99999999999999989</v>
      </c>
      <c r="P47">
        <f t="shared" si="37"/>
        <v>2.1299131785753715</v>
      </c>
      <c r="Q47">
        <f t="shared" si="38"/>
        <v>0</v>
      </c>
      <c r="R47">
        <f t="shared" si="14"/>
        <v>-1.8686432864186697E-3</v>
      </c>
      <c r="S47">
        <f t="shared" si="28"/>
        <v>3.4918277318775664E-6</v>
      </c>
      <c r="T47">
        <f t="shared" ca="1" si="48"/>
        <v>-1.5705878756774243E-2</v>
      </c>
      <c r="U47">
        <v>0</v>
      </c>
      <c r="V47">
        <f t="shared" si="16"/>
        <v>1</v>
      </c>
      <c r="W47">
        <f t="shared" si="39"/>
        <v>0.57392078646092071</v>
      </c>
      <c r="X47">
        <f t="shared" si="40"/>
        <v>2.7599639275902024</v>
      </c>
      <c r="Y47">
        <f t="shared" si="17"/>
        <v>0.970873786407767</v>
      </c>
      <c r="Z47">
        <f t="shared" si="18"/>
        <v>-5.1573880640494174E-3</v>
      </c>
      <c r="AA47">
        <f t="shared" si="29"/>
        <v>2.6598651643199397E-5</v>
      </c>
      <c r="AB47">
        <f t="shared" si="41"/>
        <v>0.17571783723246817</v>
      </c>
      <c r="AC47">
        <f t="shared" si="42"/>
        <v>5.7392078646092075E-2</v>
      </c>
      <c r="AD47">
        <f t="shared" si="43"/>
        <v>4.4569297660519105E-2</v>
      </c>
      <c r="AE47">
        <f t="shared" si="19"/>
        <v>0.27767921353907937</v>
      </c>
      <c r="AF47">
        <f t="shared" si="20"/>
        <v>0.27767921353907932</v>
      </c>
      <c r="AG47">
        <f t="shared" si="44"/>
        <v>0.17103794873064651</v>
      </c>
      <c r="AH47">
        <f t="shared" si="21"/>
        <v>0.7028713489298728</v>
      </c>
      <c r="AI47">
        <f t="shared" si="22"/>
        <v>0.6101252758923551</v>
      </c>
      <c r="AJ47">
        <f t="shared" si="30"/>
        <v>0</v>
      </c>
      <c r="AK47">
        <f t="shared" si="31"/>
        <v>0</v>
      </c>
      <c r="AL47">
        <f t="shared" si="32"/>
        <v>0</v>
      </c>
      <c r="AM47">
        <f t="shared" si="33"/>
        <v>0</v>
      </c>
      <c r="AN47">
        <v>0.03</v>
      </c>
      <c r="AO47">
        <f t="shared" si="23"/>
        <v>0</v>
      </c>
      <c r="AP47">
        <f t="shared" si="24"/>
        <v>0</v>
      </c>
    </row>
    <row r="48" spans="1:42" ht="15.75" thickBot="1" x14ac:dyDescent="0.3">
      <c r="A48" s="3" t="s">
        <v>47</v>
      </c>
      <c r="B48" s="3">
        <f xml:space="preserve"> Ac * (1-alpha)*lbar ^(rhoc-1)*yhat1</f>
        <v>2.1299131785753715</v>
      </c>
      <c r="F48" s="7">
        <f t="shared" si="25"/>
        <v>47</v>
      </c>
      <c r="G48">
        <f t="shared" si="0"/>
        <v>1.3863127604892389</v>
      </c>
      <c r="H48">
        <v>1</v>
      </c>
      <c r="I48">
        <f t="shared" si="45"/>
        <v>3.71</v>
      </c>
      <c r="J48">
        <f t="shared" si="46"/>
        <v>0.1484</v>
      </c>
      <c r="K48">
        <f t="shared" si="34"/>
        <v>8.0088585194104417E-2</v>
      </c>
      <c r="L48">
        <f t="shared" si="35"/>
        <v>0</v>
      </c>
      <c r="M48">
        <f t="shared" si="36"/>
        <v>0.69815629325111683</v>
      </c>
      <c r="N48">
        <f t="shared" si="47"/>
        <v>0.33</v>
      </c>
      <c r="O48">
        <f t="shared" si="12"/>
        <v>0.99999999999999989</v>
      </c>
      <c r="P48">
        <f t="shared" si="37"/>
        <v>2.1299131785753715</v>
      </c>
      <c r="Q48">
        <f t="shared" si="38"/>
        <v>0</v>
      </c>
      <c r="R48">
        <f t="shared" si="14"/>
        <v>-1.8686432864186697E-3</v>
      </c>
      <c r="S48">
        <f t="shared" si="28"/>
        <v>3.4918277318775664E-6</v>
      </c>
      <c r="T48">
        <f t="shared" ca="1" si="48"/>
        <v>3.5901754436957888E-2</v>
      </c>
      <c r="U48">
        <v>0</v>
      </c>
      <c r="V48">
        <f t="shared" si="16"/>
        <v>1</v>
      </c>
      <c r="W48">
        <f t="shared" si="39"/>
        <v>0.57392078646092071</v>
      </c>
      <c r="X48">
        <f t="shared" si="40"/>
        <v>2.7599639275902024</v>
      </c>
      <c r="Y48">
        <f t="shared" si="17"/>
        <v>0.970873786407767</v>
      </c>
      <c r="Z48">
        <f t="shared" si="18"/>
        <v>-5.1573880640494174E-3</v>
      </c>
      <c r="AA48">
        <f t="shared" si="29"/>
        <v>2.6598651643199397E-5</v>
      </c>
      <c r="AB48">
        <f t="shared" si="41"/>
        <v>0.17571783723246817</v>
      </c>
      <c r="AC48">
        <f t="shared" si="42"/>
        <v>5.7392078646092075E-2</v>
      </c>
      <c r="AD48">
        <f t="shared" si="43"/>
        <v>4.4569297660519105E-2</v>
      </c>
      <c r="AE48">
        <f t="shared" si="19"/>
        <v>0.27767921353907937</v>
      </c>
      <c r="AF48">
        <f t="shared" si="20"/>
        <v>0.27767921353907932</v>
      </c>
      <c r="AG48">
        <f t="shared" si="44"/>
        <v>0.17103794873064651</v>
      </c>
      <c r="AH48">
        <f t="shared" si="21"/>
        <v>0.7028713489298728</v>
      </c>
      <c r="AI48">
        <f t="shared" si="22"/>
        <v>0.6101252758923551</v>
      </c>
      <c r="AJ48">
        <f t="shared" si="30"/>
        <v>0</v>
      </c>
      <c r="AK48">
        <f t="shared" si="31"/>
        <v>0</v>
      </c>
      <c r="AL48">
        <f t="shared" si="32"/>
        <v>0</v>
      </c>
      <c r="AM48">
        <f t="shared" si="33"/>
        <v>0</v>
      </c>
      <c r="AN48">
        <v>0.03</v>
      </c>
      <c r="AO48">
        <f t="shared" si="23"/>
        <v>0</v>
      </c>
      <c r="AP48">
        <f t="shared" si="24"/>
        <v>0</v>
      </c>
    </row>
    <row r="49" spans="1:43" ht="15.75" thickBot="1" x14ac:dyDescent="0.3">
      <c r="A49" s="3" t="s">
        <v>48</v>
      </c>
      <c r="B49" s="3">
        <f>mpl *(1-tauw) *lambdabar/(lbar^(1/phiLL))</f>
        <v>40.485423841370618</v>
      </c>
      <c r="F49" s="7">
        <f t="shared" si="25"/>
        <v>48</v>
      </c>
      <c r="G49">
        <f t="shared" si="0"/>
        <v>1.3863127604892389</v>
      </c>
      <c r="H49">
        <v>1</v>
      </c>
      <c r="I49">
        <f t="shared" si="45"/>
        <v>3.71</v>
      </c>
      <c r="J49">
        <f t="shared" si="46"/>
        <v>0.1484</v>
      </c>
      <c r="K49">
        <f t="shared" si="34"/>
        <v>8.0088585194104417E-2</v>
      </c>
      <c r="L49">
        <f t="shared" si="35"/>
        <v>0</v>
      </c>
      <c r="M49">
        <f t="shared" si="36"/>
        <v>0.69815629325111683</v>
      </c>
      <c r="N49">
        <f t="shared" si="47"/>
        <v>0.33</v>
      </c>
      <c r="O49">
        <f t="shared" si="12"/>
        <v>0.99999999999999989</v>
      </c>
      <c r="P49">
        <f t="shared" si="37"/>
        <v>2.1299131785753715</v>
      </c>
      <c r="Q49">
        <f t="shared" si="38"/>
        <v>0</v>
      </c>
      <c r="R49">
        <f t="shared" si="14"/>
        <v>-1.8686432864186697E-3</v>
      </c>
      <c r="S49">
        <f t="shared" si="28"/>
        <v>3.4918277318775664E-6</v>
      </c>
      <c r="T49">
        <f t="shared" ca="1" si="48"/>
        <v>-4.4237047012647525E-3</v>
      </c>
      <c r="U49">
        <v>0</v>
      </c>
      <c r="V49">
        <f t="shared" si="16"/>
        <v>1</v>
      </c>
      <c r="W49">
        <f t="shared" si="39"/>
        <v>0.57392078646092071</v>
      </c>
      <c r="X49">
        <f t="shared" si="40"/>
        <v>2.7599639275902024</v>
      </c>
      <c r="Y49">
        <f t="shared" si="17"/>
        <v>0.970873786407767</v>
      </c>
      <c r="Z49">
        <f t="shared" si="18"/>
        <v>-5.1573880640494174E-3</v>
      </c>
      <c r="AA49">
        <f t="shared" si="29"/>
        <v>2.6598651643199397E-5</v>
      </c>
      <c r="AB49">
        <f t="shared" si="41"/>
        <v>0.17571783723246817</v>
      </c>
      <c r="AC49">
        <f t="shared" si="42"/>
        <v>5.7392078646092075E-2</v>
      </c>
      <c r="AD49">
        <f t="shared" si="43"/>
        <v>4.4569297660519105E-2</v>
      </c>
      <c r="AE49">
        <f t="shared" si="19"/>
        <v>0.27767921353907937</v>
      </c>
      <c r="AF49">
        <f t="shared" si="20"/>
        <v>0.27767921353907932</v>
      </c>
      <c r="AG49">
        <f t="shared" si="44"/>
        <v>0.17103794873064651</v>
      </c>
      <c r="AH49">
        <f t="shared" si="21"/>
        <v>0.7028713489298728</v>
      </c>
      <c r="AI49">
        <f t="shared" si="22"/>
        <v>0.6101252758923551</v>
      </c>
      <c r="AJ49">
        <f t="shared" si="30"/>
        <v>0</v>
      </c>
      <c r="AK49">
        <f t="shared" si="31"/>
        <v>0</v>
      </c>
      <c r="AL49">
        <f t="shared" si="32"/>
        <v>0</v>
      </c>
      <c r="AM49">
        <f t="shared" si="33"/>
        <v>0</v>
      </c>
      <c r="AN49">
        <v>0.03</v>
      </c>
      <c r="AO49">
        <f t="shared" si="23"/>
        <v>0</v>
      </c>
      <c r="AP49">
        <f t="shared" si="24"/>
        <v>0</v>
      </c>
    </row>
    <row r="50" spans="1:43" x14ac:dyDescent="0.25">
      <c r="F50" s="7">
        <f t="shared" si="25"/>
        <v>49</v>
      </c>
      <c r="G50">
        <f t="shared" si="0"/>
        <v>1.3863127604892389</v>
      </c>
      <c r="H50">
        <v>1</v>
      </c>
      <c r="I50">
        <f t="shared" si="45"/>
        <v>3.71</v>
      </c>
      <c r="J50">
        <f t="shared" si="46"/>
        <v>0.1484</v>
      </c>
      <c r="K50">
        <f t="shared" si="34"/>
        <v>8.0088585194104417E-2</v>
      </c>
      <c r="L50">
        <f t="shared" si="35"/>
        <v>0</v>
      </c>
      <c r="M50">
        <f t="shared" si="36"/>
        <v>0.69815629325111683</v>
      </c>
      <c r="N50">
        <f t="shared" si="47"/>
        <v>0.33</v>
      </c>
      <c r="O50">
        <f t="shared" si="12"/>
        <v>0.99999999999999989</v>
      </c>
      <c r="P50">
        <f t="shared" si="37"/>
        <v>2.1299131785753715</v>
      </c>
      <c r="Q50">
        <f t="shared" si="38"/>
        <v>0</v>
      </c>
      <c r="R50">
        <f t="shared" si="14"/>
        <v>-1.8686432864186697E-3</v>
      </c>
      <c r="S50">
        <f t="shared" si="28"/>
        <v>3.4918277318775664E-6</v>
      </c>
      <c r="T50">
        <f t="shared" ca="1" si="48"/>
        <v>4.7861311725474975E-2</v>
      </c>
      <c r="U50">
        <v>0</v>
      </c>
      <c r="V50">
        <f t="shared" si="16"/>
        <v>1</v>
      </c>
      <c r="W50">
        <f t="shared" si="39"/>
        <v>0.57392078646092071</v>
      </c>
      <c r="X50">
        <f t="shared" si="40"/>
        <v>2.7599639275902024</v>
      </c>
      <c r="Y50">
        <f t="shared" si="17"/>
        <v>0.970873786407767</v>
      </c>
      <c r="Z50">
        <f t="shared" si="18"/>
        <v>-5.1573880640494174E-3</v>
      </c>
      <c r="AA50">
        <f t="shared" si="29"/>
        <v>2.6598651643199397E-5</v>
      </c>
      <c r="AB50">
        <f t="shared" si="41"/>
        <v>0.17571783723246817</v>
      </c>
      <c r="AC50">
        <f t="shared" si="42"/>
        <v>5.7392078646092075E-2</v>
      </c>
      <c r="AD50">
        <f t="shared" si="43"/>
        <v>4.4569297660519105E-2</v>
      </c>
      <c r="AE50">
        <f t="shared" si="19"/>
        <v>0.27767921353907937</v>
      </c>
      <c r="AF50">
        <f t="shared" si="20"/>
        <v>0.27767921353907932</v>
      </c>
      <c r="AG50">
        <f t="shared" si="44"/>
        <v>0.17103794873064651</v>
      </c>
      <c r="AH50">
        <f t="shared" si="21"/>
        <v>0.7028713489298728</v>
      </c>
      <c r="AI50">
        <f t="shared" si="22"/>
        <v>0.6101252758923551</v>
      </c>
      <c r="AJ50">
        <f t="shared" si="30"/>
        <v>0</v>
      </c>
      <c r="AK50">
        <f t="shared" si="31"/>
        <v>0</v>
      </c>
      <c r="AL50">
        <f t="shared" si="32"/>
        <v>0</v>
      </c>
      <c r="AM50">
        <f t="shared" si="33"/>
        <v>0</v>
      </c>
      <c r="AN50">
        <v>0.03</v>
      </c>
      <c r="AO50">
        <f t="shared" si="23"/>
        <v>0</v>
      </c>
      <c r="AP50">
        <f t="shared" si="24"/>
        <v>0</v>
      </c>
      <c r="AQ50" t="s">
        <v>75</v>
      </c>
    </row>
    <row r="51" spans="1:43" x14ac:dyDescent="0.25">
      <c r="A51" s="3" t="s">
        <v>49</v>
      </c>
      <c r="B51" s="3">
        <f>(mpl *(1-tauw)*lambdabar/gamma)^phiLL</f>
        <v>0.33</v>
      </c>
      <c r="S51">
        <f>SUM(S3:S50)</f>
        <v>1.6760773113012314E-4</v>
      </c>
      <c r="AA51">
        <f>SUM(AA3:AA50)</f>
        <v>1.2767352788735709E-3</v>
      </c>
    </row>
    <row r="52" spans="1:43" x14ac:dyDescent="0.25">
      <c r="AF52">
        <f>AVERAGE(AF2:AF22)</f>
        <v>0.27767921353907921</v>
      </c>
      <c r="AI52">
        <f>AVERAGE(AI2:AI22)</f>
        <v>0.61012527589235488</v>
      </c>
      <c r="AK52">
        <f>AVERAGE(AK2:AK22)</f>
        <v>0</v>
      </c>
      <c r="AL52">
        <f>AVERAGE(AL2:AL22)</f>
        <v>0</v>
      </c>
    </row>
    <row r="53" spans="1:43" x14ac:dyDescent="0.25">
      <c r="A53" s="3" t="s">
        <v>53</v>
      </c>
      <c r="B53" s="3" cm="1">
        <f t="array" ref="B53" xml:space="preserve">  mpl *lbar + mpk * kbar</f>
        <v>1</v>
      </c>
      <c r="S53">
        <f>AA51+S51</f>
        <v>1.4443430100036941E-3</v>
      </c>
      <c r="AF53" t="s">
        <v>64</v>
      </c>
      <c r="AI53" t="s">
        <v>65</v>
      </c>
      <c r="AK53" t="s">
        <v>66</v>
      </c>
      <c r="AL53" t="s">
        <v>68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24</vt:i4>
      </vt:variant>
    </vt:vector>
  </HeadingPairs>
  <TitlesOfParts>
    <vt:vector size="25" baseType="lpstr">
      <vt:lpstr>Sheet1</vt:lpstr>
      <vt:lpstr>Ac</vt:lpstr>
      <vt:lpstr>alpha</vt:lpstr>
      <vt:lpstr>Beta</vt:lpstr>
      <vt:lpstr>Cbar</vt:lpstr>
      <vt:lpstr>Delta</vt:lpstr>
      <vt:lpstr>gamma</vt:lpstr>
      <vt:lpstr>Interest</vt:lpstr>
      <vt:lpstr>kbar</vt:lpstr>
      <vt:lpstr>lambdabar</vt:lpstr>
      <vt:lpstr>lbar</vt:lpstr>
      <vt:lpstr>mpk</vt:lpstr>
      <vt:lpstr>mpl</vt:lpstr>
      <vt:lpstr>Phi</vt:lpstr>
      <vt:lpstr>phiL</vt:lpstr>
      <vt:lpstr>phiLL</vt:lpstr>
      <vt:lpstr>qbar</vt:lpstr>
      <vt:lpstr>rhoc</vt:lpstr>
      <vt:lpstr>sigma_c</vt:lpstr>
      <vt:lpstr>tauc</vt:lpstr>
      <vt:lpstr>tauk</vt:lpstr>
      <vt:lpstr>tauw</vt:lpstr>
      <vt:lpstr>Y</vt:lpstr>
      <vt:lpstr>yhat</vt:lpstr>
      <vt:lpstr>yhat1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McNelis</dc:creator>
  <cp:lastModifiedBy>Paul D McNelis</cp:lastModifiedBy>
  <dcterms:created xsi:type="dcterms:W3CDTF">2024-11-12T22:28:08Z</dcterms:created>
  <dcterms:modified xsi:type="dcterms:W3CDTF">2025-11-13T00:50:38Z</dcterms:modified>
</cp:coreProperties>
</file>