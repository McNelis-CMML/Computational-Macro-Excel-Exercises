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Saint\Dropbox\ComputMacro\EXCEL-ICM\"/>
    </mc:Choice>
  </mc:AlternateContent>
  <xr:revisionPtr revIDLastSave="0" documentId="13_ncr:1_{577C4E61-9A9B-473B-8491-638114788055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Hoja1" sheetId="1" r:id="rId1"/>
    <sheet name="Hoja2" sheetId="2" r:id="rId2"/>
    <sheet name="Hoja3" sheetId="3" r:id="rId3"/>
  </sheets>
  <definedNames>
    <definedName name="Beta">Hoja1!$B$4</definedName>
    <definedName name="Gamma">Hoja1!$B$6</definedName>
    <definedName name="Phi">Hoja1!$B$7</definedName>
    <definedName name="R_0">Hoja1!$B$10</definedName>
    <definedName name="Rbar">Hoja1!$B$10</definedName>
    <definedName name="Sigma">Hoja1!$B$5</definedName>
    <definedName name="solver_adj" localSheetId="0" hidden="1">Hoja1!$E$3:$F$33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100</definedName>
    <definedName name="solver_lhs1" localSheetId="0" hidden="1">Hoja1!$F$3:$F$33</definedName>
    <definedName name="solver_lhs2" localSheetId="0" hidden="1">Hoja1!$H$33</definedName>
    <definedName name="solver_lin" localSheetId="0" hidden="1">2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2</definedName>
    <definedName name="solver_nod" localSheetId="0" hidden="1">2147483647</definedName>
    <definedName name="solver_num" localSheetId="0" hidden="1">2</definedName>
    <definedName name="solver_nwt" localSheetId="0" hidden="1">1</definedName>
    <definedName name="solver_opt" localSheetId="0" hidden="1">Hoja1!$I$34</definedName>
    <definedName name="solver_pre" localSheetId="0" hidden="1">0.000001</definedName>
    <definedName name="solver_rbv" localSheetId="0" hidden="1">1</definedName>
    <definedName name="solver_rel1" localSheetId="0" hidden="1">1</definedName>
    <definedName name="solver_rel2" localSheetId="0" hidden="1">2</definedName>
    <definedName name="solver_rhs1" localSheetId="0" hidden="1">0.4</definedName>
    <definedName name="solver_rhs2" localSheetId="0" hidden="1">0</definedName>
    <definedName name="solver_rlx" localSheetId="0" hidden="1">1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100</definedName>
    <definedName name="solver_tol" localSheetId="0" hidden="1">0.05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3" i="1" l="1"/>
  <c r="G24" i="1"/>
  <c r="G25" i="1"/>
  <c r="G26" i="1"/>
  <c r="G27" i="1"/>
  <c r="G28" i="1"/>
  <c r="G29" i="1"/>
  <c r="G30" i="1"/>
  <c r="G31" i="1"/>
  <c r="G32" i="1"/>
  <c r="G3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3" i="1"/>
  <c r="B14" i="1"/>
  <c r="B12" i="1"/>
  <c r="I3" i="1"/>
  <c r="J4" i="1" l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D4" i="1"/>
  <c r="D5" i="1" s="1"/>
  <c r="H3" i="1" l="1"/>
  <c r="H4" i="1" s="1"/>
  <c r="H5" i="1" s="1"/>
  <c r="H6" i="1" s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H33" i="1" s="1"/>
  <c r="J3" i="1"/>
  <c r="I5" i="1"/>
  <c r="D6" i="1"/>
  <c r="I4" i="1"/>
  <c r="I6" i="1" l="1"/>
  <c r="D7" i="1"/>
  <c r="D8" i="1" l="1"/>
  <c r="I7" i="1"/>
  <c r="I8" i="1" l="1"/>
  <c r="D9" i="1"/>
  <c r="I9" i="1" l="1"/>
  <c r="D10" i="1"/>
  <c r="I10" i="1" l="1"/>
  <c r="D11" i="1"/>
  <c r="D12" i="1" l="1"/>
  <c r="I11" i="1"/>
  <c r="I12" i="1" l="1"/>
  <c r="D13" i="1"/>
  <c r="I13" i="1" l="1"/>
  <c r="D14" i="1"/>
  <c r="D15" i="1" l="1"/>
  <c r="I14" i="1"/>
  <c r="I15" i="1" l="1"/>
  <c r="D16" i="1"/>
  <c r="I16" i="1" l="1"/>
  <c r="D17" i="1"/>
  <c r="I17" i="1" l="1"/>
  <c r="D18" i="1"/>
  <c r="I18" i="1" l="1"/>
  <c r="D19" i="1"/>
  <c r="I19" i="1" l="1"/>
  <c r="D20" i="1"/>
  <c r="I20" i="1" l="1"/>
  <c r="D21" i="1"/>
  <c r="I21" i="1" l="1"/>
  <c r="D22" i="1"/>
  <c r="I22" i="1" l="1"/>
  <c r="D23" i="1"/>
  <c r="I23" i="1" l="1"/>
  <c r="D24" i="1"/>
  <c r="I24" i="1" l="1"/>
  <c r="D25" i="1"/>
  <c r="I25" i="1" l="1"/>
  <c r="D26" i="1"/>
  <c r="D27" i="1" l="1"/>
  <c r="I26" i="1"/>
  <c r="D28" i="1" l="1"/>
  <c r="I27" i="1"/>
  <c r="I28" i="1" l="1"/>
  <c r="D29" i="1"/>
  <c r="I29" i="1" l="1"/>
  <c r="D30" i="1"/>
  <c r="I30" i="1" l="1"/>
  <c r="D31" i="1"/>
  <c r="D32" i="1" l="1"/>
  <c r="I31" i="1"/>
  <c r="I32" i="1" l="1"/>
  <c r="D33" i="1"/>
  <c r="I33" i="1" s="1"/>
  <c r="I34" i="1" l="1"/>
</calcChain>
</file>

<file path=xl/sharedStrings.xml><?xml version="1.0" encoding="utf-8"?>
<sst xmlns="http://schemas.openxmlformats.org/spreadsheetml/2006/main" count="35" uniqueCount="20">
  <si>
    <t xml:space="preserve"> </t>
  </si>
  <si>
    <t>Beta</t>
  </si>
  <si>
    <t>Gamma</t>
  </si>
  <si>
    <t>Sigma</t>
  </si>
  <si>
    <t>Phi</t>
  </si>
  <si>
    <t>Parameters</t>
  </si>
  <si>
    <t>Exogenous variables</t>
  </si>
  <si>
    <t>Interest rate</t>
  </si>
  <si>
    <t>Period</t>
  </si>
  <si>
    <t>Labor</t>
  </si>
  <si>
    <t>Income</t>
  </si>
  <si>
    <t>Utility</t>
  </si>
  <si>
    <t>Consumption</t>
  </si>
  <si>
    <t>Sum</t>
  </si>
  <si>
    <t>EXERCISE 5.3: Consumption-leisure decision</t>
  </si>
  <si>
    <t>Sav</t>
  </si>
  <si>
    <t>Natural</t>
  </si>
  <si>
    <t>Wage</t>
  </si>
  <si>
    <t>Wage1</t>
  </si>
  <si>
    <t>Assets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</si>
</sst>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00000000"/>
  </numFmts>
  <fonts count="6" x14ac:knownFonts="1">
    <font>
      <sz val="10"/>
      <name val="Arial"/>
      <family val="2"/>
    </font>
    <font>
      <b/>
      <sz val="11"/>
      <name val="Times New Roman"/>
      <family val="1"/>
    </font>
    <font>
      <sz val="11"/>
      <name val="Times New Roman"/>
      <family val="1"/>
    </font>
    <font>
      <b/>
      <i/>
      <sz val="11"/>
      <color theme="0"/>
      <name val="Times New Roman"/>
      <family val="1"/>
    </font>
    <font>
      <sz val="11"/>
      <color theme="0"/>
      <name val="Times New Roman"/>
      <family val="1"/>
    </font>
    <font>
      <b/>
      <sz val="11"/>
      <color theme="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34998626667073579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/>
    <xf numFmtId="0" fontId="1" fillId="0" borderId="0" xfId="0" applyFont="1"/>
    <xf numFmtId="0" fontId="1" fillId="0" borderId="0" xfId="0" applyFont="1" applyAlignment="1">
      <alignment horizontal="center"/>
    </xf>
    <xf numFmtId="164" fontId="2" fillId="0" borderId="0" xfId="0" applyNumberFormat="1" applyFont="1"/>
    <xf numFmtId="165" fontId="2" fillId="0" borderId="0" xfId="0" applyNumberFormat="1" applyFont="1"/>
    <xf numFmtId="2" fontId="2" fillId="0" borderId="0" xfId="0" applyNumberFormat="1" applyFont="1"/>
    <xf numFmtId="0" fontId="1" fillId="2" borderId="1" xfId="0" applyFont="1" applyFill="1" applyBorder="1"/>
    <xf numFmtId="0" fontId="2" fillId="3" borderId="2" xfId="0" applyFont="1" applyFill="1" applyBorder="1"/>
    <xf numFmtId="0" fontId="2" fillId="3" borderId="3" xfId="0" applyFont="1" applyFill="1" applyBorder="1"/>
    <xf numFmtId="0" fontId="2" fillId="3" borderId="4" xfId="0" applyFont="1" applyFill="1" applyBorder="1"/>
    <xf numFmtId="0" fontId="2" fillId="3" borderId="5" xfId="0" applyFont="1" applyFill="1" applyBorder="1"/>
    <xf numFmtId="0" fontId="3" fillId="4" borderId="6" xfId="0" applyFont="1" applyFill="1" applyBorder="1"/>
    <xf numFmtId="0" fontId="4" fillId="4" borderId="7" xfId="0" applyFont="1" applyFill="1" applyBorder="1"/>
    <xf numFmtId="0" fontId="2" fillId="3" borderId="2" xfId="0" applyFont="1" applyFill="1" applyBorder="1" applyAlignment="1">
      <alignment horizontal="center"/>
    </xf>
    <xf numFmtId="2" fontId="2" fillId="3" borderId="0" xfId="0" applyNumberFormat="1" applyFont="1" applyFill="1"/>
    <xf numFmtId="2" fontId="2" fillId="3" borderId="3" xfId="0" applyNumberFormat="1" applyFont="1" applyFill="1" applyBorder="1"/>
    <xf numFmtId="0" fontId="5" fillId="4" borderId="6" xfId="0" applyFont="1" applyFill="1" applyBorder="1" applyAlignment="1">
      <alignment horizontal="center"/>
    </xf>
    <xf numFmtId="0" fontId="5" fillId="4" borderId="8" xfId="0" applyFont="1" applyFill="1" applyBorder="1" applyAlignment="1">
      <alignment horizontal="right"/>
    </xf>
    <xf numFmtId="0" fontId="5" fillId="4" borderId="7" xfId="0" applyFont="1" applyFill="1" applyBorder="1" applyAlignment="1">
      <alignment horizontal="right"/>
    </xf>
    <xf numFmtId="0" fontId="1" fillId="3" borderId="4" xfId="0" applyFont="1" applyFill="1" applyBorder="1" applyAlignment="1">
      <alignment horizontal="center"/>
    </xf>
    <xf numFmtId="2" fontId="1" fillId="3" borderId="9" xfId="0" applyNumberFormat="1" applyFont="1" applyFill="1" applyBorder="1"/>
    <xf numFmtId="2" fontId="1" fillId="3" borderId="5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B3B3B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38"/>
  <sheetViews>
    <sheetView tabSelected="1" topLeftCell="A11" workbookViewId="0">
      <selection activeCell="F2" sqref="F2:F33"/>
    </sheetView>
  </sheetViews>
  <sheetFormatPr defaultColWidth="11.59765625" defaultRowHeight="13.9" x14ac:dyDescent="0.4"/>
  <cols>
    <col min="1" max="1" width="42.59765625" style="1" customWidth="1"/>
    <col min="2" max="2" width="6.73046875" style="1" customWidth="1"/>
    <col min="3" max="3" width="4.265625" style="1" customWidth="1"/>
    <col min="4" max="4" width="9.1328125" style="1" customWidth="1"/>
    <col min="5" max="5" width="12.265625" style="1" customWidth="1"/>
    <col min="6" max="6" width="8.1328125" style="1" customWidth="1"/>
    <col min="7" max="7" width="7.86328125" style="1" customWidth="1"/>
    <col min="8" max="8" width="9.1328125" style="1" customWidth="1"/>
    <col min="9" max="9" width="8.59765625" style="1" customWidth="1"/>
    <col min="10" max="10" width="22.1328125" style="1" customWidth="1"/>
    <col min="11" max="16384" width="11.59765625" style="1"/>
  </cols>
  <sheetData>
    <row r="1" spans="1:57" ht="14.25" thickBot="1" x14ac:dyDescent="0.45">
      <c r="A1" s="7" t="s">
        <v>14</v>
      </c>
      <c r="BB1" s="2"/>
    </row>
    <row r="2" spans="1:57" ht="14.25" thickBot="1" x14ac:dyDescent="0.45">
      <c r="A2" s="1" t="s">
        <v>0</v>
      </c>
      <c r="D2" s="17" t="s">
        <v>8</v>
      </c>
      <c r="E2" s="18" t="s">
        <v>12</v>
      </c>
      <c r="F2" s="18" t="s">
        <v>9</v>
      </c>
      <c r="G2" s="18" t="s">
        <v>10</v>
      </c>
      <c r="H2" s="18" t="s">
        <v>19</v>
      </c>
      <c r="I2" s="19" t="s">
        <v>11</v>
      </c>
      <c r="J2" s="1" t="s">
        <v>15</v>
      </c>
      <c r="BB2" s="3"/>
      <c r="BC2" s="3"/>
      <c r="BD2" s="3"/>
    </row>
    <row r="3" spans="1:57" x14ac:dyDescent="0.4">
      <c r="A3" s="12" t="s">
        <v>5</v>
      </c>
      <c r="B3" s="13"/>
      <c r="D3" s="14">
        <v>0</v>
      </c>
      <c r="E3" s="15">
        <v>10.172097642363132</v>
      </c>
      <c r="F3" s="15">
        <v>0.31202129259172728</v>
      </c>
      <c r="G3" s="15">
        <f>$B$14*F3</f>
        <v>9.3606387777518183</v>
      </c>
      <c r="H3" s="15">
        <f>G3-E3</f>
        <v>-0.81145886461131411</v>
      </c>
      <c r="I3" s="16">
        <f>Beta^D3*((E3^(1-Sigma)-1)/(1-Sigma)-Gamma*((F3^(1+(1/Phi)))/(1+(1/Phi))))</f>
        <v>0.87131431337088538</v>
      </c>
      <c r="J3" s="5">
        <f>G3-E3</f>
        <v>-0.81145886461131411</v>
      </c>
    </row>
    <row r="4" spans="1:57" x14ac:dyDescent="0.4">
      <c r="A4" s="8" t="s">
        <v>1</v>
      </c>
      <c r="B4" s="9">
        <v>0.97</v>
      </c>
      <c r="D4" s="14">
        <f>D3+1</f>
        <v>1</v>
      </c>
      <c r="E4" s="15">
        <v>10.133704786246476</v>
      </c>
      <c r="F4" s="15">
        <v>0.31291436617638657</v>
      </c>
      <c r="G4" s="15">
        <f t="shared" ref="G4:G33" si="0">$B$14*F4</f>
        <v>9.3874309852915978</v>
      </c>
      <c r="H4" s="15">
        <f t="shared" ref="H4:H33" si="1">(1+R_0)*H3+G4-E4</f>
        <v>-1.5780191371814745</v>
      </c>
      <c r="I4" s="16">
        <f t="shared" ref="I4:I33" si="2">Beta^D4*((E4^(1-Sigma)-1)/(1-Sigma)-Gamma*((F4^(1+(1/Phi)))/(1+(1/Phi))))</f>
        <v>0.84455986311981779</v>
      </c>
      <c r="J4" s="5">
        <f t="shared" ref="J4:J33" si="3">G4-E4</f>
        <v>-0.74627380095487794</v>
      </c>
    </row>
    <row r="5" spans="1:57" x14ac:dyDescent="0.4">
      <c r="A5" s="8" t="s">
        <v>3</v>
      </c>
      <c r="B5" s="9">
        <v>2</v>
      </c>
      <c r="D5" s="14">
        <f t="shared" ref="D5:D33" si="4">D4+1</f>
        <v>2</v>
      </c>
      <c r="E5" s="15">
        <v>10.092897229177707</v>
      </c>
      <c r="F5" s="15">
        <v>0.31380591744471653</v>
      </c>
      <c r="G5" s="15">
        <f t="shared" si="0"/>
        <v>9.4141775233414968</v>
      </c>
      <c r="H5" s="15">
        <f t="shared" si="1"/>
        <v>-2.2961893214472209</v>
      </c>
      <c r="I5" s="16">
        <f t="shared" si="2"/>
        <v>0.81860054744901223</v>
      </c>
      <c r="J5" s="5">
        <f t="shared" si="3"/>
        <v>-0.67871970583621</v>
      </c>
    </row>
    <row r="6" spans="1:57" x14ac:dyDescent="0.4">
      <c r="A6" s="8" t="s">
        <v>2</v>
      </c>
      <c r="B6" s="9">
        <v>3</v>
      </c>
      <c r="D6" s="14">
        <f t="shared" si="4"/>
        <v>3</v>
      </c>
      <c r="E6" s="15">
        <v>10.050258112468182</v>
      </c>
      <c r="F6" s="15">
        <v>0.31485338850801736</v>
      </c>
      <c r="G6" s="15">
        <f t="shared" si="0"/>
        <v>9.4456016552405213</v>
      </c>
      <c r="H6" s="15">
        <f t="shared" si="1"/>
        <v>-2.9582505117110616</v>
      </c>
      <c r="I6" s="16">
        <f t="shared" si="2"/>
        <v>0.79337551811113494</v>
      </c>
      <c r="J6" s="5">
        <f t="shared" si="3"/>
        <v>-0.60465645722766048</v>
      </c>
    </row>
    <row r="7" spans="1:57" ht="14.25" thickBot="1" x14ac:dyDescent="0.45">
      <c r="A7" s="10" t="s">
        <v>4</v>
      </c>
      <c r="B7" s="11">
        <v>0.5</v>
      </c>
      <c r="D7" s="14">
        <f t="shared" si="4"/>
        <v>4</v>
      </c>
      <c r="E7" s="15">
        <v>10.006396878436385</v>
      </c>
      <c r="F7" s="15">
        <v>0.31551246107657011</v>
      </c>
      <c r="G7" s="15">
        <f t="shared" si="0"/>
        <v>9.4653738322971037</v>
      </c>
      <c r="H7" s="15">
        <f t="shared" si="1"/>
        <v>-3.5732298206431192</v>
      </c>
      <c r="I7" s="16">
        <f t="shared" si="2"/>
        <v>0.76901425403924839</v>
      </c>
      <c r="J7" s="5">
        <f t="shared" si="3"/>
        <v>-0.54102304613928176</v>
      </c>
    </row>
    <row r="8" spans="1:57" ht="14.25" thickBot="1" x14ac:dyDescent="0.45">
      <c r="D8" s="14">
        <f t="shared" si="4"/>
        <v>5</v>
      </c>
      <c r="E8" s="15">
        <v>9.9618999395084291</v>
      </c>
      <c r="F8" s="15">
        <v>0.31653273905394297</v>
      </c>
      <c r="G8" s="15">
        <f t="shared" si="0"/>
        <v>9.4959821716182891</v>
      </c>
      <c r="H8" s="15">
        <f t="shared" si="1"/>
        <v>-4.128478334049337</v>
      </c>
      <c r="I8" s="16">
        <f t="shared" si="2"/>
        <v>0.74529799636089533</v>
      </c>
      <c r="J8" s="5">
        <f t="shared" si="3"/>
        <v>-0.46591776789014006</v>
      </c>
      <c r="BE8" s="4"/>
    </row>
    <row r="9" spans="1:57" x14ac:dyDescent="0.4">
      <c r="A9" s="12" t="s">
        <v>6</v>
      </c>
      <c r="B9" s="13"/>
      <c r="D9" s="14">
        <f t="shared" si="4"/>
        <v>6</v>
      </c>
      <c r="E9" s="15">
        <v>9.9173006517284179</v>
      </c>
      <c r="F9" s="15">
        <v>0.31755998634672417</v>
      </c>
      <c r="G9" s="15">
        <f t="shared" si="0"/>
        <v>9.5267995904017244</v>
      </c>
      <c r="H9" s="15">
        <f t="shared" si="1"/>
        <v>-4.6221913537272634</v>
      </c>
      <c r="I9" s="16">
        <f t="shared" si="2"/>
        <v>0.72230499489248812</v>
      </c>
      <c r="J9" s="5">
        <f t="shared" si="3"/>
        <v>-0.39050106132669349</v>
      </c>
    </row>
    <row r="10" spans="1:57" ht="14.25" thickBot="1" x14ac:dyDescent="0.45">
      <c r="A10" s="10" t="s">
        <v>7</v>
      </c>
      <c r="B10" s="11">
        <v>2.5000000000000001E-2</v>
      </c>
      <c r="D10" s="14">
        <f t="shared" si="4"/>
        <v>7</v>
      </c>
      <c r="E10" s="15">
        <v>9.8730726104282631</v>
      </c>
      <c r="F10" s="15">
        <v>0.31838899095055095</v>
      </c>
      <c r="G10" s="15">
        <f t="shared" si="0"/>
        <v>9.5516697285165293</v>
      </c>
      <c r="H10" s="15">
        <f t="shared" si="1"/>
        <v>-5.0591490194821782</v>
      </c>
      <c r="I10" s="16">
        <f t="shared" si="2"/>
        <v>0.70006770507756177</v>
      </c>
      <c r="J10" s="5">
        <f t="shared" si="3"/>
        <v>-0.32140288191173383</v>
      </c>
    </row>
    <row r="11" spans="1:57" x14ac:dyDescent="0.4">
      <c r="D11" s="14">
        <f t="shared" si="4"/>
        <v>8</v>
      </c>
      <c r="E11" s="15">
        <v>9.8296311260632052</v>
      </c>
      <c r="F11" s="15">
        <v>0.31918752076200912</v>
      </c>
      <c r="G11" s="15">
        <f t="shared" si="0"/>
        <v>9.5756256228602741</v>
      </c>
      <c r="H11" s="15">
        <f t="shared" si="1"/>
        <v>-5.4396332481721634</v>
      </c>
      <c r="I11" s="16">
        <f t="shared" si="2"/>
        <v>0.67852404458095528</v>
      </c>
      <c r="J11" s="5">
        <f t="shared" si="3"/>
        <v>-0.25400550320293114</v>
      </c>
    </row>
    <row r="12" spans="1:57" x14ac:dyDescent="0.4">
      <c r="A12" s="1" t="s">
        <v>16</v>
      </c>
      <c r="B12" s="1">
        <f>1/B4-1</f>
        <v>3.0927835051546504E-2</v>
      </c>
      <c r="C12" s="1" t="s">
        <v>0</v>
      </c>
      <c r="D12" s="14">
        <f t="shared" si="4"/>
        <v>9</v>
      </c>
      <c r="E12" s="15">
        <v>9.7873405375106302</v>
      </c>
      <c r="F12" s="15">
        <v>0.32011259861317043</v>
      </c>
      <c r="G12" s="15">
        <f t="shared" si="0"/>
        <v>9.6033779583951127</v>
      </c>
      <c r="H12" s="15">
        <f t="shared" si="1"/>
        <v>-5.7595866584919841</v>
      </c>
      <c r="I12" s="16">
        <f t="shared" si="2"/>
        <v>0.65761856455625034</v>
      </c>
      <c r="J12" s="5">
        <f t="shared" si="3"/>
        <v>-0.1839625791155175</v>
      </c>
    </row>
    <row r="13" spans="1:57" x14ac:dyDescent="0.4">
      <c r="A13" s="1" t="s">
        <v>0</v>
      </c>
      <c r="D13" s="14">
        <f t="shared" si="4"/>
        <v>10</v>
      </c>
      <c r="E13" s="15">
        <v>9.7465225256363244</v>
      </c>
      <c r="F13" s="15">
        <v>0.32113567177546321</v>
      </c>
      <c r="G13" s="15">
        <f t="shared" si="0"/>
        <v>9.6340701532638953</v>
      </c>
      <c r="H13" s="15">
        <f t="shared" si="1"/>
        <v>-6.0160286973267123</v>
      </c>
      <c r="I13" s="16">
        <f t="shared" si="2"/>
        <v>0.63734179858155759</v>
      </c>
      <c r="J13" s="5">
        <f t="shared" si="3"/>
        <v>-0.11245237237242911</v>
      </c>
      <c r="K13" s="1" t="s">
        <v>0</v>
      </c>
    </row>
    <row r="14" spans="1:57" x14ac:dyDescent="0.4">
      <c r="A14" s="1" t="s">
        <v>17</v>
      </c>
      <c r="B14" s="1">
        <f>30</f>
        <v>30</v>
      </c>
      <c r="D14" s="14">
        <f t="shared" si="4"/>
        <v>11</v>
      </c>
      <c r="E14" s="15">
        <v>9.7074636010714048</v>
      </c>
      <c r="F14" s="15">
        <v>0.32214383236489424</v>
      </c>
      <c r="G14" s="15">
        <f t="shared" si="0"/>
        <v>9.6643149709468279</v>
      </c>
      <c r="H14" s="15">
        <f t="shared" si="1"/>
        <v>-6.2095780448844566</v>
      </c>
      <c r="I14" s="16">
        <f t="shared" si="2"/>
        <v>0.61770244093559878</v>
      </c>
      <c r="J14" s="5">
        <f t="shared" si="3"/>
        <v>-4.3148630124576925E-2</v>
      </c>
    </row>
    <row r="15" spans="1:57" x14ac:dyDescent="0.4">
      <c r="A15" s="1" t="s">
        <v>0</v>
      </c>
      <c r="B15" s="1" t="s">
        <v>0</v>
      </c>
      <c r="C15" s="2" t="s">
        <v>0</v>
      </c>
      <c r="D15" s="14">
        <f t="shared" si="4"/>
        <v>12</v>
      </c>
      <c r="E15" s="15">
        <v>9.6704221852718337</v>
      </c>
      <c r="F15" s="15">
        <v>0.32306689195717686</v>
      </c>
      <c r="G15" s="15">
        <f t="shared" si="0"/>
        <v>9.6920067587153049</v>
      </c>
      <c r="H15" s="15">
        <f t="shared" si="1"/>
        <v>-6.3432329225630966</v>
      </c>
      <c r="I15" s="16">
        <f t="shared" si="2"/>
        <v>0.59869762497827506</v>
      </c>
      <c r="J15" s="5">
        <f t="shared" si="3"/>
        <v>2.15845734434712E-2</v>
      </c>
    </row>
    <row r="16" spans="1:57" x14ac:dyDescent="0.4">
      <c r="A16" s="1" t="s">
        <v>18</v>
      </c>
      <c r="B16" s="1">
        <v>40</v>
      </c>
      <c r="C16" s="2" t="s">
        <v>0</v>
      </c>
      <c r="D16" s="14">
        <f t="shared" si="4"/>
        <v>13</v>
      </c>
      <c r="E16" s="15">
        <v>9.6356307987374539</v>
      </c>
      <c r="F16" s="15">
        <v>0.32392395033776095</v>
      </c>
      <c r="G16" s="15">
        <f t="shared" si="0"/>
        <v>9.7177185101328281</v>
      </c>
      <c r="H16" s="15">
        <f t="shared" si="1"/>
        <v>-6.4197260342317994</v>
      </c>
      <c r="I16" s="16">
        <f t="shared" si="2"/>
        <v>0.58030431159606366</v>
      </c>
      <c r="J16" s="5">
        <f t="shared" si="3"/>
        <v>8.2087711395374185E-2</v>
      </c>
    </row>
    <row r="17" spans="1:10" x14ac:dyDescent="0.4">
      <c r="A17" s="6" t="s">
        <v>0</v>
      </c>
      <c r="C17" s="2"/>
      <c r="D17" s="14">
        <f t="shared" si="4"/>
        <v>14</v>
      </c>
      <c r="E17" s="15">
        <v>9.6032973529305536</v>
      </c>
      <c r="F17" s="15">
        <v>0.32478545935444919</v>
      </c>
      <c r="G17" s="15">
        <f t="shared" si="0"/>
        <v>9.7435637806334761</v>
      </c>
      <c r="H17" s="15">
        <f t="shared" si="1"/>
        <v>-6.4399527573846713</v>
      </c>
      <c r="I17" s="16">
        <f t="shared" si="2"/>
        <v>0.5624895549443033</v>
      </c>
      <c r="J17" s="5">
        <f t="shared" si="3"/>
        <v>0.14026642770292241</v>
      </c>
    </row>
    <row r="18" spans="1:10" x14ac:dyDescent="0.4">
      <c r="A18" s="1" t="s">
        <v>0</v>
      </c>
      <c r="C18" s="2"/>
      <c r="D18" s="14">
        <f t="shared" si="4"/>
        <v>15</v>
      </c>
      <c r="E18" s="15">
        <v>9.5736061660804221</v>
      </c>
      <c r="F18" s="15">
        <v>0.32570755006612295</v>
      </c>
      <c r="G18" s="15">
        <f t="shared" si="0"/>
        <v>9.7712265019836888</v>
      </c>
      <c r="H18" s="15">
        <f t="shared" si="1"/>
        <v>-6.403331240416021</v>
      </c>
      <c r="I18" s="16">
        <f t="shared" si="2"/>
        <v>0.54522505256277953</v>
      </c>
      <c r="J18" s="5">
        <f t="shared" si="3"/>
        <v>0.19762033590326666</v>
      </c>
    </row>
    <row r="19" spans="1:10" x14ac:dyDescent="0.4">
      <c r="A19" s="1" t="s">
        <v>0</v>
      </c>
      <c r="C19" s="2"/>
      <c r="D19" s="14">
        <f t="shared" si="4"/>
        <v>16</v>
      </c>
      <c r="E19" s="15">
        <v>9.5467155930757528</v>
      </c>
      <c r="F19" s="15">
        <v>0.32669619694533814</v>
      </c>
      <c r="G19" s="15">
        <f t="shared" si="0"/>
        <v>9.8008859083601436</v>
      </c>
      <c r="H19" s="15">
        <f t="shared" si="1"/>
        <v>-6.3092442061420302</v>
      </c>
      <c r="I19" s="16">
        <f t="shared" si="2"/>
        <v>0.52849371810352608</v>
      </c>
      <c r="J19" s="5">
        <f t="shared" si="3"/>
        <v>0.25417031528439082</v>
      </c>
    </row>
    <row r="20" spans="1:10" x14ac:dyDescent="0.4">
      <c r="C20" s="2"/>
      <c r="D20" s="14">
        <f t="shared" si="4"/>
        <v>17</v>
      </c>
      <c r="E20" s="15">
        <v>9.5227541242373022</v>
      </c>
      <c r="F20" s="15">
        <v>0.32771312527957924</v>
      </c>
      <c r="G20" s="15">
        <f t="shared" si="0"/>
        <v>9.8313937583873781</v>
      </c>
      <c r="H20" s="15">
        <f t="shared" si="1"/>
        <v>-6.1583356771455042</v>
      </c>
      <c r="I20" s="16">
        <f t="shared" si="2"/>
        <v>0.51228725201237835</v>
      </c>
      <c r="J20" s="5">
        <f t="shared" si="3"/>
        <v>0.30863963415007589</v>
      </c>
    </row>
    <row r="21" spans="1:10" x14ac:dyDescent="0.4">
      <c r="C21" s="2"/>
      <c r="D21" s="14">
        <f t="shared" si="4"/>
        <v>18</v>
      </c>
      <c r="E21" s="15">
        <v>9.5018222724813786</v>
      </c>
      <c r="F21" s="15">
        <v>0.32870671568768228</v>
      </c>
      <c r="G21" s="15">
        <f t="shared" si="0"/>
        <v>9.8612014706304691</v>
      </c>
      <c r="H21" s="15">
        <f t="shared" si="1"/>
        <v>-5.952914870925051</v>
      </c>
      <c r="I21" s="16">
        <f t="shared" si="2"/>
        <v>0.49659935830640872</v>
      </c>
      <c r="J21" s="5">
        <f t="shared" si="3"/>
        <v>0.35937919814909058</v>
      </c>
    </row>
    <row r="22" spans="1:10" x14ac:dyDescent="0.4">
      <c r="C22" s="2"/>
      <c r="D22" s="14">
        <f t="shared" si="4"/>
        <v>19</v>
      </c>
      <c r="E22" s="15">
        <v>9.4839855811746503</v>
      </c>
      <c r="F22" s="15">
        <v>0.32964514909846326</v>
      </c>
      <c r="G22" s="15">
        <f t="shared" si="0"/>
        <v>9.8893544729538974</v>
      </c>
      <c r="H22" s="15">
        <f t="shared" si="1"/>
        <v>-5.6963688509189296</v>
      </c>
      <c r="I22" s="16">
        <f t="shared" si="2"/>
        <v>0.48141939533229022</v>
      </c>
      <c r="J22" s="5">
        <f t="shared" si="3"/>
        <v>0.40536889177924706</v>
      </c>
    </row>
    <row r="23" spans="1:10" x14ac:dyDescent="0.4">
      <c r="C23" s="2"/>
      <c r="D23" s="14">
        <f t="shared" si="4"/>
        <v>20</v>
      </c>
      <c r="E23" s="15">
        <v>9.4692770960885344</v>
      </c>
      <c r="F23" s="15">
        <v>0.3305348584181631</v>
      </c>
      <c r="G23" s="15">
        <f t="shared" si="0"/>
        <v>9.9160457525448926</v>
      </c>
      <c r="H23" s="15">
        <f t="shared" si="1"/>
        <v>-5.3920094157355445</v>
      </c>
      <c r="I23" s="16">
        <f t="shared" si="2"/>
        <v>0.46672960100398819</v>
      </c>
      <c r="J23" s="5">
        <f t="shared" si="3"/>
        <v>0.44676865645635822</v>
      </c>
    </row>
    <row r="24" spans="1:10" x14ac:dyDescent="0.4">
      <c r="C24" s="2"/>
      <c r="D24" s="14">
        <f t="shared" si="4"/>
        <v>21</v>
      </c>
      <c r="E24" s="15">
        <v>9.4576920274027998</v>
      </c>
      <c r="F24" s="15">
        <v>0.33141613656222796</v>
      </c>
      <c r="G24" s="15">
        <f t="shared" si="0"/>
        <v>9.9424840968668384</v>
      </c>
      <c r="H24" s="15">
        <f t="shared" si="1"/>
        <v>-5.0420175816648936</v>
      </c>
      <c r="I24" s="16">
        <f t="shared" si="2"/>
        <v>0.45250671054785302</v>
      </c>
      <c r="J24" s="5">
        <f t="shared" si="3"/>
        <v>0.48479206946403863</v>
      </c>
    </row>
    <row r="25" spans="1:10" x14ac:dyDescent="0.4">
      <c r="C25" s="2"/>
      <c r="D25" s="14">
        <f t="shared" si="4"/>
        <v>22</v>
      </c>
      <c r="E25" s="15">
        <v>9.4491926597042202</v>
      </c>
      <c r="F25" s="15">
        <v>0.33234020115882712</v>
      </c>
      <c r="G25" s="15">
        <f t="shared" si="0"/>
        <v>9.9702060347648143</v>
      </c>
      <c r="H25" s="15">
        <f t="shared" si="1"/>
        <v>-4.6470546461459215</v>
      </c>
      <c r="I25" s="16">
        <f t="shared" si="2"/>
        <v>0.43872661961137083</v>
      </c>
      <c r="J25" s="5">
        <f t="shared" si="3"/>
        <v>0.52101337506059409</v>
      </c>
    </row>
    <row r="26" spans="1:10" x14ac:dyDescent="0.4">
      <c r="C26" s="2"/>
      <c r="D26" s="14">
        <f t="shared" si="4"/>
        <v>23</v>
      </c>
      <c r="E26" s="15">
        <v>9.4437044755332664</v>
      </c>
      <c r="F26" s="15">
        <v>0.33333550775959436</v>
      </c>
      <c r="G26" s="15">
        <f t="shared" si="0"/>
        <v>10.000065232787831</v>
      </c>
      <c r="H26" s="15">
        <f t="shared" si="1"/>
        <v>-4.2068702550450041</v>
      </c>
      <c r="I26" s="16">
        <f t="shared" si="2"/>
        <v>0.42537012702855798</v>
      </c>
      <c r="J26" s="5">
        <f t="shared" si="3"/>
        <v>0.55636075725456458</v>
      </c>
    </row>
    <row r="27" spans="1:10" x14ac:dyDescent="0.4">
      <c r="C27" s="2"/>
      <c r="D27" s="14">
        <f t="shared" si="4"/>
        <v>24</v>
      </c>
      <c r="E27" s="15">
        <v>9.4411216853486106</v>
      </c>
      <c r="F27" s="15">
        <v>0.33437660644755945</v>
      </c>
      <c r="G27" s="15">
        <f t="shared" si="0"/>
        <v>10.031298193426784</v>
      </c>
      <c r="H27" s="15">
        <f t="shared" si="1"/>
        <v>-3.721865503342956</v>
      </c>
      <c r="I27" s="16">
        <f t="shared" si="2"/>
        <v>0.41242748523424205</v>
      </c>
      <c r="J27" s="5">
        <f t="shared" si="3"/>
        <v>0.5901765080781729</v>
      </c>
    </row>
    <row r="28" spans="1:10" x14ac:dyDescent="0.4">
      <c r="C28" s="2"/>
      <c r="D28" s="14">
        <f t="shared" si="4"/>
        <v>25</v>
      </c>
      <c r="E28" s="15">
        <v>9.4413067136536135</v>
      </c>
      <c r="F28" s="15">
        <v>0.33539860724425524</v>
      </c>
      <c r="G28" s="15">
        <f t="shared" si="0"/>
        <v>10.061958217327657</v>
      </c>
      <c r="H28" s="15">
        <f t="shared" si="1"/>
        <v>-3.1942606372524862</v>
      </c>
      <c r="I28" s="16">
        <f t="shared" si="2"/>
        <v>0.39989506004340414</v>
      </c>
      <c r="J28" s="5">
        <f t="shared" si="3"/>
        <v>0.62065150367404343</v>
      </c>
    </row>
    <row r="29" spans="1:10" x14ac:dyDescent="0.4">
      <c r="C29" s="2"/>
      <c r="D29" s="14">
        <f t="shared" si="4"/>
        <v>26</v>
      </c>
      <c r="E29" s="15">
        <v>9.4440956753141432</v>
      </c>
      <c r="F29" s="15">
        <v>0.33635350776377165</v>
      </c>
      <c r="G29" s="15">
        <f t="shared" si="0"/>
        <v>10.09060523291315</v>
      </c>
      <c r="H29" s="15">
        <f t="shared" si="1"/>
        <v>-2.6276075955847915</v>
      </c>
      <c r="I29" s="16">
        <f t="shared" si="2"/>
        <v>0.38776598933924067</v>
      </c>
      <c r="J29" s="5">
        <f t="shared" si="3"/>
        <v>0.64650955759900697</v>
      </c>
    </row>
    <row r="30" spans="1:10" x14ac:dyDescent="0.4">
      <c r="C30" s="2"/>
      <c r="D30" s="14">
        <f t="shared" si="4"/>
        <v>27</v>
      </c>
      <c r="E30" s="15">
        <v>9.4493017516793145</v>
      </c>
      <c r="F30" s="15">
        <v>0.33725012467691839</v>
      </c>
      <c r="G30" s="15">
        <f t="shared" si="0"/>
        <v>10.117503740307551</v>
      </c>
      <c r="H30" s="15">
        <f t="shared" si="1"/>
        <v>-2.0250957968461742</v>
      </c>
      <c r="I30" s="16">
        <f t="shared" si="2"/>
        <v>0.37602457734174988</v>
      </c>
      <c r="J30" s="5">
        <f t="shared" si="3"/>
        <v>0.66820198862823688</v>
      </c>
    </row>
    <row r="31" spans="1:10" x14ac:dyDescent="0.4">
      <c r="C31" s="2"/>
      <c r="D31" s="14">
        <f t="shared" si="4"/>
        <v>28</v>
      </c>
      <c r="E31" s="15">
        <v>9.4567165991202806</v>
      </c>
      <c r="F31" s="15">
        <v>0.33815120263262971</v>
      </c>
      <c r="G31" s="15">
        <f t="shared" si="0"/>
        <v>10.144536078978891</v>
      </c>
      <c r="H31" s="15">
        <f t="shared" si="1"/>
        <v>-1.3879037119087165</v>
      </c>
      <c r="I31" s="16">
        <f t="shared" si="2"/>
        <v>0.36464781660880091</v>
      </c>
      <c r="J31" s="5">
        <f t="shared" si="3"/>
        <v>0.6878194798586108</v>
      </c>
    </row>
    <row r="32" spans="1:10" x14ac:dyDescent="0.4">
      <c r="D32" s="14">
        <f t="shared" si="4"/>
        <v>29</v>
      </c>
      <c r="E32" s="15">
        <v>9.4661181262378502</v>
      </c>
      <c r="F32" s="15">
        <v>0.3391491874410611</v>
      </c>
      <c r="G32" s="15">
        <f t="shared" si="0"/>
        <v>10.174475623231833</v>
      </c>
      <c r="H32" s="15">
        <f t="shared" si="1"/>
        <v>-0.71424380771245133</v>
      </c>
      <c r="I32" s="16">
        <f t="shared" si="2"/>
        <v>0.35360985203899703</v>
      </c>
      <c r="J32" s="5">
        <f t="shared" si="3"/>
        <v>0.7083574969939832</v>
      </c>
    </row>
    <row r="33" spans="4:10" x14ac:dyDescent="0.4">
      <c r="D33" s="14">
        <f t="shared" si="4"/>
        <v>30</v>
      </c>
      <c r="E33" s="15">
        <v>9.4772716501482304</v>
      </c>
      <c r="F33" s="15">
        <v>0.34031240339448138</v>
      </c>
      <c r="G33" s="15">
        <f t="shared" si="0"/>
        <v>10.209372101834441</v>
      </c>
      <c r="H33" s="15">
        <f t="shared" si="1"/>
        <v>5.4878094779553521E-7</v>
      </c>
      <c r="I33" s="16">
        <f t="shared" si="2"/>
        <v>0.34288989983337853</v>
      </c>
      <c r="J33" s="5">
        <f t="shared" si="3"/>
        <v>0.73210045168621107</v>
      </c>
    </row>
    <row r="34" spans="4:10" ht="14.25" thickBot="1" x14ac:dyDescent="0.45">
      <c r="D34" s="20" t="s">
        <v>13</v>
      </c>
      <c r="E34" s="21" t="s">
        <v>0</v>
      </c>
      <c r="F34" s="21"/>
      <c r="G34" s="21" t="s">
        <v>0</v>
      </c>
      <c r="H34" s="21" t="s">
        <v>0</v>
      </c>
      <c r="I34" s="22">
        <f>SUM(I3:I33)</f>
        <v>17.58183204754301</v>
      </c>
    </row>
    <row r="37" spans="4:10" x14ac:dyDescent="0.4">
      <c r="D37" s="1" t="s">
        <v>0</v>
      </c>
    </row>
    <row r="38" spans="4:10" x14ac:dyDescent="0.4">
      <c r="D38" s="1" t="s">
        <v>0</v>
      </c>
    </row>
  </sheetData>
  <phoneticPr fontId="0" type="noConversion"/>
  <pageMargins left="0.74791666666666667" right="0.74791666666666667" top="0.98402777777777783" bottom="0.98402777777777783" header="0.51180555555555562" footer="0.51180555555555562"/>
  <pageSetup paperSize="9" firstPageNumber="0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11.3984375" defaultRowHeight="12.75" x14ac:dyDescent="0.35"/>
  <sheetData/>
  <phoneticPr fontId="0" type="noConversion"/>
  <pageMargins left="0.74791666666666667" right="0.74791666666666667" top="0.98402777777777783" bottom="0.98402777777777783" header="0.51180555555555562" footer="0.51180555555555562"/>
  <pageSetup paperSize="9" firstPageNumber="0"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11.3984375" defaultRowHeight="12.75" x14ac:dyDescent="0.35"/>
  <sheetData/>
  <phoneticPr fontId="0" type="noConversion"/>
  <pageMargins left="0.74791666666666667" right="0.74791666666666667" top="0.98402777777777783" bottom="0.98402777777777783" header="0.51180555555555562" footer="0.51180555555555562"/>
  <pageSetup paperSize="9" firstPageNumber="0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HeadingPairs>
  <TitlesOfParts>
    <vt:vector size="9" baseType="lpstr">
      <vt:lpstr>Hoja1</vt:lpstr>
      <vt:lpstr>Hoja2</vt:lpstr>
      <vt:lpstr>Hoja3</vt:lpstr>
      <vt:lpstr>Beta</vt:lpstr>
      <vt:lpstr>Gamma</vt:lpstr>
      <vt:lpstr>Phi</vt:lpstr>
      <vt:lpstr>R_0</vt:lpstr>
      <vt:lpstr>Rbar</vt:lpstr>
      <vt:lpstr>Sigma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JoseLuis</dc:creator>
  <cp:lastModifiedBy>Paul McNelis</cp:lastModifiedBy>
  <dcterms:created xsi:type="dcterms:W3CDTF">2009-07-04T07:41:09Z</dcterms:created>
  <dcterms:modified xsi:type="dcterms:W3CDTF">2025-10-20T20:13:50Z</dcterms:modified>
</cp:coreProperties>
</file>