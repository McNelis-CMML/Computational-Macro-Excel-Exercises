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int110676\Dropbox\ComputMacro\EXCEL-ICM\"/>
    </mc:Choice>
  </mc:AlternateContent>
  <xr:revisionPtr revIDLastSave="0" documentId="8_{67C37F0C-BC2C-4812-BF26-E2530819E8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" sheetId="1" r:id="rId1"/>
    <sheet name="Charts" sheetId="2" r:id="rId2"/>
    <sheet name="Guid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G35" i="1"/>
  <c r="F35" i="1"/>
  <c r="E35" i="1"/>
  <c r="B35" i="1"/>
  <c r="F34" i="1"/>
  <c r="G34" i="1" s="1"/>
  <c r="E34" i="1"/>
  <c r="G33" i="1"/>
  <c r="F33" i="1"/>
  <c r="E33" i="1"/>
  <c r="J10" i="1"/>
  <c r="B14" i="1" s="1"/>
  <c r="C14" i="1" s="1"/>
  <c r="B10" i="1"/>
  <c r="F6" i="1" s="1"/>
  <c r="M8" i="1"/>
  <c r="C6" i="2" s="1"/>
  <c r="F8" i="1"/>
  <c r="E8" i="1"/>
  <c r="B6" i="2" s="1"/>
  <c r="B8" i="1"/>
  <c r="B12" i="2" s="1"/>
  <c r="N7" i="1"/>
  <c r="O7" i="1" s="1"/>
  <c r="M7" i="1"/>
  <c r="C5" i="2" s="1"/>
  <c r="F7" i="1"/>
  <c r="G7" i="1" s="1"/>
  <c r="E7" i="1"/>
  <c r="B5" i="2" s="1"/>
  <c r="N6" i="1"/>
  <c r="C13" i="2" s="1"/>
  <c r="M6" i="1"/>
  <c r="E6" i="1"/>
  <c r="B4" i="2" s="1"/>
  <c r="B16" i="1" l="1"/>
  <c r="C16" i="1" s="1"/>
  <c r="B19" i="1"/>
  <c r="C19" i="1" s="1"/>
  <c r="G6" i="1"/>
  <c r="K18" i="1" s="1"/>
  <c r="B13" i="2"/>
  <c r="O6" i="1"/>
  <c r="B18" i="1" s="1"/>
  <c r="C18" i="1" s="1"/>
  <c r="K16" i="1"/>
  <c r="B17" i="1"/>
  <c r="C17" i="1" s="1"/>
  <c r="K17" i="1"/>
  <c r="G8" i="1"/>
  <c r="J8" i="1"/>
  <c r="C4" i="2"/>
  <c r="N8" i="1"/>
  <c r="B11" i="2"/>
  <c r="C11" i="2"/>
  <c r="K14" i="1"/>
  <c r="B15" i="1" l="1"/>
  <c r="C15" i="1" s="1"/>
  <c r="C12" i="2"/>
  <c r="O8" i="1"/>
  <c r="K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Tradable prices normalized to 1.</t>
        </r>
      </text>
    </comment>
    <comment ref="J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Resource boom shown as a productivity increase in the resources sector.</t>
        </r>
      </text>
    </comment>
    <comment ref="A2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Stylized 3-sector Dutch disease model for teaching intuition; user can edit the blue cells to simulate alternative scenarios.</t>
        </r>
      </text>
    </comment>
    <comment ref="B34" authorId="0" shapeId="0" xr:uid="{2B3BACDE-1C1A-483F-9FF8-94B0B04E79FF}">
      <text>
        <r>
          <rPr>
            <sz val="11"/>
            <color theme="1"/>
            <rFont val="Calibri"/>
            <family val="2"/>
            <scheme val="minor"/>
          </rPr>
          <t>Resource boom shown as a productivity increase in the resources sector.</t>
        </r>
      </text>
    </comment>
    <comment ref="A49" authorId="0" shapeId="0" xr:uid="{60537876-34FE-499E-977C-DC95522B17FA}">
      <text>
        <r>
          <rPr>
            <sz val="11"/>
            <color theme="1"/>
            <rFont val="Calibri"/>
            <family val="2"/>
            <scheme val="minor"/>
          </rPr>
          <t>Stylized 3-sector Dutch disease model for teaching intuition; user can edit the blue cells to simulate alternative scenarios.</t>
        </r>
      </text>
    </comment>
  </commentList>
</comments>
</file>

<file path=xl/sharedStrings.xml><?xml version="1.0" encoding="utf-8"?>
<sst xmlns="http://schemas.openxmlformats.org/spreadsheetml/2006/main" count="92" uniqueCount="61">
  <si>
    <t>Simple Dutch Disease Model (3 Sectors)</t>
  </si>
  <si>
    <t>Editable inputs are blue. Formulas are black. Static assumptions are gray.</t>
  </si>
  <si>
    <t>Baseline</t>
  </si>
  <si>
    <t>Resource Boom</t>
  </si>
  <si>
    <t>Sector</t>
  </si>
  <si>
    <t>Price (P)</t>
  </si>
  <si>
    <t>Productivity (A)</t>
  </si>
  <si>
    <t>Labor (L)</t>
  </si>
  <si>
    <t>Output (Y=A×L)</t>
  </si>
  <si>
    <t>Unit Cost (UC=W/A)</t>
  </si>
  <si>
    <t>Margin (P−UC)</t>
  </si>
  <si>
    <t>Manufacturing</t>
  </si>
  <si>
    <t>Resources</t>
  </si>
  <si>
    <t>Services</t>
  </si>
  <si>
    <t>Economy-wide wage (W)</t>
  </si>
  <si>
    <t>Driven by the most productive tradable sector</t>
  </si>
  <si>
    <t>Resource boom raises wages</t>
  </si>
  <si>
    <t>Change from Baseline to Resource Boom</t>
  </si>
  <si>
    <t>Variable</t>
  </si>
  <si>
    <t>Change</t>
  </si>
  <si>
    <t>Direction</t>
  </si>
  <si>
    <t>Interpretation</t>
  </si>
  <si>
    <t>Pct change</t>
  </si>
  <si>
    <t>Value</t>
  </si>
  <si>
    <t>Wage (W)</t>
  </si>
  <si>
    <t>Booming resources sector bids up economy-wide wages.</t>
  </si>
  <si>
    <t>Wage</t>
  </si>
  <si>
    <t>Service price (P_S)</t>
  </si>
  <si>
    <t>Higher wages make local services more expensive.</t>
  </si>
  <si>
    <t>Services price</t>
  </si>
  <si>
    <t>Manufacturing output</t>
  </si>
  <si>
    <t>Manufacturing shrinks as labor moves away and costs rise.</t>
  </si>
  <si>
    <t>Manuf. output</t>
  </si>
  <si>
    <t>Resource output</t>
  </si>
  <si>
    <t>Resource sector expands after the productivity shock.</t>
  </si>
  <si>
    <t>Manufacturing margin</t>
  </si>
  <si>
    <t>Manufacturing becomes less competitive at world prices.</t>
  </si>
  <si>
    <t>Manuf. margin</t>
  </si>
  <si>
    <t>Resource margin</t>
  </si>
  <si>
    <t>Resource sector remains profitable at fixed world prices.</t>
  </si>
  <si>
    <t>Core Equations</t>
  </si>
  <si>
    <t>1) Output: Y_i = A_i × L_i</t>
  </si>
  <si>
    <t>2) Wage equalization: W = max(P_M×A_M, P_R×A_R)</t>
  </si>
  <si>
    <t>3) Tradable prices are fixed internationally: P_M = P_R = 1</t>
  </si>
  <si>
    <t>4) Service price is domestic: P_S = W / A_S</t>
  </si>
  <si>
    <t>5) Unit cost: UC_i = W / A_i</t>
  </si>
  <si>
    <t>6) Dutch disease: a resource boom raises W and P_S, hurting manufacturing competitiveness</t>
  </si>
  <si>
    <t>Dutch Disease Visual Summary</t>
  </si>
  <si>
    <t>Baseline Output</t>
  </si>
  <si>
    <t>Boom Output</t>
  </si>
  <si>
    <t>Boom</t>
  </si>
  <si>
    <t>Service price</t>
  </si>
  <si>
    <t>Manufacturing unit cost</t>
  </si>
  <si>
    <t>How to use this workbook</t>
  </si>
  <si>
    <t>1. Change productivity and labor allocations in the blue cells.</t>
  </si>
  <si>
    <t>2. Manufacturing and resources are tradable sectors with world prices normalized to 1.</t>
  </si>
  <si>
    <t>3. Services are non-tradable, so their price adjusts domestically as P_S = W / A_S.</t>
  </si>
  <si>
    <t>4. The common wage is pinned down by the most productive tradable sector.</t>
  </si>
  <si>
    <t>5. A resource boom raises wages and the services price, squeezing manufacturing.</t>
  </si>
  <si>
    <t>6. Try changing A_R, A_S, or labor allocations to see stronger or weaker Dutch disease effects.</t>
  </si>
  <si>
    <t>Resource Boom Plus Services Expansion:  Indirect De-Industrialization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</si>
</sst>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[Red]\(0.0\);\-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1"/>
      <color rgb="FFC55A11"/>
      <name val="Calibri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sz val="11"/>
      <color rgb="FF666666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9C0006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0" fillId="0" borderId="0" xfId="0" applyFont="1"/>
    <xf numFmtId="0" fontId="4" fillId="3" borderId="0" xfId="0" applyFont="1" applyFill="1"/>
    <xf numFmtId="0" fontId="3" fillId="2" borderId="1" xfId="0" applyFont="1" applyFill="1" applyBorder="1" applyAlignment="1">
      <alignment vertical="center"/>
    </xf>
    <xf numFmtId="0" fontId="0" fillId="0" borderId="2" xfId="0" applyBorder="1"/>
    <xf numFmtId="0" fontId="8" fillId="0" borderId="0" xfId="0" applyFont="1"/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9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Output by Sector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Baseline Output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Charts!$A$4:$A$6</c:f>
              <c:strCache>
                <c:ptCount val="3"/>
                <c:pt idx="0">
                  <c:v>Manufacturing</c:v>
                </c:pt>
                <c:pt idx="1">
                  <c:v>Resources</c:v>
                </c:pt>
                <c:pt idx="2">
                  <c:v>Services</c:v>
                </c:pt>
              </c:strCache>
            </c:strRef>
          </c:cat>
          <c:val>
            <c:numRef>
              <c:f>Charts!$B$4:$B$6</c:f>
              <c:numCache>
                <c:formatCode>General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F-4E16-BF0B-E63FC0358951}"/>
            </c:ext>
          </c:extLst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Boom Output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Charts!$A$4:$A$6</c:f>
              <c:strCache>
                <c:ptCount val="3"/>
                <c:pt idx="0">
                  <c:v>Manufacturing</c:v>
                </c:pt>
                <c:pt idx="1">
                  <c:v>Resources</c:v>
                </c:pt>
                <c:pt idx="2">
                  <c:v>Services</c:v>
                </c:pt>
              </c:strCache>
            </c:strRef>
          </c:cat>
          <c:val>
            <c:numRef>
              <c:f>Charts!$C$4:$C$6</c:f>
              <c:numCache>
                <c:formatCode>General</c:formatCode>
                <c:ptCount val="3"/>
                <c:pt idx="0">
                  <c:v>20</c:v>
                </c:pt>
                <c:pt idx="1">
                  <c:v>80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AF-4E16-BF0B-E63FC0358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Output</a:t>
                </a:r>
              </a:p>
            </c:rich>
          </c:tx>
          <c:overlay val="1"/>
        </c:title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Wages, Services Price, and Manufacturing Cost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Charts!$B$10</c:f>
              <c:strCache>
                <c:ptCount val="1"/>
                <c:pt idx="0">
                  <c:v>Baseline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Charts!$A$11:$A$13</c:f>
              <c:strCache>
                <c:ptCount val="3"/>
                <c:pt idx="0">
                  <c:v>Wage</c:v>
                </c:pt>
                <c:pt idx="1">
                  <c:v>Service price</c:v>
                </c:pt>
                <c:pt idx="2">
                  <c:v>Manufacturing unit cost</c:v>
                </c:pt>
              </c:strCache>
            </c:strRef>
          </c:cat>
          <c:val>
            <c:numRef>
              <c:f>Charts!$B$11:$B$13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0-447C-9053-5ED857D9BF1F}"/>
            </c:ext>
          </c:extLst>
        </c:ser>
        <c:ser>
          <c:idx val="1"/>
          <c:order val="1"/>
          <c:tx>
            <c:strRef>
              <c:f>Charts!$C$10</c:f>
              <c:strCache>
                <c:ptCount val="1"/>
                <c:pt idx="0">
                  <c:v>Boom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Charts!$A$11:$A$13</c:f>
              <c:strCache>
                <c:ptCount val="3"/>
                <c:pt idx="0">
                  <c:v>Wage</c:v>
                </c:pt>
                <c:pt idx="1">
                  <c:v>Service price</c:v>
                </c:pt>
                <c:pt idx="2">
                  <c:v>Manufacturing unit cost</c:v>
                </c:pt>
              </c:strCache>
            </c:strRef>
          </c:cat>
          <c:val>
            <c:numRef>
              <c:f>Charts!$C$11:$C$13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D0-447C-9053-5ED857D9B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Level</a:t>
                </a:r>
              </a:p>
            </c:rich>
          </c:tx>
          <c:overlay val="1"/>
        </c:title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523875</xdr:colOff>
      <xdr:row>49</xdr:row>
      <xdr:rowOff>57150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5005BCA2-751F-78DD-31DF-3E040671A0B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4</xdr:col>
      <xdr:colOff>0</xdr:colOff>
      <xdr:row>10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4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workbookViewId="0">
      <selection activeCell="G13" sqref="G13"/>
    </sheetView>
  </sheetViews>
  <sheetFormatPr defaultRowHeight="15" x14ac:dyDescent="0.25"/>
  <cols>
    <col min="1" max="1" width="22" customWidth="1"/>
    <col min="2" max="2" width="10" customWidth="1"/>
    <col min="3" max="3" width="16" customWidth="1"/>
    <col min="4" max="4" width="55" customWidth="1"/>
    <col min="5" max="5" width="15" customWidth="1"/>
    <col min="6" max="6" width="17" customWidth="1"/>
    <col min="7" max="7" width="12" customWidth="1"/>
    <col min="8" max="8" width="3" customWidth="1"/>
    <col min="9" max="9" width="18" customWidth="1"/>
    <col min="10" max="10" width="22" customWidth="1"/>
    <col min="11" max="11" width="12" customWidth="1"/>
    <col min="12" max="12" width="11" customWidth="1"/>
    <col min="13" max="13" width="15" customWidth="1"/>
    <col min="14" max="14" width="17" customWidth="1"/>
    <col min="15" max="15" width="12" customWidth="1"/>
  </cols>
  <sheetData>
    <row r="1" spans="1:15" ht="18.75" x14ac:dyDescent="0.3">
      <c r="A1" s="21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17.25" x14ac:dyDescent="0.25">
      <c r="A4" s="15" t="s">
        <v>2</v>
      </c>
      <c r="B4" s="16"/>
      <c r="C4" s="16"/>
      <c r="D4" s="16"/>
      <c r="E4" s="16"/>
      <c r="F4" s="16"/>
      <c r="G4" s="16"/>
      <c r="H4" s="2"/>
      <c r="I4" s="15" t="s">
        <v>3</v>
      </c>
      <c r="J4" s="16"/>
      <c r="K4" s="16"/>
      <c r="L4" s="16"/>
      <c r="M4" s="16"/>
      <c r="N4" s="16"/>
      <c r="O4" s="16"/>
    </row>
    <row r="5" spans="1:15" x14ac:dyDescent="0.25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2"/>
      <c r="I5" s="3" t="s">
        <v>4</v>
      </c>
      <c r="J5" s="4" t="s">
        <v>5</v>
      </c>
      <c r="K5" s="4" t="s">
        <v>6</v>
      </c>
      <c r="L5" s="4" t="s">
        <v>7</v>
      </c>
      <c r="M5" s="4" t="s">
        <v>8</v>
      </c>
      <c r="N5" s="4" t="s">
        <v>9</v>
      </c>
      <c r="O5" s="4" t="s">
        <v>10</v>
      </c>
    </row>
    <row r="6" spans="1:15" x14ac:dyDescent="0.25">
      <c r="A6" s="5" t="s">
        <v>11</v>
      </c>
      <c r="B6" s="6">
        <v>1</v>
      </c>
      <c r="C6" s="7">
        <v>1</v>
      </c>
      <c r="D6" s="7">
        <v>30</v>
      </c>
      <c r="E6" s="8">
        <f>C6*D6</f>
        <v>30</v>
      </c>
      <c r="F6" s="8">
        <f>$B$10/C6</f>
        <v>1</v>
      </c>
      <c r="G6" s="8">
        <f>B6-F6</f>
        <v>0</v>
      </c>
      <c r="H6" s="2"/>
      <c r="I6" s="5" t="s">
        <v>11</v>
      </c>
      <c r="J6" s="6">
        <v>1</v>
      </c>
      <c r="K6" s="7">
        <v>1</v>
      </c>
      <c r="L6" s="7">
        <v>20</v>
      </c>
      <c r="M6" s="8">
        <f>K6*L6</f>
        <v>20</v>
      </c>
      <c r="N6" s="8">
        <f>$J$10/K6</f>
        <v>2</v>
      </c>
      <c r="O6" s="8">
        <f>J6-N6</f>
        <v>-1</v>
      </c>
    </row>
    <row r="7" spans="1:15" x14ac:dyDescent="0.25">
      <c r="A7" s="5" t="s">
        <v>12</v>
      </c>
      <c r="B7" s="6">
        <v>1</v>
      </c>
      <c r="C7" s="7">
        <v>1</v>
      </c>
      <c r="D7" s="7">
        <v>30</v>
      </c>
      <c r="E7" s="8">
        <f>C7*D7</f>
        <v>30</v>
      </c>
      <c r="F7" s="8">
        <f>$B$10/C7</f>
        <v>1</v>
      </c>
      <c r="G7" s="8">
        <f>B7-F7</f>
        <v>0</v>
      </c>
      <c r="H7" s="2"/>
      <c r="I7" s="5" t="s">
        <v>12</v>
      </c>
      <c r="J7" s="6">
        <v>1</v>
      </c>
      <c r="K7" s="7">
        <v>2</v>
      </c>
      <c r="L7" s="7">
        <v>40</v>
      </c>
      <c r="M7" s="8">
        <f>K7*L7</f>
        <v>80</v>
      </c>
      <c r="N7" s="8">
        <f>$J$10/K7</f>
        <v>1</v>
      </c>
      <c r="O7" s="8">
        <f>J7-N7</f>
        <v>0</v>
      </c>
    </row>
    <row r="8" spans="1:15" x14ac:dyDescent="0.25">
      <c r="A8" s="5" t="s">
        <v>13</v>
      </c>
      <c r="B8" s="9">
        <f>$B$10/C8</f>
        <v>1</v>
      </c>
      <c r="C8" s="7">
        <v>1</v>
      </c>
      <c r="D8" s="7">
        <v>30</v>
      </c>
      <c r="E8" s="8">
        <f>C8*D8</f>
        <v>30</v>
      </c>
      <c r="F8" s="8">
        <f>$B$10/C8</f>
        <v>1</v>
      </c>
      <c r="G8" s="8">
        <f>B8-F8</f>
        <v>0</v>
      </c>
      <c r="H8" s="2"/>
      <c r="I8" s="5" t="s">
        <v>13</v>
      </c>
      <c r="J8" s="9">
        <f>$J$10/K8</f>
        <v>2</v>
      </c>
      <c r="K8" s="7">
        <v>1</v>
      </c>
      <c r="L8" s="7">
        <v>30</v>
      </c>
      <c r="M8" s="8">
        <f>K8*L8</f>
        <v>30</v>
      </c>
      <c r="N8" s="8">
        <f>$J$10/K8</f>
        <v>2</v>
      </c>
      <c r="O8" s="8">
        <f>J8-N8</f>
        <v>0</v>
      </c>
    </row>
    <row r="9" spans="1:15" x14ac:dyDescent="0.25">
      <c r="A9" s="2"/>
      <c r="B9" s="1"/>
      <c r="C9" s="1"/>
      <c r="D9" s="1"/>
      <c r="E9" s="1"/>
      <c r="F9" s="1"/>
      <c r="G9" s="1"/>
      <c r="H9" s="2"/>
      <c r="I9" s="2"/>
      <c r="J9" s="1"/>
      <c r="K9" s="1"/>
      <c r="L9" s="1"/>
      <c r="M9" s="1"/>
      <c r="N9" s="1"/>
      <c r="O9" s="1"/>
    </row>
    <row r="10" spans="1:15" x14ac:dyDescent="0.25">
      <c r="A10" s="5" t="s">
        <v>14</v>
      </c>
      <c r="B10" s="9">
        <f>MAX(B6*C6,B7*C7)</f>
        <v>1</v>
      </c>
      <c r="C10" s="20" t="s">
        <v>15</v>
      </c>
      <c r="D10" s="16"/>
      <c r="E10" s="16"/>
      <c r="F10" s="16"/>
      <c r="G10" s="16"/>
      <c r="H10" s="2"/>
      <c r="I10" s="5" t="s">
        <v>14</v>
      </c>
      <c r="J10" s="9">
        <f>MAX(J6*K6,J7*K7)</f>
        <v>2</v>
      </c>
      <c r="K10" s="20" t="s">
        <v>16</v>
      </c>
      <c r="L10" s="16"/>
      <c r="M10" s="16"/>
      <c r="N10" s="16"/>
      <c r="O10" s="16"/>
    </row>
    <row r="11" spans="1:15" x14ac:dyDescent="0.25">
      <c r="A11" s="2"/>
      <c r="B11" s="1"/>
      <c r="C11" s="1"/>
      <c r="D11" s="1"/>
      <c r="E11" s="1"/>
      <c r="F11" s="1"/>
      <c r="G11" s="1"/>
      <c r="H11" s="2"/>
      <c r="I11" s="2"/>
      <c r="J11" s="1"/>
      <c r="K11" s="1"/>
      <c r="L11" s="1"/>
      <c r="M11" s="1"/>
      <c r="N11" s="1"/>
      <c r="O11" s="1"/>
    </row>
    <row r="12" spans="1:15" ht="17.25" x14ac:dyDescent="0.25">
      <c r="A12" s="15" t="s">
        <v>17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1:15" x14ac:dyDescent="0.25">
      <c r="A13" s="3" t="s">
        <v>18</v>
      </c>
      <c r="B13" s="4" t="s">
        <v>19</v>
      </c>
      <c r="C13" s="4" t="s">
        <v>20</v>
      </c>
      <c r="D13" s="4" t="s">
        <v>21</v>
      </c>
      <c r="E13" s="1"/>
      <c r="F13" s="1"/>
      <c r="G13" s="1"/>
      <c r="H13" s="2"/>
      <c r="I13" s="2"/>
      <c r="J13" s="4" t="s">
        <v>22</v>
      </c>
      <c r="K13" s="4" t="s">
        <v>23</v>
      </c>
      <c r="L13" s="1"/>
      <c r="M13" s="1"/>
      <c r="N13" s="1"/>
      <c r="O13" s="1"/>
    </row>
    <row r="14" spans="1:15" x14ac:dyDescent="0.25">
      <c r="A14" s="5" t="s">
        <v>24</v>
      </c>
      <c r="B14" s="11">
        <f>J10-B10</f>
        <v>1</v>
      </c>
      <c r="C14" s="1" t="str">
        <f t="shared" ref="C14:C19" si="0">IF(B14&gt;0,"Increase",IF(B14&lt;0,"Decrease","No change"))</f>
        <v>Increase</v>
      </c>
      <c r="D14" s="10" t="s">
        <v>25</v>
      </c>
      <c r="E14" s="1"/>
      <c r="F14" s="1"/>
      <c r="G14" s="1"/>
      <c r="H14" s="2"/>
      <c r="I14" s="2"/>
      <c r="J14" s="5" t="s">
        <v>26</v>
      </c>
      <c r="K14" s="12">
        <f>(J10/B10)-1</f>
        <v>1</v>
      </c>
      <c r="L14" s="1"/>
      <c r="M14" s="1"/>
      <c r="N14" s="1"/>
      <c r="O14" s="1"/>
    </row>
    <row r="15" spans="1:15" x14ac:dyDescent="0.25">
      <c r="A15" s="5" t="s">
        <v>27</v>
      </c>
      <c r="B15" s="11">
        <f>J8-B8</f>
        <v>1</v>
      </c>
      <c r="C15" s="1" t="str">
        <f t="shared" si="0"/>
        <v>Increase</v>
      </c>
      <c r="D15" s="10" t="s">
        <v>28</v>
      </c>
      <c r="E15" s="1"/>
      <c r="F15" s="1"/>
      <c r="G15" s="1"/>
      <c r="H15" s="2"/>
      <c r="I15" s="2"/>
      <c r="J15" s="5" t="s">
        <v>29</v>
      </c>
      <c r="K15" s="12">
        <f>(J8/B8)-1</f>
        <v>1</v>
      </c>
      <c r="L15" s="1"/>
      <c r="M15" s="1"/>
      <c r="N15" s="1"/>
      <c r="O15" s="1"/>
    </row>
    <row r="16" spans="1:15" x14ac:dyDescent="0.25">
      <c r="A16" s="5" t="s">
        <v>30</v>
      </c>
      <c r="B16" s="11">
        <f>M6-E6</f>
        <v>-10</v>
      </c>
      <c r="C16" s="1" t="str">
        <f t="shared" si="0"/>
        <v>Decrease</v>
      </c>
      <c r="D16" s="10" t="s">
        <v>31</v>
      </c>
      <c r="E16" s="1"/>
      <c r="F16" s="1"/>
      <c r="G16" s="1"/>
      <c r="H16" s="2"/>
      <c r="I16" s="2"/>
      <c r="J16" s="5" t="s">
        <v>32</v>
      </c>
      <c r="K16" s="12">
        <f>(M6/E6)-1</f>
        <v>-0.33333333333333337</v>
      </c>
      <c r="L16" s="1"/>
      <c r="M16" s="1"/>
      <c r="N16" s="1"/>
      <c r="O16" s="1"/>
    </row>
    <row r="17" spans="1:15" x14ac:dyDescent="0.25">
      <c r="A17" s="5" t="s">
        <v>33</v>
      </c>
      <c r="B17" s="11">
        <f>M7-E7</f>
        <v>50</v>
      </c>
      <c r="C17" s="1" t="str">
        <f t="shared" si="0"/>
        <v>Increase</v>
      </c>
      <c r="D17" s="10" t="s">
        <v>34</v>
      </c>
      <c r="E17" s="1"/>
      <c r="F17" s="1"/>
      <c r="G17" s="1"/>
      <c r="H17" s="2"/>
      <c r="I17" s="2"/>
      <c r="J17" s="5" t="s">
        <v>33</v>
      </c>
      <c r="K17" s="12">
        <f>(M7/E7)-1</f>
        <v>1.6666666666666665</v>
      </c>
      <c r="L17" s="1"/>
      <c r="M17" s="1"/>
      <c r="N17" s="1"/>
      <c r="O17" s="1"/>
    </row>
    <row r="18" spans="1:15" x14ac:dyDescent="0.25">
      <c r="A18" s="5" t="s">
        <v>35</v>
      </c>
      <c r="B18" s="11">
        <f>O6-G6</f>
        <v>-1</v>
      </c>
      <c r="C18" s="1" t="str">
        <f t="shared" si="0"/>
        <v>Decrease</v>
      </c>
      <c r="D18" s="10" t="s">
        <v>36</v>
      </c>
      <c r="E18" s="1"/>
      <c r="F18" s="1"/>
      <c r="G18" s="1"/>
      <c r="H18" s="2"/>
      <c r="I18" s="2"/>
      <c r="J18" s="5" t="s">
        <v>37</v>
      </c>
      <c r="K18" s="12" t="str">
        <f>IF(G6=0,"n/a",(O6/G6)-1)</f>
        <v>n/a</v>
      </c>
      <c r="L18" s="1"/>
      <c r="M18" s="1"/>
      <c r="N18" s="1"/>
      <c r="O18" s="1"/>
    </row>
    <row r="19" spans="1:15" x14ac:dyDescent="0.25">
      <c r="A19" s="5" t="s">
        <v>38</v>
      </c>
      <c r="B19" s="11">
        <f>O7-G7</f>
        <v>0</v>
      </c>
      <c r="C19" s="1" t="str">
        <f t="shared" si="0"/>
        <v>No change</v>
      </c>
      <c r="D19" s="10" t="s">
        <v>39</v>
      </c>
      <c r="E19" s="1"/>
      <c r="F19" s="1"/>
      <c r="G19" s="1"/>
      <c r="H19" s="2"/>
      <c r="I19" s="2"/>
      <c r="J19" s="1"/>
      <c r="K19" s="12"/>
      <c r="L19" s="1"/>
      <c r="M19" s="1"/>
      <c r="N19" s="1"/>
      <c r="O19" s="1"/>
    </row>
    <row r="21" spans="1:15" ht="17.25" x14ac:dyDescent="0.3">
      <c r="A21" s="23" t="s">
        <v>40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1:15" x14ac:dyDescent="0.25">
      <c r="A22" s="17" t="s">
        <v>41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25">
      <c r="A23" s="17" t="s">
        <v>42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1:15" x14ac:dyDescent="0.25">
      <c r="A24" s="17" t="s">
        <v>43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x14ac:dyDescent="0.25">
      <c r="A25" s="17" t="s">
        <v>44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x14ac:dyDescent="0.25">
      <c r="A26" s="17" t="s">
        <v>45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x14ac:dyDescent="0.25">
      <c r="A27" s="22" t="s">
        <v>46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31" spans="1:15" ht="17.25" x14ac:dyDescent="0.25">
      <c r="A31" s="15" t="s">
        <v>60</v>
      </c>
      <c r="B31" s="16"/>
      <c r="C31" s="16"/>
      <c r="D31" s="16"/>
      <c r="E31" s="16"/>
      <c r="F31" s="16"/>
      <c r="G31" s="16"/>
    </row>
    <row r="32" spans="1:15" x14ac:dyDescent="0.25">
      <c r="A32" s="3" t="s">
        <v>4</v>
      </c>
      <c r="B32" s="4" t="s">
        <v>5</v>
      </c>
      <c r="C32" s="4" t="s">
        <v>6</v>
      </c>
      <c r="D32" s="4" t="s">
        <v>7</v>
      </c>
      <c r="E32" s="4" t="s">
        <v>8</v>
      </c>
      <c r="F32" s="4" t="s">
        <v>9</v>
      </c>
      <c r="G32" s="4" t="s">
        <v>10</v>
      </c>
    </row>
    <row r="33" spans="1:15" x14ac:dyDescent="0.25">
      <c r="A33" s="5" t="s">
        <v>11</v>
      </c>
      <c r="B33" s="6">
        <v>1</v>
      </c>
      <c r="C33" s="7">
        <v>1</v>
      </c>
      <c r="D33" s="7">
        <v>10</v>
      </c>
      <c r="E33" s="8">
        <f>C33*D33</f>
        <v>10</v>
      </c>
      <c r="F33" s="8">
        <f>$J$10/C33</f>
        <v>2</v>
      </c>
      <c r="G33" s="8">
        <f>B33-F33</f>
        <v>-1</v>
      </c>
    </row>
    <row r="34" spans="1:15" x14ac:dyDescent="0.25">
      <c r="A34" s="5" t="s">
        <v>12</v>
      </c>
      <c r="B34" s="6">
        <v>1</v>
      </c>
      <c r="C34" s="7">
        <v>2</v>
      </c>
      <c r="D34" s="7">
        <v>40</v>
      </c>
      <c r="E34" s="8">
        <f>C34*D34</f>
        <v>80</v>
      </c>
      <c r="F34" s="8">
        <f>$J$10/C34</f>
        <v>1</v>
      </c>
      <c r="G34" s="8">
        <f>B34-F34</f>
        <v>0</v>
      </c>
    </row>
    <row r="35" spans="1:15" x14ac:dyDescent="0.25">
      <c r="A35" s="5" t="s">
        <v>13</v>
      </c>
      <c r="B35" s="9">
        <f>$J$10/C35</f>
        <v>2</v>
      </c>
      <c r="C35" s="7">
        <v>1</v>
      </c>
      <c r="D35" s="7">
        <v>40</v>
      </c>
      <c r="E35" s="8">
        <f>C35*D35</f>
        <v>40</v>
      </c>
      <c r="F35" s="8">
        <f>$J$10/C35</f>
        <v>2</v>
      </c>
      <c r="G35" s="8">
        <f>B35-F35</f>
        <v>0</v>
      </c>
    </row>
    <row r="36" spans="1:15" x14ac:dyDescent="0.25">
      <c r="A36" s="2"/>
      <c r="B36" s="1"/>
      <c r="C36" s="1"/>
      <c r="D36" s="1"/>
      <c r="E36" s="1"/>
      <c r="F36" s="1"/>
      <c r="G36" s="1"/>
    </row>
    <row r="37" spans="1:15" x14ac:dyDescent="0.25">
      <c r="A37" s="5" t="s">
        <v>14</v>
      </c>
      <c r="B37" s="9">
        <f>MAX(B33*C33,B34*C34)</f>
        <v>2</v>
      </c>
      <c r="C37" s="20" t="s">
        <v>16</v>
      </c>
      <c r="D37" s="16"/>
      <c r="E37" s="16"/>
      <c r="F37" s="16"/>
      <c r="G37" s="16"/>
    </row>
    <row r="39" spans="1:15" ht="17.25" x14ac:dyDescent="0.25">
      <c r="A39" s="15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1:15" x14ac:dyDescent="0.25">
      <c r="A40" s="3"/>
      <c r="B40" s="4"/>
      <c r="C40" s="4"/>
      <c r="D40" s="4"/>
      <c r="E40" s="1"/>
      <c r="F40" s="1"/>
      <c r="G40" s="1"/>
      <c r="H40" s="2"/>
      <c r="I40" s="2"/>
      <c r="J40" s="4"/>
      <c r="K40" s="4"/>
      <c r="L40" s="1"/>
      <c r="M40" s="1"/>
      <c r="N40" s="1"/>
      <c r="O40" s="1"/>
    </row>
    <row r="41" spans="1:15" x14ac:dyDescent="0.25">
      <c r="A41" s="5"/>
      <c r="B41" s="11"/>
      <c r="C41" s="1"/>
      <c r="D41" s="10"/>
      <c r="E41" s="1"/>
      <c r="F41" s="1"/>
      <c r="G41" s="1"/>
      <c r="H41" s="2"/>
      <c r="I41" s="2"/>
      <c r="J41" s="5"/>
      <c r="K41" s="12"/>
      <c r="L41" s="1"/>
      <c r="M41" s="1"/>
      <c r="N41" s="1"/>
      <c r="O41" s="1"/>
    </row>
    <row r="42" spans="1:15" x14ac:dyDescent="0.25">
      <c r="A42" s="5"/>
      <c r="B42" s="11"/>
      <c r="C42" s="1"/>
      <c r="D42" s="10"/>
      <c r="E42" s="1"/>
      <c r="F42" s="1"/>
      <c r="G42" s="1"/>
      <c r="H42" s="2"/>
      <c r="I42" s="2"/>
      <c r="J42" s="5"/>
      <c r="K42" s="12"/>
      <c r="L42" s="1"/>
      <c r="M42" s="1"/>
      <c r="N42" s="1"/>
      <c r="O42" s="1"/>
    </row>
    <row r="43" spans="1:15" x14ac:dyDescent="0.25">
      <c r="A43" s="5"/>
      <c r="B43" s="11"/>
      <c r="C43" s="1"/>
      <c r="D43" s="10"/>
      <c r="E43" s="1"/>
      <c r="F43" s="1"/>
      <c r="G43" s="1"/>
      <c r="H43" s="2"/>
      <c r="I43" s="2"/>
      <c r="J43" s="5"/>
      <c r="K43" s="12"/>
      <c r="L43" s="1"/>
      <c r="M43" s="1"/>
      <c r="N43" s="1"/>
      <c r="O43" s="1"/>
    </row>
    <row r="44" spans="1:15" x14ac:dyDescent="0.25">
      <c r="A44" s="5"/>
      <c r="B44" s="11"/>
      <c r="C44" s="1"/>
      <c r="D44" s="10"/>
      <c r="E44" s="1"/>
      <c r="F44" s="1"/>
      <c r="G44" s="1"/>
      <c r="H44" s="2"/>
      <c r="I44" s="2"/>
      <c r="J44" s="5"/>
      <c r="K44" s="12"/>
      <c r="L44" s="1"/>
      <c r="M44" s="1"/>
      <c r="N44" s="1"/>
      <c r="O44" s="1"/>
    </row>
    <row r="45" spans="1:15" x14ac:dyDescent="0.25">
      <c r="A45" s="5"/>
      <c r="B45" s="11"/>
      <c r="C45" s="1"/>
      <c r="D45" s="10"/>
      <c r="E45" s="1"/>
      <c r="F45" s="1"/>
      <c r="G45" s="1"/>
      <c r="H45" s="2"/>
      <c r="I45" s="2"/>
      <c r="J45" s="5"/>
      <c r="K45" s="12"/>
      <c r="L45" s="1"/>
      <c r="M45" s="1"/>
      <c r="N45" s="1"/>
      <c r="O45" s="1"/>
    </row>
    <row r="46" spans="1:15" x14ac:dyDescent="0.25">
      <c r="A46" s="5"/>
      <c r="B46" s="11"/>
      <c r="C46" s="1"/>
      <c r="D46" s="10"/>
      <c r="E46" s="1"/>
      <c r="F46" s="1"/>
      <c r="G46" s="1"/>
      <c r="H46" s="2"/>
      <c r="I46" s="2"/>
      <c r="J46" s="1"/>
      <c r="K46" s="12"/>
      <c r="L46" s="1"/>
      <c r="M46" s="1"/>
      <c r="N46" s="1"/>
      <c r="O46" s="1"/>
    </row>
    <row r="48" spans="1:15" ht="17.25" x14ac:dyDescent="0.3">
      <c r="A48" s="23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x14ac:dyDescent="0.25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x14ac:dyDescent="0.25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1:15" x14ac:dyDescent="0.25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x14ac:dyDescent="0.25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x14ac:dyDescent="0.25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x14ac:dyDescent="0.25">
      <c r="A54" s="22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</sheetData>
  <mergeCells count="24">
    <mergeCell ref="A52:O52"/>
    <mergeCell ref="A53:O53"/>
    <mergeCell ref="A54:O54"/>
    <mergeCell ref="A31:G31"/>
    <mergeCell ref="C37:G37"/>
    <mergeCell ref="A39:O39"/>
    <mergeCell ref="A48:O48"/>
    <mergeCell ref="A49:O49"/>
    <mergeCell ref="A50:O50"/>
    <mergeCell ref="A51:O51"/>
    <mergeCell ref="A1:O1"/>
    <mergeCell ref="K10:O10"/>
    <mergeCell ref="I4:O4"/>
    <mergeCell ref="A23:O23"/>
    <mergeCell ref="A27:O27"/>
    <mergeCell ref="A22:O22"/>
    <mergeCell ref="A21:O21"/>
    <mergeCell ref="A12:O12"/>
    <mergeCell ref="A25:O25"/>
    <mergeCell ref="A26:O26"/>
    <mergeCell ref="A24:O24"/>
    <mergeCell ref="A2:O2"/>
    <mergeCell ref="C10:G10"/>
    <mergeCell ref="A4:G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" x14ac:dyDescent="0.25"/>
  <cols>
    <col min="1" max="1" width="20" customWidth="1"/>
    <col min="2" max="3" width="16" customWidth="1"/>
  </cols>
  <sheetData>
    <row r="1" spans="1:3" ht="18.75" x14ac:dyDescent="0.3">
      <c r="A1" s="13" t="s">
        <v>47</v>
      </c>
    </row>
    <row r="3" spans="1:3" x14ac:dyDescent="0.25">
      <c r="A3" s="14" t="s">
        <v>4</v>
      </c>
      <c r="B3" s="14" t="s">
        <v>48</v>
      </c>
      <c r="C3" s="14" t="s">
        <v>49</v>
      </c>
    </row>
    <row r="4" spans="1:3" x14ac:dyDescent="0.25">
      <c r="A4" t="s">
        <v>11</v>
      </c>
      <c r="B4">
        <f>Model!E6</f>
        <v>30</v>
      </c>
      <c r="C4">
        <f>Model!M6</f>
        <v>20</v>
      </c>
    </row>
    <row r="5" spans="1:3" x14ac:dyDescent="0.25">
      <c r="A5" t="s">
        <v>12</v>
      </c>
      <c r="B5">
        <f>Model!E7</f>
        <v>30</v>
      </c>
      <c r="C5">
        <f>Model!M7</f>
        <v>80</v>
      </c>
    </row>
    <row r="6" spans="1:3" x14ac:dyDescent="0.25">
      <c r="A6" t="s">
        <v>13</v>
      </c>
      <c r="B6">
        <f>Model!E8</f>
        <v>30</v>
      </c>
      <c r="C6">
        <f>Model!M8</f>
        <v>30</v>
      </c>
    </row>
    <row r="10" spans="1:3" x14ac:dyDescent="0.25">
      <c r="A10" s="14" t="s">
        <v>18</v>
      </c>
      <c r="B10" s="14" t="s">
        <v>2</v>
      </c>
      <c r="C10" s="14" t="s">
        <v>50</v>
      </c>
    </row>
    <row r="11" spans="1:3" x14ac:dyDescent="0.25">
      <c r="A11" t="s">
        <v>26</v>
      </c>
      <c r="B11">
        <f>Model!B10</f>
        <v>1</v>
      </c>
      <c r="C11">
        <f>Model!J10</f>
        <v>2</v>
      </c>
    </row>
    <row r="12" spans="1:3" x14ac:dyDescent="0.25">
      <c r="A12" t="s">
        <v>51</v>
      </c>
      <c r="B12">
        <f>Model!B8</f>
        <v>1</v>
      </c>
      <c r="C12">
        <f>Model!J8</f>
        <v>2</v>
      </c>
    </row>
    <row r="13" spans="1:3" x14ac:dyDescent="0.25">
      <c r="A13" t="s">
        <v>52</v>
      </c>
      <c r="B13">
        <f>Model!F6</f>
        <v>1</v>
      </c>
      <c r="C13">
        <f>Model!N6</f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defaultRowHeight="15" x14ac:dyDescent="0.25"/>
  <cols>
    <col min="1" max="8" width="18" customWidth="1"/>
  </cols>
  <sheetData>
    <row r="1" spans="1:8" ht="18.75" x14ac:dyDescent="0.3">
      <c r="A1" s="13" t="s">
        <v>53</v>
      </c>
    </row>
    <row r="3" spans="1:8" x14ac:dyDescent="0.25">
      <c r="A3" s="18" t="s">
        <v>54</v>
      </c>
      <c r="B3" s="18"/>
      <c r="C3" s="18"/>
      <c r="D3" s="18"/>
      <c r="E3" s="18"/>
      <c r="F3" s="18"/>
      <c r="G3" s="18"/>
      <c r="H3" s="18"/>
    </row>
    <row r="4" spans="1:8" x14ac:dyDescent="0.25">
      <c r="A4" s="18" t="s">
        <v>55</v>
      </c>
      <c r="B4" s="18"/>
      <c r="C4" s="18"/>
      <c r="D4" s="18"/>
      <c r="E4" s="18"/>
      <c r="F4" s="18"/>
      <c r="G4" s="18"/>
      <c r="H4" s="18"/>
    </row>
    <row r="5" spans="1:8" x14ac:dyDescent="0.25">
      <c r="A5" s="18" t="s">
        <v>56</v>
      </c>
      <c r="B5" s="18"/>
      <c r="C5" s="18"/>
      <c r="D5" s="18"/>
      <c r="E5" s="18"/>
      <c r="F5" s="18"/>
      <c r="G5" s="18"/>
      <c r="H5" s="18"/>
    </row>
    <row r="6" spans="1:8" x14ac:dyDescent="0.25">
      <c r="A6" s="18" t="s">
        <v>57</v>
      </c>
      <c r="B6" s="18"/>
      <c r="C6" s="18"/>
      <c r="D6" s="18"/>
      <c r="E6" s="18"/>
      <c r="F6" s="18"/>
      <c r="G6" s="18"/>
      <c r="H6" s="18"/>
    </row>
    <row r="7" spans="1:8" x14ac:dyDescent="0.25">
      <c r="A7" s="18" t="s">
        <v>58</v>
      </c>
      <c r="B7" s="18"/>
      <c r="C7" s="18"/>
      <c r="D7" s="18"/>
      <c r="E7" s="18"/>
      <c r="F7" s="18"/>
      <c r="G7" s="18"/>
      <c r="H7" s="18"/>
    </row>
    <row r="8" spans="1:8" x14ac:dyDescent="0.25">
      <c r="A8" s="18" t="s">
        <v>59</v>
      </c>
      <c r="B8" s="18"/>
      <c r="C8" s="18"/>
      <c r="D8" s="18"/>
      <c r="E8" s="18"/>
      <c r="F8" s="18"/>
      <c r="G8" s="18"/>
      <c r="H8" s="18"/>
    </row>
  </sheetData>
  <mergeCells count="6">
    <mergeCell ref="A4:H4"/>
    <mergeCell ref="A3:H3"/>
    <mergeCell ref="A7:H7"/>
    <mergeCell ref="A5:H5"/>
    <mergeCell ref="A8:H8"/>
    <mergeCell ref="A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Charts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McNelis</dc:creator>
  <cp:lastModifiedBy>Paul D McNelis</cp:lastModifiedBy>
  <dcterms:created xsi:type="dcterms:W3CDTF">2026-04-01T18:50:11Z</dcterms:created>
  <dcterms:modified xsi:type="dcterms:W3CDTF">2026-04-01T18:50:11Z</dcterms:modified>
</cp:coreProperties>
</file>