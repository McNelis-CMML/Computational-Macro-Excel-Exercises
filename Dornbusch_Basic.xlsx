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aint\Dropbox\ComputMacro\EXCEL-ICM\"/>
    </mc:Choice>
  </mc:AlternateContent>
  <xr:revisionPtr revIDLastSave="0" documentId="8_{FBD6E095-3F66-4E00-BC9A-3C1D366C639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Beta0_0">Hoja1!$B$19</definedName>
    <definedName name="Beta0_1">Hoja1!$C$19</definedName>
    <definedName name="Beta1">Hoja1!$B$12</definedName>
    <definedName name="Beta2">Hoja1!$B$13</definedName>
    <definedName name="iext_0">Hoja1!$B$18</definedName>
    <definedName name="iext_1">Hoja1!$C$18</definedName>
    <definedName name="iext0">Hoja1!$B$18</definedName>
    <definedName name="iext1">Hoja1!$C$18</definedName>
    <definedName name="Lambda1">Hoja1!$B$28</definedName>
    <definedName name="Lambda2">Hoja1!$B$29</definedName>
    <definedName name="m_0">Hoja1!$B$17</definedName>
    <definedName name="m_1">Hoja1!$C$17</definedName>
    <definedName name="Mi">Hoja1!$B$14</definedName>
    <definedName name="money0">Hoja1!$B$17</definedName>
    <definedName name="money1">Hoja1!$C$17</definedName>
    <definedName name="pbar_0">Hoja1!$B$24</definedName>
    <definedName name="pbar_1">Hoja1!$C$24</definedName>
    <definedName name="pbar0">Hoja1!$B$24</definedName>
    <definedName name="pbar1">Hoja1!$C$24</definedName>
    <definedName name="pext_0">Hoja1!$B$20</definedName>
    <definedName name="pext_1">Hoja1!$C$20</definedName>
    <definedName name="pext0">Hoja1!$B$20</definedName>
    <definedName name="pext1">Hoja1!$C$20</definedName>
    <definedName name="Psi">Hoja1!$B$10</definedName>
    <definedName name="sbar_0">Hoja1!$B$25</definedName>
    <definedName name="sbar_1">Hoja1!$C$25</definedName>
    <definedName name="sbar0">Hoja1!$B$25</definedName>
    <definedName name="sbar1">Hoja1!$C$25</definedName>
    <definedName name="Theta">Hoja1!$B$11</definedName>
    <definedName name="ypot_0">Hoja1!$B$21</definedName>
    <definedName name="ypot_1">Hoja1!$C$21</definedName>
    <definedName name="ypot0">Hoja1!$B$21</definedName>
    <definedName name="ypot1">Hoja1!$C$21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C29" i="1"/>
  <c r="C28" i="1"/>
  <c r="B28" i="1"/>
  <c r="B29" i="1"/>
  <c r="B25" i="1" l="1"/>
  <c r="C24" i="1" l="1"/>
  <c r="B24" i="1"/>
  <c r="F3" i="1" s="1"/>
  <c r="I3" i="1" s="1"/>
  <c r="K3" i="1" s="1"/>
  <c r="G3" i="1"/>
  <c r="H3" i="1" l="1"/>
  <c r="J3" i="1" s="1"/>
  <c r="B32" i="1"/>
  <c r="B33" i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F4" i="1" l="1"/>
  <c r="G4" i="1" l="1"/>
  <c r="I4" i="1"/>
  <c r="K4" i="1" s="1"/>
  <c r="G5" i="1" l="1"/>
  <c r="H4" i="1"/>
  <c r="J4" i="1" s="1"/>
  <c r="F5" i="1" l="1"/>
  <c r="I5" i="1" l="1"/>
  <c r="K5" i="1" s="1"/>
  <c r="G6" i="1" s="1"/>
  <c r="H5" i="1" l="1"/>
  <c r="J5" i="1" s="1"/>
  <c r="F6" i="1" s="1"/>
  <c r="I6" i="1" l="1"/>
  <c r="K6" i="1" s="1"/>
  <c r="G7" i="1" s="1"/>
  <c r="H6" i="1" l="1"/>
  <c r="J6" i="1" s="1"/>
  <c r="F7" i="1" s="1"/>
  <c r="I7" i="1" l="1"/>
  <c r="K7" i="1" s="1"/>
  <c r="G8" i="1" s="1"/>
  <c r="H7" i="1" l="1"/>
  <c r="J7" i="1" s="1"/>
  <c r="F8" i="1" s="1"/>
  <c r="I8" i="1" l="1"/>
  <c r="K8" i="1" s="1"/>
  <c r="G9" i="1" s="1"/>
  <c r="H8" i="1" l="1"/>
  <c r="J8" i="1" s="1"/>
  <c r="F9" i="1" s="1"/>
  <c r="I9" i="1" l="1"/>
  <c r="K9" i="1" s="1"/>
  <c r="G10" i="1" s="1"/>
  <c r="H9" i="1" l="1"/>
  <c r="J9" i="1" s="1"/>
  <c r="F10" i="1" s="1"/>
  <c r="I10" i="1" s="1"/>
  <c r="K10" i="1" s="1"/>
  <c r="G11" i="1" s="1"/>
  <c r="H10" i="1" l="1"/>
  <c r="J10" i="1" s="1"/>
  <c r="F11" i="1" l="1"/>
  <c r="I11" i="1" l="1"/>
  <c r="K11" i="1" s="1"/>
  <c r="G12" i="1" s="1"/>
  <c r="H11" i="1" l="1"/>
  <c r="J11" i="1" s="1"/>
  <c r="F12" i="1" l="1"/>
  <c r="I12" i="1" l="1"/>
  <c r="K12" i="1" s="1"/>
  <c r="G13" i="1" s="1"/>
  <c r="H12" i="1" l="1"/>
  <c r="J12" i="1" s="1"/>
  <c r="F13" i="1" l="1"/>
  <c r="I13" i="1" l="1"/>
  <c r="K13" i="1" s="1"/>
  <c r="G14" i="1" s="1"/>
  <c r="H13" i="1" l="1"/>
  <c r="J13" i="1" s="1"/>
  <c r="F14" i="1" l="1"/>
  <c r="I14" i="1" l="1"/>
  <c r="K14" i="1" s="1"/>
  <c r="G15" i="1" s="1"/>
  <c r="H14" i="1" l="1"/>
  <c r="J14" i="1" s="1"/>
  <c r="F15" i="1" l="1"/>
  <c r="I15" i="1" l="1"/>
  <c r="K15" i="1" s="1"/>
  <c r="G16" i="1" s="1"/>
  <c r="H15" i="1" l="1"/>
  <c r="J15" i="1" s="1"/>
  <c r="F16" i="1" l="1"/>
  <c r="I16" i="1" l="1"/>
  <c r="K16" i="1" s="1"/>
  <c r="G17" i="1" s="1"/>
  <c r="H16" i="1" l="1"/>
  <c r="J16" i="1" s="1"/>
  <c r="F17" i="1" l="1"/>
  <c r="I17" i="1" l="1"/>
  <c r="K17" i="1" s="1"/>
  <c r="G18" i="1" s="1"/>
  <c r="H17" i="1" l="1"/>
  <c r="J17" i="1" s="1"/>
  <c r="F18" i="1" l="1"/>
  <c r="I18" i="1" l="1"/>
  <c r="K18" i="1" s="1"/>
  <c r="G19" i="1" s="1"/>
  <c r="H18" i="1" l="1"/>
  <c r="J18" i="1" s="1"/>
  <c r="F19" i="1" l="1"/>
  <c r="I19" i="1" l="1"/>
  <c r="K19" i="1" s="1"/>
  <c r="G20" i="1" s="1"/>
  <c r="H19" i="1" l="1"/>
  <c r="J19" i="1" s="1"/>
  <c r="F20" i="1" l="1"/>
  <c r="I20" i="1" l="1"/>
  <c r="K20" i="1" s="1"/>
  <c r="G21" i="1" s="1"/>
  <c r="H20" i="1" l="1"/>
  <c r="J20" i="1" s="1"/>
  <c r="F21" i="1" l="1"/>
  <c r="I21" i="1" l="1"/>
  <c r="K21" i="1" s="1"/>
  <c r="G22" i="1" s="1"/>
  <c r="H21" i="1" l="1"/>
  <c r="J21" i="1" s="1"/>
  <c r="F22" i="1" l="1"/>
  <c r="I22" i="1" l="1"/>
  <c r="K22" i="1" s="1"/>
  <c r="G23" i="1" s="1"/>
  <c r="H22" i="1" l="1"/>
  <c r="J22" i="1" s="1"/>
  <c r="F23" i="1" l="1"/>
  <c r="I23" i="1" l="1"/>
  <c r="K23" i="1" s="1"/>
  <c r="G24" i="1" s="1"/>
  <c r="H23" i="1" l="1"/>
  <c r="J23" i="1" s="1"/>
  <c r="F24" i="1" l="1"/>
  <c r="I24" i="1" l="1"/>
  <c r="K24" i="1" s="1"/>
  <c r="G25" i="1" s="1"/>
  <c r="H24" i="1" l="1"/>
  <c r="J24" i="1" s="1"/>
  <c r="F25" i="1" l="1"/>
  <c r="I25" i="1" l="1"/>
  <c r="K25" i="1" s="1"/>
  <c r="G26" i="1" s="1"/>
  <c r="H25" i="1" l="1"/>
  <c r="J25" i="1" s="1"/>
  <c r="F26" i="1" l="1"/>
  <c r="I26" i="1" l="1"/>
  <c r="K26" i="1" s="1"/>
  <c r="G27" i="1" s="1"/>
  <c r="H26" i="1" l="1"/>
  <c r="J26" i="1" s="1"/>
  <c r="F27" i="1" l="1"/>
  <c r="I27" i="1" l="1"/>
  <c r="K27" i="1" s="1"/>
  <c r="G28" i="1" s="1"/>
  <c r="H27" i="1" l="1"/>
  <c r="J27" i="1" s="1"/>
  <c r="F28" i="1" l="1"/>
  <c r="I28" i="1" l="1"/>
  <c r="K28" i="1" s="1"/>
  <c r="G29" i="1" s="1"/>
  <c r="H28" i="1" l="1"/>
  <c r="J28" i="1" s="1"/>
  <c r="F29" i="1" l="1"/>
  <c r="I29" i="1" l="1"/>
  <c r="K29" i="1" s="1"/>
  <c r="G30" i="1" s="1"/>
  <c r="H29" i="1" l="1"/>
  <c r="J29" i="1" s="1"/>
  <c r="F30" i="1" l="1"/>
  <c r="I30" i="1" l="1"/>
  <c r="K30" i="1" s="1"/>
  <c r="G31" i="1" s="1"/>
  <c r="H30" i="1" l="1"/>
  <c r="J30" i="1" s="1"/>
  <c r="F31" i="1" l="1"/>
  <c r="I31" i="1" l="1"/>
  <c r="K31" i="1" s="1"/>
  <c r="G32" i="1" s="1"/>
  <c r="H31" i="1" l="1"/>
  <c r="J31" i="1" s="1"/>
  <c r="F32" i="1" l="1"/>
  <c r="I32" i="1" l="1"/>
  <c r="K32" i="1" s="1"/>
  <c r="G33" i="1" s="1"/>
  <c r="H32" i="1" l="1"/>
  <c r="J32" i="1" s="1"/>
  <c r="F33" i="1" l="1"/>
  <c r="I33" i="1" l="1"/>
  <c r="K33" i="1" s="1"/>
  <c r="H33" i="1" l="1"/>
  <c r="J33" i="1" s="1"/>
</calcChain>
</file>

<file path=xl/sharedStrings.xml><?xml version="1.0" encoding="utf-8"?>
<sst xmlns="http://schemas.openxmlformats.org/spreadsheetml/2006/main" count="48" uniqueCount="44">
  <si>
    <t xml:space="preserve"> </t>
  </si>
  <si>
    <t>Psi</t>
  </si>
  <si>
    <t>Theta</t>
  </si>
  <si>
    <t>Beta1</t>
  </si>
  <si>
    <t>p</t>
  </si>
  <si>
    <t>yd</t>
  </si>
  <si>
    <t>i</t>
  </si>
  <si>
    <t>p_ee0</t>
  </si>
  <si>
    <t>s_ee0</t>
  </si>
  <si>
    <t>s</t>
  </si>
  <si>
    <t>Beta2</t>
  </si>
  <si>
    <t>Mi</t>
  </si>
  <si>
    <r>
      <t>λ</t>
    </r>
    <r>
      <rPr>
        <vertAlign val="subscript"/>
        <sz val="11"/>
        <rFont val="Times New Roman"/>
        <family val="1"/>
      </rPr>
      <t>1</t>
    </r>
  </si>
  <si>
    <r>
      <t>λ</t>
    </r>
    <r>
      <rPr>
        <vertAlign val="subscript"/>
        <sz val="11"/>
        <rFont val="Times New Roman"/>
        <family val="1"/>
      </rPr>
      <t>2</t>
    </r>
  </si>
  <si>
    <r>
      <rPr>
        <b/>
        <sz val="11"/>
        <color indexed="9"/>
        <rFont val="Times New Roman"/>
        <family val="1"/>
      </rPr>
      <t>∆p</t>
    </r>
  </si>
  <si>
    <r>
      <rPr>
        <b/>
        <sz val="11"/>
        <color indexed="9"/>
        <rFont val="Times New Roman"/>
        <family val="1"/>
      </rPr>
      <t>∆s</t>
    </r>
  </si>
  <si>
    <t>EXERCISE 3: Exchange rate overshooting</t>
  </si>
  <si>
    <t>Period</t>
  </si>
  <si>
    <t>Endogenous variables</t>
  </si>
  <si>
    <t>Change over time</t>
  </si>
  <si>
    <t>∆p: Inflation</t>
  </si>
  <si>
    <t>∆s: Exchange rate depreciation</t>
  </si>
  <si>
    <t>p: Price level</t>
  </si>
  <si>
    <t>s: Nominal exchange rate</t>
  </si>
  <si>
    <t>yd: Aggregate demand</t>
  </si>
  <si>
    <t>i: Nominal interest rate</t>
  </si>
  <si>
    <t>Parameters</t>
  </si>
  <si>
    <t>Exogenous variables</t>
  </si>
  <si>
    <t>Initial value</t>
  </si>
  <si>
    <t>Final value</t>
  </si>
  <si>
    <t>m: Money supply</t>
  </si>
  <si>
    <t>i*: Foreign nominal interest rate</t>
  </si>
  <si>
    <t>Beta0: Public spending</t>
  </si>
  <si>
    <t>p*: Foreign price level</t>
  </si>
  <si>
    <t>ypot: Potential output</t>
  </si>
  <si>
    <t>Steady State</t>
  </si>
  <si>
    <t>Initial SS</t>
  </si>
  <si>
    <t>Final SS</t>
  </si>
  <si>
    <t>Eigenvalues</t>
  </si>
  <si>
    <t>Real</t>
  </si>
  <si>
    <t>Imaginary</t>
  </si>
  <si>
    <t>Stability condition</t>
  </si>
  <si>
    <r>
      <t>Modulus (1+λ</t>
    </r>
    <r>
      <rPr>
        <vertAlign val="subscript"/>
        <sz val="11"/>
        <rFont val="Times New Roman"/>
        <family val="1"/>
      </rPr>
      <t>1</t>
    </r>
    <r>
      <rPr>
        <sz val="11"/>
        <rFont val="Times New Roman"/>
        <family val="1"/>
      </rPr>
      <t>)</t>
    </r>
  </si>
  <si>
    <r>
      <t>Modulus (1+λ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</si>
</sst>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indexed="9"/>
      <name val="Times New Roman"/>
      <family val="1"/>
    </font>
    <font>
      <b/>
      <i/>
      <sz val="11"/>
      <color theme="0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164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2" fontId="0" fillId="0" borderId="0" xfId="0" applyNumberFormat="1" applyAlignment="1" applyProtection="1">
      <alignment horizontal="right"/>
      <protection locked="0"/>
    </xf>
    <xf numFmtId="2" fontId="0" fillId="0" borderId="0" xfId="0" applyNumberFormat="1" applyAlignment="1" applyProtection="1">
      <alignment horizontal="center"/>
      <protection locked="0"/>
    </xf>
    <xf numFmtId="2" fontId="2" fillId="0" borderId="0" xfId="0" applyNumberFormat="1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0" fontId="5" fillId="2" borderId="2" xfId="0" applyFont="1" applyFill="1" applyBorder="1" applyProtection="1">
      <protection locked="0"/>
    </xf>
    <xf numFmtId="0" fontId="5" fillId="2" borderId="3" xfId="0" applyFont="1" applyFill="1" applyBorder="1" applyProtection="1">
      <protection locked="0"/>
    </xf>
    <xf numFmtId="0" fontId="5" fillId="3" borderId="7" xfId="0" applyFont="1" applyFill="1" applyBorder="1" applyProtection="1">
      <protection locked="0"/>
    </xf>
    <xf numFmtId="0" fontId="5" fillId="3" borderId="0" xfId="0" applyFont="1" applyFill="1" applyProtection="1">
      <protection locked="0"/>
    </xf>
    <xf numFmtId="0" fontId="5" fillId="3" borderId="8" xfId="0" applyFont="1" applyFill="1" applyBorder="1" applyProtection="1">
      <protection locked="0"/>
    </xf>
    <xf numFmtId="0" fontId="5" fillId="3" borderId="9" xfId="0" applyFont="1" applyFill="1" applyBorder="1" applyProtection="1">
      <protection locked="0"/>
    </xf>
    <xf numFmtId="0" fontId="5" fillId="3" borderId="10" xfId="0" applyFont="1" applyFill="1" applyBorder="1" applyProtection="1">
      <protection locked="0"/>
    </xf>
    <xf numFmtId="0" fontId="5" fillId="3" borderId="11" xfId="0" applyFont="1" applyFill="1" applyBorder="1" applyProtection="1">
      <protection locked="0"/>
    </xf>
    <xf numFmtId="2" fontId="5" fillId="3" borderId="0" xfId="0" applyNumberFormat="1" applyFont="1" applyFill="1" applyAlignment="1" applyProtection="1">
      <alignment horizontal="right"/>
      <protection locked="0"/>
    </xf>
    <xf numFmtId="2" fontId="5" fillId="3" borderId="8" xfId="0" applyNumberFormat="1" applyFont="1" applyFill="1" applyBorder="1" applyAlignment="1" applyProtection="1">
      <alignment horizontal="right"/>
      <protection locked="0"/>
    </xf>
    <xf numFmtId="2" fontId="5" fillId="3" borderId="10" xfId="0" applyNumberFormat="1" applyFont="1" applyFill="1" applyBorder="1" applyAlignment="1" applyProtection="1">
      <alignment horizontal="right"/>
      <protection locked="0"/>
    </xf>
    <xf numFmtId="2" fontId="5" fillId="3" borderId="11" xfId="0" applyNumberFormat="1" applyFont="1" applyFill="1" applyBorder="1" applyAlignment="1" applyProtection="1">
      <alignment horizontal="right"/>
      <protection locked="0"/>
    </xf>
    <xf numFmtId="0" fontId="5" fillId="3" borderId="7" xfId="0" applyFont="1" applyFill="1" applyBorder="1"/>
    <xf numFmtId="2" fontId="5" fillId="3" borderId="0" xfId="0" applyNumberFormat="1" applyFont="1" applyFill="1" applyProtection="1">
      <protection locked="0"/>
    </xf>
    <xf numFmtId="2" fontId="5" fillId="3" borderId="8" xfId="0" applyNumberFormat="1" applyFont="1" applyFill="1" applyBorder="1" applyProtection="1">
      <protection locked="0"/>
    </xf>
    <xf numFmtId="0" fontId="5" fillId="3" borderId="9" xfId="0" applyFont="1" applyFill="1" applyBorder="1"/>
    <xf numFmtId="2" fontId="5" fillId="3" borderId="10" xfId="0" applyNumberFormat="1" applyFont="1" applyFill="1" applyBorder="1" applyProtection="1">
      <protection locked="0"/>
    </xf>
    <xf numFmtId="2" fontId="5" fillId="3" borderId="11" xfId="0" applyNumberFormat="1" applyFont="1" applyFill="1" applyBorder="1" applyProtection="1">
      <protection locked="0"/>
    </xf>
    <xf numFmtId="0" fontId="5" fillId="3" borderId="7" xfId="0" applyFont="1" applyFill="1" applyBorder="1" applyAlignment="1" applyProtection="1">
      <alignment horizontal="center"/>
      <protection locked="0"/>
    </xf>
    <xf numFmtId="2" fontId="5" fillId="3" borderId="0" xfId="0" applyNumberFormat="1" applyFont="1" applyFill="1" applyAlignment="1" applyProtection="1">
      <alignment horizontal="center"/>
      <protection locked="0"/>
    </xf>
    <xf numFmtId="2" fontId="5" fillId="3" borderId="8" xfId="0" applyNumberFormat="1" applyFont="1" applyFill="1" applyBorder="1" applyAlignment="1" applyProtection="1">
      <alignment horizontal="center"/>
      <protection locked="0"/>
    </xf>
    <xf numFmtId="0" fontId="5" fillId="3" borderId="9" xfId="0" applyFont="1" applyFill="1" applyBorder="1" applyAlignment="1" applyProtection="1">
      <alignment horizontal="center"/>
      <protection locked="0"/>
    </xf>
    <xf numFmtId="2" fontId="5" fillId="3" borderId="10" xfId="0" applyNumberFormat="1" applyFont="1" applyFill="1" applyBorder="1" applyAlignment="1" applyProtection="1">
      <alignment horizontal="center"/>
      <protection locked="0"/>
    </xf>
    <xf numFmtId="2" fontId="5" fillId="3" borderId="11" xfId="0" applyNumberFormat="1" applyFont="1" applyFill="1" applyBorder="1" applyAlignment="1" applyProtection="1">
      <alignment horizontal="center"/>
      <protection locked="0"/>
    </xf>
    <xf numFmtId="0" fontId="7" fillId="4" borderId="4" xfId="0" applyFont="1" applyFill="1" applyBorder="1" applyProtection="1">
      <protection locked="0"/>
    </xf>
    <xf numFmtId="0" fontId="7" fillId="4" borderId="5" xfId="0" applyFont="1" applyFill="1" applyBorder="1" applyProtection="1">
      <protection locked="0"/>
    </xf>
    <xf numFmtId="0" fontId="8" fillId="4" borderId="6" xfId="0" applyFont="1" applyFill="1" applyBorder="1" applyProtection="1">
      <protection locked="0"/>
    </xf>
    <xf numFmtId="0" fontId="7" fillId="4" borderId="4" xfId="0" applyFont="1" applyFill="1" applyBorder="1" applyAlignment="1" applyProtection="1">
      <alignment horizontal="left"/>
      <protection locked="0"/>
    </xf>
    <xf numFmtId="0" fontId="7" fillId="4" borderId="5" xfId="0" applyFont="1" applyFill="1" applyBorder="1" applyAlignment="1" applyProtection="1">
      <alignment horizontal="center"/>
      <protection locked="0"/>
    </xf>
    <xf numFmtId="0" fontId="7" fillId="4" borderId="6" xfId="0" applyFont="1" applyFill="1" applyBorder="1" applyAlignment="1" applyProtection="1">
      <alignment horizontal="center"/>
      <protection locked="0"/>
    </xf>
    <xf numFmtId="0" fontId="9" fillId="4" borderId="4" xfId="0" applyFont="1" applyFill="1" applyBorder="1" applyAlignment="1" applyProtection="1">
      <alignment horizontal="center"/>
      <protection locked="0"/>
    </xf>
    <xf numFmtId="0" fontId="9" fillId="4" borderId="5" xfId="0" applyFont="1" applyFill="1" applyBorder="1" applyAlignment="1" applyProtection="1">
      <alignment horizontal="center"/>
      <protection locked="0"/>
    </xf>
    <xf numFmtId="0" fontId="9" fillId="4" borderId="6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3B3B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s-ES"/>
              <a:t>Price</a:t>
            </a:r>
            <a:r>
              <a:rPr lang="es-ES" baseline="0"/>
              <a:t> level</a:t>
            </a:r>
            <a:endParaRPr lang="es-ES"/>
          </a:p>
        </c:rich>
      </c:tx>
      <c:layout>
        <c:manualLayout>
          <c:xMode val="edge"/>
          <c:yMode val="edge"/>
          <c:x val="0.33157883042397479"/>
          <c:y val="3.832773733471995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8421052631579"/>
          <c:y val="0.2181211627666913"/>
          <c:w val="0.82631578947368423"/>
          <c:h val="0.546980762014933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Hoja1!$E$3:$E$33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Hoja1!$F$3:$F$33</c:f>
              <c:numCache>
                <c:formatCode>0.00</c:formatCode>
                <c:ptCount val="31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1.5</c:v>
                </c:pt>
                <c:pt idx="22">
                  <c:v>1.5</c:v>
                </c:pt>
                <c:pt idx="23">
                  <c:v>1.5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1.5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53-47FF-A4B2-6CA1647AA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461184"/>
        <c:axId val="300461744"/>
      </c:lineChart>
      <c:catAx>
        <c:axId val="300461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s-ES"/>
                  <a:t>Time</a:t>
                </a:r>
              </a:p>
            </c:rich>
          </c:tx>
          <c:layout>
            <c:manualLayout>
              <c:xMode val="edge"/>
              <c:yMode val="edge"/>
              <c:x val="0.4815789692955047"/>
              <c:y val="0.8675960976576041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00461744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300461744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00461184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s-ES"/>
              <a:t>Nominal exchange rate</a:t>
            </a:r>
          </a:p>
        </c:rich>
      </c:tx>
      <c:layout>
        <c:manualLayout>
          <c:xMode val="edge"/>
          <c:yMode val="edge"/>
          <c:x val="0.25459373133913815"/>
          <c:y val="3.60655672757886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485603996483341"/>
          <c:y val="0.20689686841335903"/>
          <c:w val="0.80840102218929977"/>
          <c:h val="0.57366858969158641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Hoja1!$E$3:$E$33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Hoja1!$G$3:$G$33</c:f>
              <c:numCache>
                <c:formatCode>0.00</c:formatCode>
                <c:ptCount val="31"/>
                <c:pt idx="0">
                  <c:v>76.515000000000001</c:v>
                </c:pt>
                <c:pt idx="1">
                  <c:v>76.515000000000001</c:v>
                </c:pt>
                <c:pt idx="2">
                  <c:v>76.515000000000001</c:v>
                </c:pt>
                <c:pt idx="3">
                  <c:v>76.515000000000001</c:v>
                </c:pt>
                <c:pt idx="4">
                  <c:v>76.515000000000001</c:v>
                </c:pt>
                <c:pt idx="5">
                  <c:v>76.515000000000001</c:v>
                </c:pt>
                <c:pt idx="6">
                  <c:v>76.515000000000001</c:v>
                </c:pt>
                <c:pt idx="7">
                  <c:v>76.515000000000001</c:v>
                </c:pt>
                <c:pt idx="8">
                  <c:v>76.515000000000001</c:v>
                </c:pt>
                <c:pt idx="9">
                  <c:v>76.515000000000001</c:v>
                </c:pt>
                <c:pt idx="10">
                  <c:v>76.515000000000001</c:v>
                </c:pt>
                <c:pt idx="11">
                  <c:v>76.515000000000001</c:v>
                </c:pt>
                <c:pt idx="12">
                  <c:v>76.515000000000001</c:v>
                </c:pt>
                <c:pt idx="13">
                  <c:v>76.515000000000001</c:v>
                </c:pt>
                <c:pt idx="14">
                  <c:v>76.515000000000001</c:v>
                </c:pt>
                <c:pt idx="15">
                  <c:v>76.515000000000001</c:v>
                </c:pt>
                <c:pt idx="16">
                  <c:v>76.515000000000001</c:v>
                </c:pt>
                <c:pt idx="17">
                  <c:v>76.515000000000001</c:v>
                </c:pt>
                <c:pt idx="18">
                  <c:v>76.515000000000001</c:v>
                </c:pt>
                <c:pt idx="19">
                  <c:v>76.515000000000001</c:v>
                </c:pt>
                <c:pt idx="20">
                  <c:v>76.515000000000001</c:v>
                </c:pt>
                <c:pt idx="21">
                  <c:v>76.515000000000001</c:v>
                </c:pt>
                <c:pt idx="22">
                  <c:v>76.515000000000001</c:v>
                </c:pt>
                <c:pt idx="23">
                  <c:v>76.515000000000001</c:v>
                </c:pt>
                <c:pt idx="24">
                  <c:v>76.515000000000001</c:v>
                </c:pt>
                <c:pt idx="25">
                  <c:v>76.515000000000001</c:v>
                </c:pt>
                <c:pt idx="26">
                  <c:v>76.515000000000001</c:v>
                </c:pt>
                <c:pt idx="27">
                  <c:v>76.515000000000001</c:v>
                </c:pt>
                <c:pt idx="28">
                  <c:v>76.515000000000001</c:v>
                </c:pt>
                <c:pt idx="29">
                  <c:v>76.515000000000001</c:v>
                </c:pt>
                <c:pt idx="30">
                  <c:v>76.515000000000001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7D-46FB-B0BE-EBDC9DFBC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7967904"/>
        <c:axId val="297967344"/>
      </c:lineChart>
      <c:catAx>
        <c:axId val="297967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s-ES"/>
                  <a:t>Time</a:t>
                </a:r>
              </a:p>
            </c:rich>
          </c:tx>
          <c:layout>
            <c:manualLayout>
              <c:xMode val="edge"/>
              <c:yMode val="edge"/>
              <c:x val="0.49081503700926277"/>
              <c:y val="0.87540989451790219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97967344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297967344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97967904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s-ES"/>
              <a:t>Aggregate</a:t>
            </a:r>
            <a:r>
              <a:rPr lang="es-ES" baseline="0"/>
              <a:t> demand</a:t>
            </a:r>
            <a:endParaRPr lang="es-ES"/>
          </a:p>
        </c:rich>
      </c:tx>
      <c:layout>
        <c:manualLayout>
          <c:xMode val="edge"/>
          <c:yMode val="edge"/>
          <c:x val="0.31413628851949066"/>
          <c:y val="3.6899915812410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67010004158513"/>
          <c:y val="0.22697404877359292"/>
          <c:w val="0.77749457707423009"/>
          <c:h val="0.5328955927727834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Hoja1!$E$3:$E$33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Hoja1!$H$3:$H$33</c:f>
              <c:numCache>
                <c:formatCode>0.00</c:formatCode>
                <c:ptCount val="31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  <c:pt idx="22">
                  <c:v>2000</c:v>
                </c:pt>
                <c:pt idx="23">
                  <c:v>2000</c:v>
                </c:pt>
                <c:pt idx="24">
                  <c:v>2000</c:v>
                </c:pt>
                <c:pt idx="25">
                  <c:v>2000</c:v>
                </c:pt>
                <c:pt idx="26">
                  <c:v>2000</c:v>
                </c:pt>
                <c:pt idx="27">
                  <c:v>2000</c:v>
                </c:pt>
                <c:pt idx="28">
                  <c:v>2000</c:v>
                </c:pt>
                <c:pt idx="29">
                  <c:v>2000</c:v>
                </c:pt>
                <c:pt idx="30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C7-42AD-B905-62EA06226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053088"/>
        <c:axId val="300050848"/>
      </c:lineChart>
      <c:catAx>
        <c:axId val="300053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s-ES"/>
                  <a:t>Time</a:t>
                </a:r>
              </a:p>
            </c:rich>
          </c:tx>
          <c:layout>
            <c:manualLayout>
              <c:xMode val="edge"/>
              <c:yMode val="edge"/>
              <c:x val="0.50785401824771903"/>
              <c:y val="0.85977992373594814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0005084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300050848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00053088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s-ES"/>
              <a:t>Nominal interest rate</a:t>
            </a:r>
          </a:p>
        </c:rich>
      </c:tx>
      <c:layout>
        <c:manualLayout>
          <c:xMode val="edge"/>
          <c:yMode val="edge"/>
          <c:x val="0.26109680734352647"/>
          <c:y val="3.67648194919031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17120936805977"/>
          <c:y val="0.22151931957872353"/>
          <c:w val="0.83077131102591906"/>
          <c:h val="0.54114007667263631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Hoja1!$E$3:$E$33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Hoja1!$I$3:$I$33</c:f>
              <c:numCache>
                <c:formatCode>0.00</c:formatCode>
                <c:ptCount val="3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E0-4F5E-BE9A-26771F8FA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792192"/>
        <c:axId val="298793312"/>
      </c:lineChart>
      <c:catAx>
        <c:axId val="298792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s-ES"/>
                  <a:t>Time</a:t>
                </a:r>
              </a:p>
            </c:rich>
          </c:tx>
          <c:layout>
            <c:manualLayout>
              <c:xMode val="edge"/>
              <c:yMode val="edge"/>
              <c:x val="0.48041772556208251"/>
              <c:y val="0.8602937651661467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9879331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298793312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98792192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16</xdr:col>
      <xdr:colOff>571500</xdr:colOff>
      <xdr:row>16</xdr:row>
      <xdr:rowOff>121920</xdr:rowOff>
    </xdr:to>
    <xdr:graphicFrame macro="">
      <xdr:nvGraphicFramePr>
        <xdr:cNvPr id="1240" name="Chart 9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20</xdr:row>
      <xdr:rowOff>0</xdr:rowOff>
    </xdr:from>
    <xdr:to>
      <xdr:col>16</xdr:col>
      <xdr:colOff>571500</xdr:colOff>
      <xdr:row>34</xdr:row>
      <xdr:rowOff>121920</xdr:rowOff>
    </xdr:to>
    <xdr:graphicFrame macro="">
      <xdr:nvGraphicFramePr>
        <xdr:cNvPr id="1241" name="Chart 10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45720</xdr:colOff>
      <xdr:row>2</xdr:row>
      <xdr:rowOff>7620</xdr:rowOff>
    </xdr:from>
    <xdr:to>
      <xdr:col>21</xdr:col>
      <xdr:colOff>617220</xdr:colOff>
      <xdr:row>16</xdr:row>
      <xdr:rowOff>137160</xdr:rowOff>
    </xdr:to>
    <xdr:graphicFrame macro="">
      <xdr:nvGraphicFramePr>
        <xdr:cNvPr id="1242" name="Chart 11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22860</xdr:colOff>
      <xdr:row>20</xdr:row>
      <xdr:rowOff>30480</xdr:rowOff>
    </xdr:from>
    <xdr:to>
      <xdr:col>21</xdr:col>
      <xdr:colOff>586740</xdr:colOff>
      <xdr:row>34</xdr:row>
      <xdr:rowOff>152400</xdr:rowOff>
    </xdr:to>
    <xdr:graphicFrame macro="">
      <xdr:nvGraphicFramePr>
        <xdr:cNvPr id="1243" name="Chart 12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43"/>
  <sheetViews>
    <sheetView tabSelected="1" zoomScale="96" zoomScaleNormal="96" workbookViewId="0">
      <selection activeCell="C18" sqref="C18"/>
    </sheetView>
  </sheetViews>
  <sheetFormatPr defaultColWidth="11.3984375" defaultRowHeight="12.75" x14ac:dyDescent="0.35"/>
  <cols>
    <col min="1" max="1" width="31.73046875" style="1" customWidth="1"/>
    <col min="2" max="2" width="13.86328125" style="1" customWidth="1"/>
    <col min="3" max="3" width="16.265625" style="1" customWidth="1"/>
    <col min="4" max="4" width="3" style="1" customWidth="1"/>
    <col min="5" max="6" width="10.265625" style="1" customWidth="1"/>
    <col min="7" max="7" width="10.73046875" style="1" customWidth="1"/>
    <col min="8" max="8" width="12.3984375" style="1" customWidth="1"/>
    <col min="9" max="9" width="9.53125" style="1" customWidth="1"/>
    <col min="10" max="10" width="10.1328125" style="1" customWidth="1"/>
    <col min="11" max="11" width="9.73046875" style="1" customWidth="1"/>
    <col min="12" max="12" width="6.265625" style="1" customWidth="1"/>
    <col min="13" max="16384" width="11.3984375" style="1"/>
  </cols>
  <sheetData>
    <row r="1" spans="1:59" ht="13.9" customHeight="1" thickBot="1" x14ac:dyDescent="0.45">
      <c r="A1" s="13" t="s">
        <v>16</v>
      </c>
      <c r="B1" s="14"/>
      <c r="C1" s="15"/>
      <c r="D1" s="10"/>
      <c r="E1" s="10"/>
      <c r="F1" s="10"/>
      <c r="G1" s="10"/>
      <c r="H1" s="10"/>
      <c r="I1" s="10"/>
      <c r="J1" s="10"/>
      <c r="K1" s="10"/>
      <c r="BD1" s="2"/>
    </row>
    <row r="2" spans="1:59" ht="13.9" customHeight="1" thickBot="1" x14ac:dyDescent="0.45">
      <c r="A2" s="10" t="s">
        <v>0</v>
      </c>
      <c r="B2" s="10"/>
      <c r="C2" s="10"/>
      <c r="D2" s="10"/>
      <c r="E2" s="44" t="s">
        <v>17</v>
      </c>
      <c r="F2" s="45" t="s">
        <v>4</v>
      </c>
      <c r="G2" s="45" t="s">
        <v>9</v>
      </c>
      <c r="H2" s="45" t="s">
        <v>5</v>
      </c>
      <c r="I2" s="45" t="s">
        <v>6</v>
      </c>
      <c r="J2" s="45" t="s">
        <v>14</v>
      </c>
      <c r="K2" s="46" t="s">
        <v>15</v>
      </c>
      <c r="BD2" s="3"/>
      <c r="BE2" s="3"/>
      <c r="BF2" s="3"/>
    </row>
    <row r="3" spans="1:59" ht="13.9" customHeight="1" x14ac:dyDescent="0.4">
      <c r="A3" s="38" t="s">
        <v>18</v>
      </c>
      <c r="B3" s="39" t="s">
        <v>19</v>
      </c>
      <c r="C3" s="40"/>
      <c r="D3" s="10"/>
      <c r="E3" s="32">
        <v>0</v>
      </c>
      <c r="F3" s="33">
        <f>pbar_0</f>
        <v>1.5</v>
      </c>
      <c r="G3" s="33">
        <f>sbar_0</f>
        <v>76.515000000000001</v>
      </c>
      <c r="H3" s="33">
        <f>Beta0_0+Beta1*(G3-F3+pext_0)+(Beta2/Theta)*(m_0-F3-Psi*ypot_0)</f>
        <v>2000</v>
      </c>
      <c r="I3" s="33">
        <f>-1/Theta*(m_0-F3-Psi*ypot_0)</f>
        <v>3</v>
      </c>
      <c r="J3" s="33">
        <f t="shared" ref="J3" si="0">Mi*(H3-ypot_0)</f>
        <v>0</v>
      </c>
      <c r="K3" s="34">
        <f>I3-iext_0</f>
        <v>0</v>
      </c>
    </row>
    <row r="4" spans="1:59" ht="13.9" customHeight="1" x14ac:dyDescent="0.4">
      <c r="A4" s="16" t="s">
        <v>22</v>
      </c>
      <c r="B4" s="17" t="s">
        <v>20</v>
      </c>
      <c r="C4" s="18" t="s">
        <v>0</v>
      </c>
      <c r="D4" s="10"/>
      <c r="E4" s="32">
        <v>1</v>
      </c>
      <c r="F4" s="33">
        <f t="shared" ref="F4:F33" si="1">F3+J3</f>
        <v>1.5</v>
      </c>
      <c r="G4" s="33">
        <f t="shared" ref="G4" si="2">-(m_1-F4-Psi*ypot_1)/(Theta*Lambda1)-iext_1/Lambda1+sbar_1</f>
        <v>76.515000000000001</v>
      </c>
      <c r="H4" s="33">
        <f t="shared" ref="H4:H33" si="3">Beta0_1+Beta1*(G4-F4+pext_1)-Beta2*I4</f>
        <v>2000</v>
      </c>
      <c r="I4" s="33">
        <f t="shared" ref="I4:I33" si="4">-1/Theta*(m_1-F4-Psi*ypot_1)</f>
        <v>3</v>
      </c>
      <c r="J4" s="33">
        <f t="shared" ref="J4:J33" si="5">Mi*(H4-ypot_1)</f>
        <v>0</v>
      </c>
      <c r="K4" s="34">
        <f t="shared" ref="K4:K33" si="6">I4-iext_1</f>
        <v>0</v>
      </c>
    </row>
    <row r="5" spans="1:59" ht="13.9" customHeight="1" x14ac:dyDescent="0.4">
      <c r="A5" s="16" t="s">
        <v>23</v>
      </c>
      <c r="B5" s="17" t="s">
        <v>21</v>
      </c>
      <c r="C5" s="18"/>
      <c r="D5" s="10"/>
      <c r="E5" s="32">
        <v>2</v>
      </c>
      <c r="F5" s="33">
        <f t="shared" si="1"/>
        <v>1.5</v>
      </c>
      <c r="G5" s="33">
        <f>G4+K4</f>
        <v>76.515000000000001</v>
      </c>
      <c r="H5" s="33">
        <f t="shared" si="3"/>
        <v>2000</v>
      </c>
      <c r="I5" s="33">
        <f t="shared" si="4"/>
        <v>3</v>
      </c>
      <c r="J5" s="33">
        <f t="shared" si="5"/>
        <v>0</v>
      </c>
      <c r="K5" s="34">
        <f t="shared" si="6"/>
        <v>0</v>
      </c>
    </row>
    <row r="6" spans="1:59" ht="13.9" customHeight="1" x14ac:dyDescent="0.4">
      <c r="A6" s="16" t="s">
        <v>24</v>
      </c>
      <c r="B6" s="17"/>
      <c r="C6" s="18"/>
      <c r="D6" s="10"/>
      <c r="E6" s="32">
        <f>E5+1</f>
        <v>3</v>
      </c>
      <c r="F6" s="33">
        <f t="shared" si="1"/>
        <v>1.5</v>
      </c>
      <c r="G6" s="33">
        <f t="shared" ref="G6:G33" si="7">G5+K5</f>
        <v>76.515000000000001</v>
      </c>
      <c r="H6" s="33">
        <f t="shared" si="3"/>
        <v>2000</v>
      </c>
      <c r="I6" s="33">
        <f t="shared" si="4"/>
        <v>3</v>
      </c>
      <c r="J6" s="33">
        <f t="shared" si="5"/>
        <v>0</v>
      </c>
      <c r="K6" s="34">
        <f t="shared" si="6"/>
        <v>0</v>
      </c>
    </row>
    <row r="7" spans="1:59" ht="13.9" customHeight="1" thickBot="1" x14ac:dyDescent="0.45">
      <c r="A7" s="19" t="s">
        <v>25</v>
      </c>
      <c r="B7" s="20"/>
      <c r="C7" s="21"/>
      <c r="D7" s="10"/>
      <c r="E7" s="32">
        <f t="shared" ref="E7:E33" si="8">E6+1</f>
        <v>4</v>
      </c>
      <c r="F7" s="33">
        <f t="shared" si="1"/>
        <v>1.5</v>
      </c>
      <c r="G7" s="33">
        <f t="shared" si="7"/>
        <v>76.515000000000001</v>
      </c>
      <c r="H7" s="33">
        <f t="shared" si="3"/>
        <v>2000</v>
      </c>
      <c r="I7" s="33">
        <f t="shared" si="4"/>
        <v>3</v>
      </c>
      <c r="J7" s="33">
        <f t="shared" si="5"/>
        <v>0</v>
      </c>
      <c r="K7" s="34">
        <f t="shared" si="6"/>
        <v>0</v>
      </c>
    </row>
    <row r="8" spans="1:59" ht="13.9" customHeight="1" thickBot="1" x14ac:dyDescent="0.45">
      <c r="A8" s="10"/>
      <c r="B8" s="10"/>
      <c r="C8" s="10"/>
      <c r="D8" s="10"/>
      <c r="E8" s="32">
        <f t="shared" si="8"/>
        <v>5</v>
      </c>
      <c r="F8" s="33">
        <f t="shared" si="1"/>
        <v>1.5</v>
      </c>
      <c r="G8" s="33">
        <f t="shared" si="7"/>
        <v>76.515000000000001</v>
      </c>
      <c r="H8" s="33">
        <f t="shared" si="3"/>
        <v>2000</v>
      </c>
      <c r="I8" s="33">
        <f t="shared" si="4"/>
        <v>3</v>
      </c>
      <c r="J8" s="33">
        <f t="shared" si="5"/>
        <v>0</v>
      </c>
      <c r="K8" s="34">
        <f t="shared" si="6"/>
        <v>0</v>
      </c>
      <c r="BG8" s="4"/>
    </row>
    <row r="9" spans="1:59" ht="13.9" customHeight="1" x14ac:dyDescent="0.4">
      <c r="A9" s="41" t="s">
        <v>26</v>
      </c>
      <c r="B9" s="40"/>
      <c r="C9" s="10"/>
      <c r="D9" s="10"/>
      <c r="E9" s="32">
        <f t="shared" si="8"/>
        <v>6</v>
      </c>
      <c r="F9" s="33">
        <f t="shared" si="1"/>
        <v>1.5</v>
      </c>
      <c r="G9" s="33">
        <f t="shared" si="7"/>
        <v>76.515000000000001</v>
      </c>
      <c r="H9" s="33">
        <f t="shared" si="3"/>
        <v>2000</v>
      </c>
      <c r="I9" s="33">
        <f t="shared" si="4"/>
        <v>3</v>
      </c>
      <c r="J9" s="33">
        <f t="shared" si="5"/>
        <v>0</v>
      </c>
      <c r="K9" s="34">
        <f t="shared" si="6"/>
        <v>0</v>
      </c>
    </row>
    <row r="10" spans="1:59" ht="13.9" customHeight="1" x14ac:dyDescent="0.4">
      <c r="A10" s="16" t="s">
        <v>1</v>
      </c>
      <c r="B10" s="18">
        <v>0.05</v>
      </c>
      <c r="C10" s="10"/>
      <c r="D10" s="10"/>
      <c r="E10" s="32">
        <f t="shared" si="8"/>
        <v>7</v>
      </c>
      <c r="F10" s="33">
        <f t="shared" si="1"/>
        <v>1.5</v>
      </c>
      <c r="G10" s="33">
        <f t="shared" si="7"/>
        <v>76.515000000000001</v>
      </c>
      <c r="H10" s="33">
        <f t="shared" si="3"/>
        <v>2000</v>
      </c>
      <c r="I10" s="33">
        <f t="shared" si="4"/>
        <v>3</v>
      </c>
      <c r="J10" s="33">
        <f t="shared" si="5"/>
        <v>0</v>
      </c>
      <c r="K10" s="34">
        <f t="shared" si="6"/>
        <v>0</v>
      </c>
    </row>
    <row r="11" spans="1:59" ht="13.9" customHeight="1" x14ac:dyDescent="0.4">
      <c r="A11" s="16" t="s">
        <v>2</v>
      </c>
      <c r="B11" s="18">
        <v>0.5</v>
      </c>
      <c r="C11" s="10"/>
      <c r="D11" s="10"/>
      <c r="E11" s="32">
        <f t="shared" si="8"/>
        <v>8</v>
      </c>
      <c r="F11" s="33">
        <f t="shared" si="1"/>
        <v>1.5</v>
      </c>
      <c r="G11" s="33">
        <f t="shared" si="7"/>
        <v>76.515000000000001</v>
      </c>
      <c r="H11" s="33">
        <f t="shared" si="3"/>
        <v>2000</v>
      </c>
      <c r="I11" s="33">
        <f t="shared" si="4"/>
        <v>3</v>
      </c>
      <c r="J11" s="33">
        <f t="shared" si="5"/>
        <v>0</v>
      </c>
      <c r="K11" s="34">
        <f t="shared" si="6"/>
        <v>0</v>
      </c>
    </row>
    <row r="12" spans="1:59" ht="13.9" customHeight="1" x14ac:dyDescent="0.4">
      <c r="A12" s="16" t="s">
        <v>3</v>
      </c>
      <c r="B12" s="18">
        <v>20</v>
      </c>
      <c r="C12" s="10" t="s">
        <v>0</v>
      </c>
      <c r="D12" s="10"/>
      <c r="E12" s="32">
        <f t="shared" si="8"/>
        <v>9</v>
      </c>
      <c r="F12" s="33">
        <f t="shared" si="1"/>
        <v>1.5</v>
      </c>
      <c r="G12" s="33">
        <f t="shared" si="7"/>
        <v>76.515000000000001</v>
      </c>
      <c r="H12" s="33">
        <f t="shared" si="3"/>
        <v>2000</v>
      </c>
      <c r="I12" s="33">
        <f t="shared" si="4"/>
        <v>3</v>
      </c>
      <c r="J12" s="33">
        <f t="shared" si="5"/>
        <v>0</v>
      </c>
      <c r="K12" s="34">
        <f t="shared" si="6"/>
        <v>0</v>
      </c>
    </row>
    <row r="13" spans="1:59" ht="13.9" customHeight="1" x14ac:dyDescent="0.4">
      <c r="A13" s="16" t="s">
        <v>10</v>
      </c>
      <c r="B13" s="18">
        <v>0.1</v>
      </c>
      <c r="C13" s="10"/>
      <c r="D13" s="10"/>
      <c r="E13" s="32">
        <f t="shared" si="8"/>
        <v>10</v>
      </c>
      <c r="F13" s="33">
        <f t="shared" si="1"/>
        <v>1.5</v>
      </c>
      <c r="G13" s="33">
        <f t="shared" si="7"/>
        <v>76.515000000000001</v>
      </c>
      <c r="H13" s="33">
        <f t="shared" si="3"/>
        <v>2000</v>
      </c>
      <c r="I13" s="33">
        <f t="shared" si="4"/>
        <v>3</v>
      </c>
      <c r="J13" s="33">
        <f t="shared" si="5"/>
        <v>0</v>
      </c>
      <c r="K13" s="34">
        <f t="shared" si="6"/>
        <v>0</v>
      </c>
      <c r="M13" s="1" t="s">
        <v>0</v>
      </c>
    </row>
    <row r="14" spans="1:59" ht="13.9" customHeight="1" thickBot="1" x14ac:dyDescent="0.45">
      <c r="A14" s="19" t="s">
        <v>11</v>
      </c>
      <c r="B14" s="21">
        <v>1E-3</v>
      </c>
      <c r="C14" s="10"/>
      <c r="D14" s="10"/>
      <c r="E14" s="32">
        <f t="shared" si="8"/>
        <v>11</v>
      </c>
      <c r="F14" s="33">
        <f t="shared" si="1"/>
        <v>1.5</v>
      </c>
      <c r="G14" s="33">
        <f t="shared" si="7"/>
        <v>76.515000000000001</v>
      </c>
      <c r="H14" s="33">
        <f t="shared" si="3"/>
        <v>2000</v>
      </c>
      <c r="I14" s="33">
        <f t="shared" si="4"/>
        <v>3</v>
      </c>
      <c r="J14" s="33">
        <f t="shared" si="5"/>
        <v>0</v>
      </c>
      <c r="K14" s="34">
        <f t="shared" si="6"/>
        <v>0</v>
      </c>
    </row>
    <row r="15" spans="1:59" ht="13.9" customHeight="1" thickBot="1" x14ac:dyDescent="0.45">
      <c r="A15" s="10"/>
      <c r="B15" s="10"/>
      <c r="C15" s="11" t="s">
        <v>0</v>
      </c>
      <c r="D15" s="11"/>
      <c r="E15" s="32">
        <f t="shared" si="8"/>
        <v>12</v>
      </c>
      <c r="F15" s="33">
        <f t="shared" si="1"/>
        <v>1.5</v>
      </c>
      <c r="G15" s="33">
        <f t="shared" si="7"/>
        <v>76.515000000000001</v>
      </c>
      <c r="H15" s="33">
        <f t="shared" si="3"/>
        <v>2000</v>
      </c>
      <c r="I15" s="33">
        <f t="shared" si="4"/>
        <v>3</v>
      </c>
      <c r="J15" s="33">
        <f t="shared" si="5"/>
        <v>0</v>
      </c>
      <c r="K15" s="34">
        <f t="shared" si="6"/>
        <v>0</v>
      </c>
    </row>
    <row r="16" spans="1:59" ht="13.9" customHeight="1" x14ac:dyDescent="0.4">
      <c r="A16" s="38" t="s">
        <v>27</v>
      </c>
      <c r="B16" s="42" t="s">
        <v>28</v>
      </c>
      <c r="C16" s="43" t="s">
        <v>29</v>
      </c>
      <c r="D16" s="11"/>
      <c r="E16" s="32">
        <f t="shared" si="8"/>
        <v>13</v>
      </c>
      <c r="F16" s="33">
        <f t="shared" si="1"/>
        <v>1.5</v>
      </c>
      <c r="G16" s="33">
        <f t="shared" si="7"/>
        <v>76.515000000000001</v>
      </c>
      <c r="H16" s="33">
        <f t="shared" si="3"/>
        <v>2000</v>
      </c>
      <c r="I16" s="33">
        <f t="shared" si="4"/>
        <v>3</v>
      </c>
      <c r="J16" s="33">
        <f t="shared" si="5"/>
        <v>0</v>
      </c>
      <c r="K16" s="34">
        <f t="shared" si="6"/>
        <v>0</v>
      </c>
    </row>
    <row r="17" spans="1:11" ht="13.9" customHeight="1" x14ac:dyDescent="0.4">
      <c r="A17" s="16" t="s">
        <v>30</v>
      </c>
      <c r="B17" s="17">
        <v>100</v>
      </c>
      <c r="C17" s="18">
        <v>100</v>
      </c>
      <c r="D17" s="11"/>
      <c r="E17" s="32">
        <f t="shared" si="8"/>
        <v>14</v>
      </c>
      <c r="F17" s="33">
        <f t="shared" si="1"/>
        <v>1.5</v>
      </c>
      <c r="G17" s="33">
        <f t="shared" si="7"/>
        <v>76.515000000000001</v>
      </c>
      <c r="H17" s="33">
        <f t="shared" si="3"/>
        <v>2000</v>
      </c>
      <c r="I17" s="33">
        <f t="shared" si="4"/>
        <v>3</v>
      </c>
      <c r="J17" s="33">
        <f t="shared" si="5"/>
        <v>0</v>
      </c>
      <c r="K17" s="34">
        <f t="shared" si="6"/>
        <v>0</v>
      </c>
    </row>
    <row r="18" spans="1:11" ht="13.9" customHeight="1" x14ac:dyDescent="0.4">
      <c r="A18" s="16" t="s">
        <v>31</v>
      </c>
      <c r="B18" s="17">
        <v>3</v>
      </c>
      <c r="C18" s="18">
        <v>3</v>
      </c>
      <c r="D18" s="11"/>
      <c r="E18" s="32">
        <f t="shared" si="8"/>
        <v>15</v>
      </c>
      <c r="F18" s="33">
        <f t="shared" si="1"/>
        <v>1.5</v>
      </c>
      <c r="G18" s="33">
        <f t="shared" si="7"/>
        <v>76.515000000000001</v>
      </c>
      <c r="H18" s="33">
        <f t="shared" si="3"/>
        <v>2000</v>
      </c>
      <c r="I18" s="33">
        <f t="shared" si="4"/>
        <v>3</v>
      </c>
      <c r="J18" s="33">
        <f t="shared" si="5"/>
        <v>0</v>
      </c>
      <c r="K18" s="34">
        <f t="shared" si="6"/>
        <v>0</v>
      </c>
    </row>
    <row r="19" spans="1:11" ht="13.9" customHeight="1" x14ac:dyDescent="0.4">
      <c r="A19" s="16" t="s">
        <v>32</v>
      </c>
      <c r="B19" s="17">
        <v>500</v>
      </c>
      <c r="C19" s="18">
        <v>500</v>
      </c>
      <c r="D19" s="11"/>
      <c r="E19" s="32">
        <f t="shared" si="8"/>
        <v>16</v>
      </c>
      <c r="F19" s="33">
        <f t="shared" si="1"/>
        <v>1.5</v>
      </c>
      <c r="G19" s="33">
        <f t="shared" si="7"/>
        <v>76.515000000000001</v>
      </c>
      <c r="H19" s="33">
        <f t="shared" si="3"/>
        <v>2000</v>
      </c>
      <c r="I19" s="33">
        <f t="shared" si="4"/>
        <v>3</v>
      </c>
      <c r="J19" s="33">
        <f t="shared" si="5"/>
        <v>0</v>
      </c>
      <c r="K19" s="34">
        <f t="shared" si="6"/>
        <v>0</v>
      </c>
    </row>
    <row r="20" spans="1:11" ht="13.9" customHeight="1" x14ac:dyDescent="0.4">
      <c r="A20" s="16" t="s">
        <v>33</v>
      </c>
      <c r="B20" s="17">
        <v>0</v>
      </c>
      <c r="C20" s="18">
        <v>0</v>
      </c>
      <c r="D20" s="11"/>
      <c r="E20" s="32">
        <f t="shared" si="8"/>
        <v>17</v>
      </c>
      <c r="F20" s="33">
        <f t="shared" si="1"/>
        <v>1.5</v>
      </c>
      <c r="G20" s="33">
        <f t="shared" si="7"/>
        <v>76.515000000000001</v>
      </c>
      <c r="H20" s="33">
        <f t="shared" si="3"/>
        <v>2000</v>
      </c>
      <c r="I20" s="33">
        <f t="shared" si="4"/>
        <v>3</v>
      </c>
      <c r="J20" s="33">
        <f t="shared" si="5"/>
        <v>0</v>
      </c>
      <c r="K20" s="34">
        <f t="shared" si="6"/>
        <v>0</v>
      </c>
    </row>
    <row r="21" spans="1:11" ht="13.9" customHeight="1" thickBot="1" x14ac:dyDescent="0.45">
      <c r="A21" s="19" t="s">
        <v>34</v>
      </c>
      <c r="B21" s="20">
        <v>2000</v>
      </c>
      <c r="C21" s="21">
        <v>2000</v>
      </c>
      <c r="D21" s="10"/>
      <c r="E21" s="32">
        <f t="shared" si="8"/>
        <v>18</v>
      </c>
      <c r="F21" s="33">
        <f t="shared" si="1"/>
        <v>1.5</v>
      </c>
      <c r="G21" s="33">
        <f t="shared" si="7"/>
        <v>76.515000000000001</v>
      </c>
      <c r="H21" s="33">
        <f t="shared" si="3"/>
        <v>2000</v>
      </c>
      <c r="I21" s="33">
        <f t="shared" si="4"/>
        <v>3</v>
      </c>
      <c r="J21" s="33">
        <f t="shared" si="5"/>
        <v>0</v>
      </c>
      <c r="K21" s="34">
        <f t="shared" si="6"/>
        <v>0</v>
      </c>
    </row>
    <row r="22" spans="1:11" ht="13.9" customHeight="1" thickBot="1" x14ac:dyDescent="0.45">
      <c r="A22" s="10"/>
      <c r="B22" s="10"/>
      <c r="C22" s="10"/>
      <c r="D22" s="12"/>
      <c r="E22" s="32">
        <f t="shared" si="8"/>
        <v>19</v>
      </c>
      <c r="F22" s="33">
        <f t="shared" si="1"/>
        <v>1.5</v>
      </c>
      <c r="G22" s="33">
        <f t="shared" si="7"/>
        <v>76.515000000000001</v>
      </c>
      <c r="H22" s="33">
        <f t="shared" si="3"/>
        <v>2000</v>
      </c>
      <c r="I22" s="33">
        <f t="shared" si="4"/>
        <v>3</v>
      </c>
      <c r="J22" s="33">
        <f t="shared" si="5"/>
        <v>0</v>
      </c>
      <c r="K22" s="34">
        <f t="shared" si="6"/>
        <v>0</v>
      </c>
    </row>
    <row r="23" spans="1:11" ht="13.9" customHeight="1" x14ac:dyDescent="0.4">
      <c r="A23" s="38" t="s">
        <v>35</v>
      </c>
      <c r="B23" s="42" t="s">
        <v>36</v>
      </c>
      <c r="C23" s="43" t="s">
        <v>37</v>
      </c>
      <c r="D23" s="10"/>
      <c r="E23" s="32">
        <f t="shared" si="8"/>
        <v>20</v>
      </c>
      <c r="F23" s="33">
        <f t="shared" si="1"/>
        <v>1.5</v>
      </c>
      <c r="G23" s="33">
        <f t="shared" si="7"/>
        <v>76.515000000000001</v>
      </c>
      <c r="H23" s="33">
        <f t="shared" si="3"/>
        <v>2000</v>
      </c>
      <c r="I23" s="33">
        <f t="shared" si="4"/>
        <v>3</v>
      </c>
      <c r="J23" s="33">
        <f t="shared" si="5"/>
        <v>0</v>
      </c>
      <c r="K23" s="34">
        <f t="shared" si="6"/>
        <v>0</v>
      </c>
    </row>
    <row r="24" spans="1:11" ht="13.9" customHeight="1" x14ac:dyDescent="0.4">
      <c r="A24" s="16" t="s">
        <v>7</v>
      </c>
      <c r="B24" s="22">
        <f>m_0-Psi*ypot_0+Theta*iext_0</f>
        <v>1.5</v>
      </c>
      <c r="C24" s="23">
        <f>m_1-Psi*ypot_1+Theta*iext_1</f>
        <v>1.5</v>
      </c>
      <c r="D24" s="10"/>
      <c r="E24" s="32">
        <f t="shared" si="8"/>
        <v>21</v>
      </c>
      <c r="F24" s="33">
        <f t="shared" si="1"/>
        <v>1.5</v>
      </c>
      <c r="G24" s="33">
        <f t="shared" si="7"/>
        <v>76.515000000000001</v>
      </c>
      <c r="H24" s="33">
        <f t="shared" si="3"/>
        <v>2000</v>
      </c>
      <c r="I24" s="33">
        <f t="shared" si="4"/>
        <v>3</v>
      </c>
      <c r="J24" s="33">
        <f t="shared" si="5"/>
        <v>0</v>
      </c>
      <c r="K24" s="34">
        <f t="shared" si="6"/>
        <v>0</v>
      </c>
    </row>
    <row r="25" spans="1:11" ht="13.9" customHeight="1" thickBot="1" x14ac:dyDescent="0.45">
      <c r="A25" s="19" t="s">
        <v>8</v>
      </c>
      <c r="B25" s="24">
        <f>m_0-Beta0_0/Beta1-((1-Psi*Beta1)/Beta1)*ypot_0+((Theta*Beta1+Beta2)/Beta1)*iext_0</f>
        <v>76.515000000000001</v>
      </c>
      <c r="C25" s="25">
        <f>m_1-Beta0_1/Beta1-((1-Psi*Beta1)/Beta1)*ypot_1+((Theta*Beta1+Beta2)/Beta1)*iext_1</f>
        <v>76.515000000000001</v>
      </c>
      <c r="D25" s="10"/>
      <c r="E25" s="32">
        <f t="shared" si="8"/>
        <v>22</v>
      </c>
      <c r="F25" s="33">
        <f t="shared" si="1"/>
        <v>1.5</v>
      </c>
      <c r="G25" s="33">
        <f t="shared" si="7"/>
        <v>76.515000000000001</v>
      </c>
      <c r="H25" s="33">
        <f t="shared" si="3"/>
        <v>2000</v>
      </c>
      <c r="I25" s="33">
        <f t="shared" si="4"/>
        <v>3</v>
      </c>
      <c r="J25" s="33">
        <f t="shared" si="5"/>
        <v>0</v>
      </c>
      <c r="K25" s="34">
        <f t="shared" si="6"/>
        <v>0</v>
      </c>
    </row>
    <row r="26" spans="1:11" ht="13.9" customHeight="1" thickBot="1" x14ac:dyDescent="0.45">
      <c r="A26" s="10"/>
      <c r="B26" s="10"/>
      <c r="C26" s="10"/>
      <c r="D26" s="10"/>
      <c r="E26" s="32">
        <f t="shared" si="8"/>
        <v>23</v>
      </c>
      <c r="F26" s="33">
        <f t="shared" si="1"/>
        <v>1.5</v>
      </c>
      <c r="G26" s="33">
        <f t="shared" si="7"/>
        <v>76.515000000000001</v>
      </c>
      <c r="H26" s="33">
        <f t="shared" si="3"/>
        <v>2000</v>
      </c>
      <c r="I26" s="33">
        <f t="shared" si="4"/>
        <v>3</v>
      </c>
      <c r="J26" s="33">
        <f t="shared" si="5"/>
        <v>0</v>
      </c>
      <c r="K26" s="34">
        <f t="shared" si="6"/>
        <v>0</v>
      </c>
    </row>
    <row r="27" spans="1:11" ht="13.9" customHeight="1" x14ac:dyDescent="0.4">
      <c r="A27" s="38" t="s">
        <v>38</v>
      </c>
      <c r="B27" s="42" t="s">
        <v>39</v>
      </c>
      <c r="C27" s="43" t="s">
        <v>40</v>
      </c>
      <c r="D27" s="10"/>
      <c r="E27" s="32">
        <f t="shared" si="8"/>
        <v>24</v>
      </c>
      <c r="F27" s="33">
        <f t="shared" si="1"/>
        <v>1.5</v>
      </c>
      <c r="G27" s="33">
        <f t="shared" si="7"/>
        <v>76.515000000000001</v>
      </c>
      <c r="H27" s="33">
        <f t="shared" si="3"/>
        <v>2000</v>
      </c>
      <c r="I27" s="33">
        <f t="shared" si="4"/>
        <v>3</v>
      </c>
      <c r="J27" s="33">
        <f t="shared" si="5"/>
        <v>0</v>
      </c>
      <c r="K27" s="34">
        <f t="shared" si="6"/>
        <v>0</v>
      </c>
    </row>
    <row r="28" spans="1:11" ht="13.9" customHeight="1" x14ac:dyDescent="0.55000000000000004">
      <c r="A28" s="26" t="s">
        <v>12</v>
      </c>
      <c r="B28" s="27">
        <f>IF((Beta1*Mi+Beta2*Mi/Theta)^2+4*Beta1*Mi/Theta&gt;0,(-(Beta1*Mi+Beta2*Mi/Theta)-((Beta1*Mi+Beta2*Mi/Theta)^2+4*Beta1*Mi/Theta)^0.5)/2,(-(Beta1*Mi+Beta2*Mi/Theta))/2)</f>
        <v>-0.21035486261262171</v>
      </c>
      <c r="C28" s="28">
        <f>IF((Beta1*Mi+Beta2*Mi/Theta)^2+4*Beta1*Mi/Theta&gt;0, 0, -SQRT(-(Beta1*Mi+Beta2*Mi/Theta)^2+4*Beta1*Mi/Theta)/2)</f>
        <v>0</v>
      </c>
      <c r="D28" s="10"/>
      <c r="E28" s="32">
        <f t="shared" si="8"/>
        <v>25</v>
      </c>
      <c r="F28" s="33">
        <f t="shared" si="1"/>
        <v>1.5</v>
      </c>
      <c r="G28" s="33">
        <f t="shared" si="7"/>
        <v>76.515000000000001</v>
      </c>
      <c r="H28" s="33">
        <f t="shared" si="3"/>
        <v>2000</v>
      </c>
      <c r="I28" s="33">
        <f t="shared" si="4"/>
        <v>3</v>
      </c>
      <c r="J28" s="33">
        <f t="shared" si="5"/>
        <v>0</v>
      </c>
      <c r="K28" s="34">
        <f t="shared" si="6"/>
        <v>0</v>
      </c>
    </row>
    <row r="29" spans="1:11" ht="13.9" customHeight="1" thickBot="1" x14ac:dyDescent="0.6">
      <c r="A29" s="29" t="s">
        <v>13</v>
      </c>
      <c r="B29" s="30">
        <f>IF((Beta1*Mi+Beta2*Mi/Theta)^2+4*Beta1*Mi/Theta&gt;0,(-(Beta1*Mi+Beta2*Mi/Theta)+((Beta1*Mi+Beta2*Mi/Theta)^2+4*Beta1*Mi/Theta)^0.5)/2,(-(Beta1*Mi+Beta2*Mi/Theta))/2)</f>
        <v>0.19015486261262171</v>
      </c>
      <c r="C29" s="31">
        <f>IF((Beta1*Mi+Beta2*Mi/Theta)^2+4*Beta1*Mi/Theta&gt;0, 0, +SQRT(-(Beta1*Mi+Beta2*Mi/Theta)^2+4*Beta1*Mi/Theta)/2)</f>
        <v>0</v>
      </c>
      <c r="D29" s="10"/>
      <c r="E29" s="32">
        <f t="shared" si="8"/>
        <v>26</v>
      </c>
      <c r="F29" s="33">
        <f t="shared" si="1"/>
        <v>1.5</v>
      </c>
      <c r="G29" s="33">
        <f t="shared" si="7"/>
        <v>76.515000000000001</v>
      </c>
      <c r="H29" s="33">
        <f t="shared" si="3"/>
        <v>2000</v>
      </c>
      <c r="I29" s="33">
        <f t="shared" si="4"/>
        <v>3</v>
      </c>
      <c r="J29" s="33">
        <f t="shared" si="5"/>
        <v>0</v>
      </c>
      <c r="K29" s="34">
        <f t="shared" si="6"/>
        <v>0</v>
      </c>
    </row>
    <row r="30" spans="1:11" ht="13.9" customHeight="1" thickBot="1" x14ac:dyDescent="0.45">
      <c r="A30" s="10"/>
      <c r="B30" s="10"/>
      <c r="C30" s="10"/>
      <c r="D30" s="10"/>
      <c r="E30" s="32">
        <f t="shared" si="8"/>
        <v>27</v>
      </c>
      <c r="F30" s="33">
        <f t="shared" si="1"/>
        <v>1.5</v>
      </c>
      <c r="G30" s="33">
        <f t="shared" si="7"/>
        <v>76.515000000000001</v>
      </c>
      <c r="H30" s="33">
        <f t="shared" si="3"/>
        <v>2000</v>
      </c>
      <c r="I30" s="33">
        <f t="shared" si="4"/>
        <v>3</v>
      </c>
      <c r="J30" s="33">
        <f t="shared" si="5"/>
        <v>0</v>
      </c>
      <c r="K30" s="34">
        <f t="shared" si="6"/>
        <v>0</v>
      </c>
    </row>
    <row r="31" spans="1:11" ht="13.9" customHeight="1" x14ac:dyDescent="0.4">
      <c r="A31" s="38" t="s">
        <v>41</v>
      </c>
      <c r="B31" s="40"/>
      <c r="C31" s="10"/>
      <c r="D31" s="10"/>
      <c r="E31" s="32">
        <f t="shared" si="8"/>
        <v>28</v>
      </c>
      <c r="F31" s="33">
        <f t="shared" si="1"/>
        <v>1.5</v>
      </c>
      <c r="G31" s="33">
        <f t="shared" si="7"/>
        <v>76.515000000000001</v>
      </c>
      <c r="H31" s="33">
        <f t="shared" si="3"/>
        <v>2000</v>
      </c>
      <c r="I31" s="33">
        <f t="shared" si="4"/>
        <v>3</v>
      </c>
      <c r="J31" s="33">
        <f t="shared" si="5"/>
        <v>0</v>
      </c>
      <c r="K31" s="34">
        <f t="shared" si="6"/>
        <v>0</v>
      </c>
    </row>
    <row r="32" spans="1:11" ht="13.9" customHeight="1" x14ac:dyDescent="0.55000000000000004">
      <c r="A32" s="26" t="s">
        <v>42</v>
      </c>
      <c r="B32" s="28">
        <f>IF(C28=0,ABS(1+B28),SQRT((1+B28)^2+C28^2))</f>
        <v>0.78964513738737829</v>
      </c>
      <c r="C32" s="10"/>
      <c r="D32" s="10"/>
      <c r="E32" s="32">
        <f t="shared" si="8"/>
        <v>29</v>
      </c>
      <c r="F32" s="33">
        <f t="shared" si="1"/>
        <v>1.5</v>
      </c>
      <c r="G32" s="33">
        <f t="shared" si="7"/>
        <v>76.515000000000001</v>
      </c>
      <c r="H32" s="33">
        <f t="shared" si="3"/>
        <v>2000</v>
      </c>
      <c r="I32" s="33">
        <f t="shared" si="4"/>
        <v>3</v>
      </c>
      <c r="J32" s="33">
        <f t="shared" si="5"/>
        <v>0</v>
      </c>
      <c r="K32" s="34">
        <f t="shared" si="6"/>
        <v>0</v>
      </c>
    </row>
    <row r="33" spans="1:11" ht="13.9" customHeight="1" thickBot="1" x14ac:dyDescent="0.6">
      <c r="A33" s="29" t="s">
        <v>43</v>
      </c>
      <c r="B33" s="31">
        <f>IF(C29=0,ABS(1+B29),SQRT((1+B29)^2+C29^2))</f>
        <v>1.1901548626126217</v>
      </c>
      <c r="C33" s="10"/>
      <c r="D33" s="10"/>
      <c r="E33" s="35">
        <f t="shared" si="8"/>
        <v>30</v>
      </c>
      <c r="F33" s="36">
        <f t="shared" si="1"/>
        <v>1.5</v>
      </c>
      <c r="G33" s="36">
        <f t="shared" si="7"/>
        <v>76.515000000000001</v>
      </c>
      <c r="H33" s="36">
        <f t="shared" si="3"/>
        <v>2000</v>
      </c>
      <c r="I33" s="36">
        <f t="shared" si="4"/>
        <v>3</v>
      </c>
      <c r="J33" s="36">
        <f t="shared" si="5"/>
        <v>0</v>
      </c>
      <c r="K33" s="37">
        <f t="shared" si="6"/>
        <v>0</v>
      </c>
    </row>
    <row r="34" spans="1:11" ht="13.9" customHeight="1" x14ac:dyDescent="0.35">
      <c r="B34" s="6"/>
      <c r="E34" s="9"/>
      <c r="F34" s="7"/>
      <c r="G34" s="7"/>
      <c r="H34" s="8"/>
      <c r="I34" s="7"/>
      <c r="J34" s="7"/>
      <c r="K34" s="7"/>
    </row>
    <row r="35" spans="1:11" ht="13.9" customHeight="1" x14ac:dyDescent="0.35">
      <c r="E35" s="9"/>
      <c r="F35" s="7"/>
      <c r="G35" s="7"/>
      <c r="H35" s="8"/>
      <c r="I35" s="7"/>
      <c r="J35" s="7"/>
      <c r="K35" s="7"/>
    </row>
    <row r="36" spans="1:11" ht="13.9" customHeight="1" x14ac:dyDescent="0.35">
      <c r="E36" s="9"/>
      <c r="F36" s="7"/>
      <c r="G36" s="7"/>
      <c r="H36" s="8"/>
      <c r="I36" s="7"/>
      <c r="J36" s="7"/>
      <c r="K36" s="7"/>
    </row>
    <row r="37" spans="1:11" ht="13.9" customHeight="1" x14ac:dyDescent="0.35">
      <c r="E37" s="9"/>
      <c r="F37" s="7"/>
      <c r="G37" s="7"/>
      <c r="H37" s="8"/>
      <c r="I37" s="7"/>
      <c r="J37" s="7"/>
      <c r="K37" s="7"/>
    </row>
    <row r="38" spans="1:11" ht="13.9" customHeight="1" x14ac:dyDescent="0.4">
      <c r="D38" s="3"/>
      <c r="E38" s="9"/>
      <c r="F38" s="7"/>
      <c r="G38" s="7"/>
      <c r="H38" s="8"/>
      <c r="I38" s="7"/>
      <c r="J38" s="7"/>
      <c r="K38" s="7"/>
    </row>
    <row r="39" spans="1:11" ht="13.9" customHeight="1" x14ac:dyDescent="0.35">
      <c r="D39" s="5"/>
      <c r="E39" s="9"/>
      <c r="F39" s="7"/>
      <c r="G39" s="7"/>
      <c r="H39" s="8"/>
      <c r="I39" s="7"/>
      <c r="J39" s="7"/>
      <c r="K39" s="7"/>
    </row>
    <row r="40" spans="1:11" ht="13.9" customHeight="1" x14ac:dyDescent="0.35">
      <c r="D40" s="5"/>
      <c r="E40" s="9"/>
      <c r="F40" s="7"/>
      <c r="G40" s="7"/>
      <c r="H40" s="8"/>
      <c r="I40" s="7"/>
      <c r="J40" s="7"/>
      <c r="K40" s="7"/>
    </row>
    <row r="41" spans="1:11" ht="13.9" customHeight="1" x14ac:dyDescent="0.35">
      <c r="E41" s="9"/>
      <c r="F41" s="7"/>
      <c r="G41" s="7"/>
      <c r="H41" s="8"/>
      <c r="I41" s="7"/>
      <c r="J41" s="7"/>
      <c r="K41" s="7"/>
    </row>
    <row r="42" spans="1:11" x14ac:dyDescent="0.35">
      <c r="E42" s="9"/>
      <c r="F42" s="7"/>
      <c r="G42" s="7"/>
      <c r="H42" s="8"/>
      <c r="I42" s="7"/>
      <c r="J42" s="7"/>
      <c r="K42" s="7"/>
    </row>
    <row r="43" spans="1:11" x14ac:dyDescent="0.35">
      <c r="E43" s="9"/>
      <c r="F43" s="7"/>
      <c r="G43" s="7"/>
      <c r="H43" s="8"/>
      <c r="I43" s="7"/>
      <c r="J43" s="7"/>
      <c r="K43" s="7"/>
    </row>
  </sheetData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 r:id="rId1"/>
  <headerFooter alignWithMargins="0"/>
  <ignoredErrors>
    <ignoredError sqref="E6 E7:E33 F4 F3:K3 F5:K33 G4:K4 B24:C29 B32:B33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3984375" defaultRowHeight="12.75" x14ac:dyDescent="0.35"/>
  <sheetData/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3984375" defaultRowHeight="12.75" x14ac:dyDescent="0.35"/>
  <sheetData/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33</vt:i4>
      </vt:variant>
    </vt:vector>
  </HeadingPairs>
  <TitlesOfParts>
    <vt:vector size="36" baseType="lpstr">
      <vt:lpstr>Hoja1</vt:lpstr>
      <vt:lpstr>Hoja2</vt:lpstr>
      <vt:lpstr>Hoja3</vt:lpstr>
      <vt:lpstr>Beta0_0</vt:lpstr>
      <vt:lpstr>Beta0_1</vt:lpstr>
      <vt:lpstr>Beta1</vt:lpstr>
      <vt:lpstr>Beta2</vt:lpstr>
      <vt:lpstr>iext_0</vt:lpstr>
      <vt:lpstr>iext_1</vt:lpstr>
      <vt:lpstr>iext0</vt:lpstr>
      <vt:lpstr>iext1</vt:lpstr>
      <vt:lpstr>Lambda1</vt:lpstr>
      <vt:lpstr>Lambda2</vt:lpstr>
      <vt:lpstr>m_0</vt:lpstr>
      <vt:lpstr>m_1</vt:lpstr>
      <vt:lpstr>Mi</vt:lpstr>
      <vt:lpstr>money0</vt:lpstr>
      <vt:lpstr>money1</vt:lpstr>
      <vt:lpstr>pbar_0</vt:lpstr>
      <vt:lpstr>pbar_1</vt:lpstr>
      <vt:lpstr>pbar0</vt:lpstr>
      <vt:lpstr>pbar1</vt:lpstr>
      <vt:lpstr>pext_0</vt:lpstr>
      <vt:lpstr>pext_1</vt:lpstr>
      <vt:lpstr>pext0</vt:lpstr>
      <vt:lpstr>pext1</vt:lpstr>
      <vt:lpstr>Psi</vt:lpstr>
      <vt:lpstr>sbar_0</vt:lpstr>
      <vt:lpstr>sbar_1</vt:lpstr>
      <vt:lpstr>sbar0</vt:lpstr>
      <vt:lpstr>sbar1</vt:lpstr>
      <vt:lpstr>Theta</vt:lpstr>
      <vt:lpstr>ypot_0</vt:lpstr>
      <vt:lpstr>ypot_1</vt:lpstr>
      <vt:lpstr>ypot0</vt:lpstr>
      <vt:lpstr>ypot1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JoseLuis</dc:creator>
  <cp:lastModifiedBy>Paul McNelis</cp:lastModifiedBy>
  <dcterms:created xsi:type="dcterms:W3CDTF">2009-07-04T07:41:09Z</dcterms:created>
  <dcterms:modified xsi:type="dcterms:W3CDTF">2026-05-27T09:59:47Z</dcterms:modified>
</cp:coreProperties>
</file>