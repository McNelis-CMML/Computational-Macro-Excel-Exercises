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int110676\Dropbox\ComputMacro\EXCEL-ICM\"/>
    </mc:Choice>
  </mc:AlternateContent>
  <xr:revisionPtr revIDLastSave="0" documentId="13_ncr:1_{165FCE5C-11F2-4E95-AEEC-47E27CB599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arams" sheetId="1" r:id="rId1"/>
    <sheet name="S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N2" i="2"/>
  <c r="M2" i="2"/>
  <c r="C3" i="2"/>
  <c r="B3" i="2"/>
  <c r="F3" i="2" s="1"/>
  <c r="B2" i="2"/>
  <c r="A2" i="2" a="1"/>
  <c r="A2" i="2" s="1"/>
  <c r="B17" i="1"/>
  <c r="B16" i="1"/>
  <c r="B15" i="1"/>
  <c r="B14" i="1"/>
  <c r="B19" i="1" l="1"/>
  <c r="B18" i="1"/>
  <c r="B20" i="1"/>
  <c r="F4" i="2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B13" i="1" l="1"/>
  <c r="B12" i="1"/>
  <c r="E3" i="2" s="1"/>
  <c r="G3" i="2" s="1"/>
  <c r="J3" i="2" s="1"/>
  <c r="K3" i="2" s="1"/>
  <c r="L3" i="2" l="1"/>
  <c r="M3" i="2" s="1"/>
  <c r="N3" i="2"/>
  <c r="C4" i="2"/>
  <c r="E4" i="2" l="1"/>
  <c r="G4" i="2" l="1"/>
  <c r="J4" i="2" s="1"/>
  <c r="K4" i="2" s="1"/>
  <c r="L4" i="2" s="1"/>
  <c r="M4" i="2" s="1"/>
  <c r="O4" i="2"/>
  <c r="C5" i="2"/>
  <c r="E5" i="2" s="1"/>
  <c r="N4" i="2"/>
  <c r="G5" i="2" l="1"/>
  <c r="J5" i="2" s="1"/>
  <c r="K5" i="2" s="1"/>
  <c r="L5" i="2" s="1"/>
  <c r="M5" i="2" s="1"/>
  <c r="O5" i="2"/>
  <c r="N5" i="2" l="1"/>
  <c r="C6" i="2"/>
  <c r="E6" i="2" s="1"/>
  <c r="O6" i="2" s="1"/>
  <c r="G6" i="2" l="1"/>
  <c r="J6" i="2" s="1"/>
  <c r="K6" i="2" s="1"/>
  <c r="C7" i="2" s="1"/>
  <c r="E7" i="2" s="1"/>
  <c r="O7" i="2" s="1"/>
  <c r="N6" i="2"/>
  <c r="L6" i="2" l="1"/>
  <c r="M6" i="2" s="1"/>
  <c r="G7" i="2"/>
  <c r="J7" i="2" s="1"/>
  <c r="K7" i="2" s="1"/>
  <c r="C8" i="2" s="1"/>
  <c r="L7" i="2" l="1"/>
  <c r="M7" i="2" s="1"/>
  <c r="N7" i="2"/>
  <c r="E8" i="2"/>
  <c r="O8" i="2" s="1"/>
  <c r="G8" i="2" l="1"/>
  <c r="J8" i="2" s="1"/>
  <c r="K8" i="2" s="1"/>
  <c r="C9" i="2" s="1"/>
  <c r="L8" i="2" l="1"/>
  <c r="M8" i="2" s="1"/>
  <c r="N8" i="2"/>
  <c r="E9" i="2"/>
  <c r="O9" i="2" s="1"/>
  <c r="G9" i="2" l="1"/>
  <c r="J9" i="2" s="1"/>
  <c r="K9" i="2" s="1"/>
  <c r="C10" i="2" s="1"/>
  <c r="L9" i="2" l="1"/>
  <c r="M9" i="2" s="1"/>
  <c r="N9" i="2"/>
  <c r="E10" i="2"/>
  <c r="O10" i="2" s="1"/>
  <c r="G10" i="2" l="1"/>
  <c r="J10" i="2" s="1"/>
  <c r="K10" i="2" s="1"/>
  <c r="C11" i="2" s="1"/>
  <c r="L10" i="2" l="1"/>
  <c r="M10" i="2" s="1"/>
  <c r="N10" i="2"/>
  <c r="E11" i="2"/>
  <c r="O11" i="2" s="1"/>
  <c r="G11" i="2" l="1"/>
  <c r="J11" i="2" s="1"/>
  <c r="K11" i="2" s="1"/>
  <c r="C12" i="2" s="1"/>
  <c r="L11" i="2" l="1"/>
  <c r="M11" i="2" s="1"/>
  <c r="N11" i="2"/>
  <c r="E12" i="2"/>
  <c r="O12" i="2" s="1"/>
  <c r="G12" i="2" l="1"/>
  <c r="J12" i="2" s="1"/>
  <c r="K12" i="2" s="1"/>
  <c r="C13" i="2" s="1"/>
  <c r="L12" i="2" l="1"/>
  <c r="M12" i="2" s="1"/>
  <c r="N12" i="2"/>
  <c r="E13" i="2"/>
  <c r="O13" i="2" s="1"/>
  <c r="G13" i="2" l="1"/>
  <c r="J13" i="2" s="1"/>
  <c r="K13" i="2" s="1"/>
  <c r="C14" i="2" s="1"/>
  <c r="L13" i="2" l="1"/>
  <c r="M13" i="2" s="1"/>
  <c r="N13" i="2"/>
  <c r="E14" i="2"/>
  <c r="O14" i="2" s="1"/>
  <c r="G14" i="2" l="1"/>
  <c r="J14" i="2" s="1"/>
  <c r="K14" i="2" s="1"/>
  <c r="C15" i="2" s="1"/>
  <c r="L14" i="2" l="1"/>
  <c r="M14" i="2" s="1"/>
  <c r="N14" i="2"/>
  <c r="E15" i="2"/>
  <c r="O15" i="2" s="1"/>
  <c r="G15" i="2" l="1"/>
  <c r="J15" i="2" s="1"/>
  <c r="K15" i="2" s="1"/>
  <c r="C16" i="2" s="1"/>
  <c r="L15" i="2" l="1"/>
  <c r="M15" i="2" s="1"/>
  <c r="N15" i="2"/>
  <c r="E16" i="2"/>
  <c r="O16" i="2" s="1"/>
  <c r="G16" i="2" l="1"/>
  <c r="J16" i="2" s="1"/>
  <c r="K16" i="2" s="1"/>
  <c r="C17" i="2" s="1"/>
  <c r="L16" i="2" l="1"/>
  <c r="M16" i="2" s="1"/>
  <c r="N16" i="2"/>
  <c r="E17" i="2"/>
  <c r="O17" i="2" s="1"/>
  <c r="G17" i="2" l="1"/>
  <c r="J17" i="2" s="1"/>
  <c r="K17" i="2" s="1"/>
  <c r="C18" i="2" s="1"/>
  <c r="L17" i="2" l="1"/>
  <c r="M17" i="2" s="1"/>
  <c r="N17" i="2"/>
  <c r="E18" i="2"/>
  <c r="O18" i="2" s="1"/>
  <c r="G18" i="2" l="1"/>
  <c r="J18" i="2" s="1"/>
  <c r="K18" i="2" s="1"/>
  <c r="C19" i="2" s="1"/>
  <c r="L18" i="2" l="1"/>
  <c r="M18" i="2" s="1"/>
  <c r="N18" i="2"/>
  <c r="E19" i="2"/>
  <c r="O19" i="2" s="1"/>
  <c r="G19" i="2" l="1"/>
  <c r="J19" i="2" s="1"/>
  <c r="K19" i="2" s="1"/>
  <c r="C20" i="2" s="1"/>
  <c r="L19" i="2" l="1"/>
  <c r="M19" i="2" s="1"/>
  <c r="N19" i="2"/>
  <c r="E20" i="2"/>
  <c r="O20" i="2" s="1"/>
  <c r="G20" i="2" l="1"/>
  <c r="J20" i="2" s="1"/>
  <c r="K20" i="2" s="1"/>
  <c r="C21" i="2" s="1"/>
  <c r="L20" i="2" l="1"/>
  <c r="M20" i="2" s="1"/>
  <c r="N20" i="2"/>
  <c r="E21" i="2"/>
  <c r="O21" i="2" s="1"/>
  <c r="G21" i="2" l="1"/>
  <c r="J21" i="2" s="1"/>
  <c r="K21" i="2" s="1"/>
  <c r="C22" i="2" s="1"/>
  <c r="L21" i="2" l="1"/>
  <c r="M21" i="2" s="1"/>
  <c r="N21" i="2"/>
  <c r="E22" i="2"/>
  <c r="O22" i="2" s="1"/>
  <c r="G22" i="2" l="1"/>
  <c r="J22" i="2" s="1"/>
  <c r="K22" i="2" s="1"/>
  <c r="C23" i="2" s="1"/>
  <c r="L22" i="2" l="1"/>
  <c r="M22" i="2" s="1"/>
  <c r="N22" i="2"/>
  <c r="E23" i="2"/>
  <c r="O23" i="2" s="1"/>
  <c r="G23" i="2" l="1"/>
  <c r="J23" i="2" s="1"/>
  <c r="K23" i="2" s="1"/>
  <c r="C24" i="2" s="1"/>
  <c r="L23" i="2" l="1"/>
  <c r="M23" i="2" s="1"/>
  <c r="N23" i="2"/>
  <c r="E24" i="2"/>
  <c r="O24" i="2" s="1"/>
  <c r="G24" i="2" l="1"/>
  <c r="J24" i="2" s="1"/>
  <c r="K24" i="2" s="1"/>
  <c r="C25" i="2" s="1"/>
  <c r="L24" i="2" l="1"/>
  <c r="M24" i="2" s="1"/>
  <c r="N24" i="2"/>
  <c r="E25" i="2"/>
  <c r="O25" i="2" s="1"/>
  <c r="G25" i="2" l="1"/>
  <c r="J25" i="2" s="1"/>
  <c r="K25" i="2" s="1"/>
  <c r="C26" i="2" s="1"/>
  <c r="L25" i="2" l="1"/>
  <c r="M25" i="2" s="1"/>
  <c r="N25" i="2"/>
  <c r="E26" i="2"/>
  <c r="O26" i="2" s="1"/>
  <c r="G26" i="2" l="1"/>
  <c r="J26" i="2" s="1"/>
  <c r="K26" i="2" s="1"/>
  <c r="C27" i="2" s="1"/>
  <c r="L26" i="2" l="1"/>
  <c r="M26" i="2" s="1"/>
  <c r="N26" i="2"/>
  <c r="E27" i="2"/>
  <c r="O27" i="2" s="1"/>
  <c r="G27" i="2" l="1"/>
  <c r="J27" i="2" s="1"/>
  <c r="K27" i="2" s="1"/>
  <c r="C28" i="2" s="1"/>
  <c r="L27" i="2" l="1"/>
  <c r="M27" i="2" s="1"/>
  <c r="N27" i="2"/>
  <c r="E28" i="2"/>
  <c r="O28" i="2" s="1"/>
  <c r="G28" i="2" l="1"/>
  <c r="J28" i="2" s="1"/>
  <c r="K28" i="2" s="1"/>
  <c r="C29" i="2" s="1"/>
  <c r="L28" i="2" l="1"/>
  <c r="M28" i="2" s="1"/>
  <c r="N28" i="2"/>
  <c r="E29" i="2"/>
  <c r="O29" i="2" s="1"/>
  <c r="G29" i="2" l="1"/>
  <c r="J29" i="2" s="1"/>
  <c r="K29" i="2" s="1"/>
  <c r="C30" i="2" s="1"/>
  <c r="L29" i="2" l="1"/>
  <c r="M29" i="2" s="1"/>
  <c r="N29" i="2"/>
  <c r="E30" i="2"/>
  <c r="O30" i="2" s="1"/>
  <c r="G30" i="2" l="1"/>
  <c r="J30" i="2" s="1"/>
  <c r="K30" i="2" s="1"/>
  <c r="C31" i="2" s="1"/>
  <c r="L30" i="2" l="1"/>
  <c r="M30" i="2" s="1"/>
  <c r="N30" i="2"/>
  <c r="E31" i="2"/>
  <c r="O31" i="2" s="1"/>
  <c r="G31" i="2" l="1"/>
  <c r="J31" i="2" s="1"/>
  <c r="K31" i="2" s="1"/>
  <c r="C32" i="2" s="1"/>
  <c r="L31" i="2" l="1"/>
  <c r="M31" i="2" s="1"/>
  <c r="N31" i="2"/>
  <c r="E32" i="2"/>
  <c r="O32" i="2" s="1"/>
  <c r="G32" i="2" l="1"/>
  <c r="J32" i="2" s="1"/>
  <c r="K32" i="2" s="1"/>
  <c r="C33" i="2" s="1"/>
  <c r="L32" i="2" l="1"/>
  <c r="M32" i="2" s="1"/>
  <c r="N32" i="2"/>
  <c r="E33" i="2"/>
  <c r="O33" i="2" s="1"/>
  <c r="G33" i="2" l="1"/>
  <c r="J33" i="2" s="1"/>
  <c r="K33" i="2" s="1"/>
  <c r="C34" i="2" s="1"/>
  <c r="L33" i="2" l="1"/>
  <c r="M33" i="2" s="1"/>
  <c r="N33" i="2"/>
  <c r="E34" i="2"/>
  <c r="O34" i="2" s="1"/>
  <c r="G34" i="2" l="1"/>
  <c r="J34" i="2" s="1"/>
  <c r="K34" i="2" s="1"/>
  <c r="C35" i="2" s="1"/>
  <c r="L34" i="2" l="1"/>
  <c r="M34" i="2" s="1"/>
  <c r="N34" i="2"/>
  <c r="E35" i="2"/>
  <c r="O35" i="2" s="1"/>
  <c r="G35" i="2" l="1"/>
  <c r="J35" i="2" s="1"/>
  <c r="K35" i="2" s="1"/>
  <c r="C36" i="2" s="1"/>
  <c r="L35" i="2" l="1"/>
  <c r="M35" i="2" s="1"/>
  <c r="N35" i="2"/>
  <c r="E36" i="2"/>
  <c r="O36" i="2" s="1"/>
  <c r="G36" i="2" l="1"/>
  <c r="J36" i="2" s="1"/>
  <c r="K36" i="2" s="1"/>
  <c r="C37" i="2" s="1"/>
  <c r="L36" i="2" l="1"/>
  <c r="M36" i="2" s="1"/>
  <c r="N36" i="2"/>
  <c r="E37" i="2"/>
  <c r="O37" i="2" s="1"/>
  <c r="G37" i="2" l="1"/>
  <c r="J37" i="2" s="1"/>
  <c r="K37" i="2" s="1"/>
  <c r="C38" i="2" s="1"/>
  <c r="L37" i="2" l="1"/>
  <c r="M37" i="2" s="1"/>
  <c r="N37" i="2"/>
  <c r="E38" i="2"/>
  <c r="O38" i="2" s="1"/>
  <c r="G38" i="2" l="1"/>
  <c r="J38" i="2" s="1"/>
  <c r="K38" i="2" s="1"/>
  <c r="C39" i="2" s="1"/>
  <c r="L38" i="2" l="1"/>
  <c r="M38" i="2" s="1"/>
  <c r="N38" i="2"/>
  <c r="E39" i="2"/>
  <c r="O39" i="2" s="1"/>
  <c r="G39" i="2" l="1"/>
  <c r="J39" i="2" s="1"/>
  <c r="K39" i="2" s="1"/>
  <c r="C40" i="2" s="1"/>
  <c r="L39" i="2" l="1"/>
  <c r="M39" i="2" s="1"/>
  <c r="N39" i="2"/>
  <c r="E40" i="2"/>
  <c r="O40" i="2" s="1"/>
  <c r="G40" i="2" l="1"/>
  <c r="J40" i="2" s="1"/>
  <c r="K40" i="2" s="1"/>
  <c r="C41" i="2" s="1"/>
  <c r="L40" i="2" l="1"/>
  <c r="M40" i="2" s="1"/>
  <c r="N40" i="2"/>
  <c r="E41" i="2"/>
  <c r="O41" i="2" s="1"/>
  <c r="G41" i="2" l="1"/>
  <c r="J41" i="2" s="1"/>
  <c r="K41" i="2" s="1"/>
  <c r="C42" i="2" s="1"/>
  <c r="L41" i="2" l="1"/>
  <c r="M41" i="2" s="1"/>
  <c r="N41" i="2"/>
  <c r="E42" i="2"/>
  <c r="O42" i="2" s="1"/>
  <c r="G42" i="2" l="1"/>
  <c r="J42" i="2" s="1"/>
  <c r="K42" i="2" s="1"/>
  <c r="C43" i="2" s="1"/>
  <c r="L42" i="2" l="1"/>
  <c r="M42" i="2" s="1"/>
  <c r="N42" i="2"/>
  <c r="E43" i="2"/>
  <c r="O43" i="2" s="1"/>
  <c r="G43" i="2" l="1"/>
  <c r="J43" i="2" s="1"/>
  <c r="K43" i="2" s="1"/>
  <c r="C44" i="2" s="1"/>
  <c r="E44" i="2" l="1"/>
  <c r="O44" i="2" s="1"/>
  <c r="L43" i="2"/>
  <c r="M43" i="2" s="1"/>
  <c r="N43" i="2"/>
  <c r="G44" i="2" l="1"/>
  <c r="J44" i="2" s="1"/>
  <c r="K44" i="2" s="1"/>
  <c r="C45" i="2" s="1"/>
  <c r="E45" i="2" s="1"/>
  <c r="O45" i="2" s="1"/>
  <c r="N44" i="2" l="1"/>
  <c r="L44" i="2"/>
  <c r="M44" i="2" s="1"/>
  <c r="G45" i="2" l="1"/>
  <c r="J45" i="2" s="1"/>
  <c r="K45" i="2" s="1"/>
  <c r="C46" i="2" s="1"/>
  <c r="E46" i="2" s="1"/>
  <c r="O46" i="2" s="1"/>
  <c r="N45" i="2" l="1"/>
  <c r="L45" i="2"/>
  <c r="M45" i="2" l="1"/>
  <c r="G46" i="2"/>
  <c r="J46" i="2" s="1"/>
  <c r="K46" i="2" s="1"/>
  <c r="L46" i="2" l="1"/>
  <c r="M46" i="2" s="1"/>
  <c r="C47" i="2"/>
  <c r="E47" i="2" s="1"/>
  <c r="N46" i="2"/>
  <c r="G47" i="2" l="1"/>
  <c r="J47" i="2" s="1"/>
  <c r="K47" i="2" s="1"/>
  <c r="C48" i="2" s="1"/>
  <c r="E48" i="2" s="1"/>
  <c r="O48" i="2" s="1"/>
  <c r="O47" i="2"/>
  <c r="N47" i="2"/>
  <c r="L47" i="2"/>
  <c r="M47" i="2" s="1"/>
  <c r="G48" i="2" l="1"/>
  <c r="J48" i="2" s="1"/>
  <c r="K48" i="2" s="1"/>
  <c r="C49" i="2" l="1"/>
  <c r="E49" i="2" s="1"/>
  <c r="O49" i="2" s="1"/>
  <c r="N48" i="2"/>
  <c r="L48" i="2"/>
  <c r="M48" i="2" s="1"/>
  <c r="G49" i="2" l="1"/>
  <c r="J49" i="2" s="1"/>
  <c r="K49" i="2" s="1"/>
  <c r="C50" i="2" s="1"/>
  <c r="E50" i="2" s="1"/>
  <c r="O50" i="2" s="1"/>
  <c r="L49" i="2" l="1"/>
  <c r="M49" i="2" s="1"/>
  <c r="N49" i="2"/>
  <c r="G50" i="2"/>
  <c r="J50" i="2" s="1"/>
  <c r="K50" i="2" s="1"/>
  <c r="C51" i="2" s="1"/>
  <c r="E51" i="2" s="1"/>
  <c r="O51" i="2" s="1"/>
  <c r="L50" i="2" l="1"/>
  <c r="M50" i="2" s="1"/>
  <c r="N50" i="2"/>
  <c r="G51" i="2"/>
  <c r="J51" i="2" s="1"/>
  <c r="K51" i="2" s="1"/>
  <c r="C52" i="2" s="1"/>
  <c r="L51" i="2" l="1"/>
  <c r="M51" i="2" s="1"/>
  <c r="N51" i="2"/>
  <c r="E52" i="2"/>
  <c r="O52" i="2" s="1"/>
  <c r="G52" i="2" l="1"/>
  <c r="J52" i="2" s="1"/>
  <c r="K52" i="2" s="1"/>
  <c r="C53" i="2" s="1"/>
  <c r="L52" i="2" l="1"/>
  <c r="M52" i="2" s="1"/>
  <c r="N52" i="2"/>
  <c r="E53" i="2"/>
  <c r="O53" i="2" s="1"/>
  <c r="G53" i="2" l="1"/>
  <c r="J53" i="2" s="1"/>
  <c r="K53" i="2" s="1"/>
  <c r="C54" i="2" s="1"/>
  <c r="L53" i="2" l="1"/>
  <c r="M53" i="2" s="1"/>
  <c r="N53" i="2"/>
  <c r="E54" i="2"/>
  <c r="O54" i="2" s="1"/>
  <c r="G54" i="2" l="1"/>
  <c r="J54" i="2" s="1"/>
  <c r="K54" i="2" s="1"/>
  <c r="C55" i="2" s="1"/>
  <c r="L54" i="2" l="1"/>
  <c r="M54" i="2" s="1"/>
  <c r="N54" i="2"/>
  <c r="E55" i="2"/>
  <c r="O55" i="2" s="1"/>
  <c r="G55" i="2" l="1"/>
  <c r="J55" i="2" s="1"/>
  <c r="K55" i="2" s="1"/>
  <c r="C56" i="2" s="1"/>
  <c r="L55" i="2" l="1"/>
  <c r="M55" i="2" s="1"/>
  <c r="N55" i="2"/>
  <c r="E56" i="2"/>
  <c r="O56" i="2" s="1"/>
  <c r="G56" i="2" l="1"/>
  <c r="J56" i="2" s="1"/>
  <c r="K56" i="2" s="1"/>
  <c r="C57" i="2" s="1"/>
  <c r="L56" i="2" l="1"/>
  <c r="M56" i="2" s="1"/>
  <c r="N56" i="2"/>
  <c r="E57" i="2"/>
  <c r="O57" i="2" s="1"/>
  <c r="G57" i="2" l="1"/>
  <c r="J57" i="2" s="1"/>
  <c r="K57" i="2" s="1"/>
  <c r="C58" i="2" s="1"/>
  <c r="L57" i="2" l="1"/>
  <c r="M57" i="2" s="1"/>
  <c r="N57" i="2"/>
  <c r="E58" i="2"/>
  <c r="O58" i="2" s="1"/>
  <c r="G58" i="2" l="1"/>
  <c r="J58" i="2" s="1"/>
  <c r="K58" i="2" s="1"/>
  <c r="C59" i="2" s="1"/>
  <c r="L58" i="2" l="1"/>
  <c r="M58" i="2" s="1"/>
  <c r="N58" i="2"/>
  <c r="E59" i="2"/>
  <c r="O59" i="2" s="1"/>
  <c r="G59" i="2" l="1"/>
  <c r="J59" i="2" s="1"/>
  <c r="K59" i="2" s="1"/>
  <c r="C60" i="2" s="1"/>
  <c r="L59" i="2" l="1"/>
  <c r="M59" i="2" s="1"/>
  <c r="N59" i="2"/>
  <c r="E60" i="2"/>
  <c r="O60" i="2" s="1"/>
  <c r="G60" i="2" l="1"/>
  <c r="J60" i="2" s="1"/>
  <c r="K60" i="2" s="1"/>
  <c r="C61" i="2" s="1"/>
  <c r="L60" i="2" l="1"/>
  <c r="M60" i="2" s="1"/>
  <c r="N60" i="2"/>
  <c r="E61" i="2"/>
  <c r="O61" i="2" s="1"/>
  <c r="G61" i="2" l="1"/>
  <c r="J61" i="2" s="1"/>
  <c r="K61" i="2" s="1"/>
  <c r="C62" i="2" s="1"/>
  <c r="L61" i="2" l="1"/>
  <c r="M61" i="2" s="1"/>
  <c r="N61" i="2"/>
  <c r="E62" i="2"/>
  <c r="O62" i="2" s="1"/>
  <c r="G62" i="2" l="1"/>
  <c r="J62" i="2" s="1"/>
  <c r="K62" i="2" s="1"/>
  <c r="C63" i="2" s="1"/>
  <c r="L62" i="2" l="1"/>
  <c r="M62" i="2" s="1"/>
  <c r="N62" i="2"/>
  <c r="E63" i="2"/>
  <c r="O63" i="2" s="1"/>
  <c r="G63" i="2" l="1"/>
  <c r="J63" i="2" s="1"/>
  <c r="K63" i="2" s="1"/>
  <c r="C64" i="2" s="1"/>
  <c r="L63" i="2" l="1"/>
  <c r="M63" i="2" s="1"/>
  <c r="N63" i="2"/>
  <c r="E64" i="2"/>
  <c r="O64" i="2" s="1"/>
  <c r="G64" i="2" l="1"/>
  <c r="J64" i="2" s="1"/>
  <c r="K64" i="2" s="1"/>
  <c r="C65" i="2" s="1"/>
  <c r="L64" i="2" l="1"/>
  <c r="M64" i="2" s="1"/>
  <c r="N64" i="2"/>
  <c r="E65" i="2"/>
  <c r="O65" i="2" s="1"/>
  <c r="G65" i="2" l="1"/>
  <c r="J65" i="2" s="1"/>
  <c r="K65" i="2" s="1"/>
  <c r="C66" i="2" s="1"/>
  <c r="L65" i="2" l="1"/>
  <c r="M65" i="2" s="1"/>
  <c r="N65" i="2"/>
  <c r="E66" i="2"/>
  <c r="O66" i="2" s="1"/>
  <c r="G66" i="2" l="1"/>
  <c r="J66" i="2" s="1"/>
  <c r="K66" i="2" s="1"/>
  <c r="C67" i="2" s="1"/>
  <c r="L66" i="2" l="1"/>
  <c r="M66" i="2" s="1"/>
  <c r="N66" i="2"/>
  <c r="E67" i="2"/>
  <c r="O67" i="2" s="1"/>
  <c r="G67" i="2" l="1"/>
  <c r="J67" i="2" s="1"/>
  <c r="K67" i="2" s="1"/>
  <c r="C68" i="2" s="1"/>
  <c r="L67" i="2" l="1"/>
  <c r="M67" i="2" s="1"/>
  <c r="N67" i="2"/>
  <c r="E68" i="2"/>
  <c r="O68" i="2" s="1"/>
  <c r="G68" i="2" l="1"/>
  <c r="J68" i="2" s="1"/>
  <c r="K68" i="2" s="1"/>
  <c r="C69" i="2" s="1"/>
  <c r="L68" i="2" l="1"/>
  <c r="M68" i="2" s="1"/>
  <c r="N68" i="2"/>
  <c r="E69" i="2"/>
  <c r="O69" i="2" s="1"/>
  <c r="G69" i="2" l="1"/>
  <c r="J69" i="2" s="1"/>
  <c r="K69" i="2" s="1"/>
  <c r="C70" i="2" s="1"/>
  <c r="L69" i="2" l="1"/>
  <c r="M69" i="2" s="1"/>
  <c r="N69" i="2"/>
  <c r="E70" i="2"/>
  <c r="O70" i="2" s="1"/>
  <c r="G70" i="2" l="1"/>
  <c r="J70" i="2" s="1"/>
  <c r="K70" i="2" s="1"/>
  <c r="C71" i="2" s="1"/>
  <c r="L70" i="2" l="1"/>
  <c r="M70" i="2" s="1"/>
  <c r="N70" i="2"/>
  <c r="E71" i="2"/>
  <c r="O71" i="2" s="1"/>
  <c r="G71" i="2" l="1"/>
  <c r="J71" i="2" s="1"/>
  <c r="K71" i="2" s="1"/>
  <c r="C72" i="2" s="1"/>
  <c r="L71" i="2" l="1"/>
  <c r="M71" i="2" s="1"/>
  <c r="N71" i="2"/>
  <c r="E72" i="2"/>
  <c r="O72" i="2" s="1"/>
  <c r="G72" i="2" l="1"/>
  <c r="J72" i="2" s="1"/>
  <c r="K72" i="2" s="1"/>
  <c r="C73" i="2" s="1"/>
  <c r="L72" i="2" l="1"/>
  <c r="M72" i="2" s="1"/>
  <c r="N72" i="2"/>
  <c r="E73" i="2"/>
  <c r="O73" i="2" s="1"/>
  <c r="G73" i="2" l="1"/>
  <c r="J73" i="2" s="1"/>
  <c r="K73" i="2" s="1"/>
  <c r="C74" i="2" s="1"/>
  <c r="L73" i="2" l="1"/>
  <c r="M73" i="2" s="1"/>
  <c r="N73" i="2"/>
  <c r="E74" i="2"/>
  <c r="O74" i="2" s="1"/>
  <c r="G74" i="2" l="1"/>
  <c r="J74" i="2" s="1"/>
  <c r="K74" i="2" s="1"/>
  <c r="C75" i="2" s="1"/>
  <c r="L74" i="2" l="1"/>
  <c r="M74" i="2" s="1"/>
  <c r="N74" i="2"/>
  <c r="E75" i="2"/>
  <c r="O75" i="2" s="1"/>
  <c r="G75" i="2" l="1"/>
  <c r="J75" i="2" s="1"/>
  <c r="K75" i="2" s="1"/>
  <c r="C76" i="2" s="1"/>
  <c r="L75" i="2" l="1"/>
  <c r="M75" i="2" s="1"/>
  <c r="N75" i="2"/>
  <c r="E76" i="2"/>
  <c r="O76" i="2" s="1"/>
  <c r="G76" i="2" l="1"/>
  <c r="J76" i="2" s="1"/>
  <c r="K76" i="2" s="1"/>
  <c r="C77" i="2" s="1"/>
  <c r="L76" i="2" l="1"/>
  <c r="M76" i="2" s="1"/>
  <c r="N76" i="2"/>
  <c r="E77" i="2"/>
  <c r="O77" i="2" s="1"/>
  <c r="G77" i="2" l="1"/>
  <c r="J77" i="2" s="1"/>
  <c r="K77" i="2" s="1"/>
  <c r="C78" i="2" s="1"/>
  <c r="L77" i="2" l="1"/>
  <c r="M77" i="2" s="1"/>
  <c r="N77" i="2"/>
  <c r="E78" i="2"/>
  <c r="O78" i="2" s="1"/>
  <c r="G78" i="2" l="1"/>
  <c r="J78" i="2" s="1"/>
  <c r="K78" i="2" s="1"/>
  <c r="C79" i="2" s="1"/>
  <c r="L78" i="2" l="1"/>
  <c r="M78" i="2" s="1"/>
  <c r="N78" i="2"/>
  <c r="E79" i="2"/>
  <c r="O79" i="2" s="1"/>
  <c r="G79" i="2" l="1"/>
  <c r="J79" i="2" s="1"/>
  <c r="K79" i="2" s="1"/>
  <c r="C80" i="2" s="1"/>
  <c r="L79" i="2" l="1"/>
  <c r="M79" i="2" s="1"/>
  <c r="N79" i="2"/>
  <c r="E80" i="2"/>
  <c r="O80" i="2" s="1"/>
  <c r="G80" i="2" l="1"/>
  <c r="J80" i="2" s="1"/>
  <c r="K80" i="2" s="1"/>
  <c r="C81" i="2" s="1"/>
  <c r="L80" i="2" l="1"/>
  <c r="M80" i="2" s="1"/>
  <c r="N80" i="2"/>
  <c r="E81" i="2"/>
  <c r="O81" i="2" s="1"/>
  <c r="G81" i="2" l="1"/>
  <c r="J81" i="2" s="1"/>
  <c r="K81" i="2" s="1"/>
  <c r="C82" i="2" s="1"/>
  <c r="L81" i="2" l="1"/>
  <c r="M81" i="2" s="1"/>
  <c r="N81" i="2"/>
  <c r="E82" i="2"/>
  <c r="O82" i="2" s="1"/>
  <c r="G82" i="2" l="1"/>
  <c r="J82" i="2" s="1"/>
  <c r="K82" i="2" s="1"/>
  <c r="C83" i="2" s="1"/>
  <c r="L82" i="2" l="1"/>
  <c r="M82" i="2" s="1"/>
  <c r="N82" i="2"/>
  <c r="E83" i="2"/>
  <c r="O83" i="2" s="1"/>
  <c r="G83" i="2" l="1"/>
  <c r="J83" i="2" s="1"/>
  <c r="K83" i="2" s="1"/>
  <c r="C84" i="2" s="1"/>
  <c r="L83" i="2" l="1"/>
  <c r="M83" i="2" s="1"/>
  <c r="N83" i="2"/>
  <c r="E84" i="2"/>
  <c r="O84" i="2" s="1"/>
  <c r="G84" i="2" l="1"/>
  <c r="J84" i="2" s="1"/>
  <c r="K84" i="2" s="1"/>
  <c r="C85" i="2" s="1"/>
  <c r="L84" i="2" l="1"/>
  <c r="M84" i="2" s="1"/>
  <c r="N84" i="2"/>
  <c r="E85" i="2"/>
  <c r="O85" i="2" s="1"/>
  <c r="G85" i="2" l="1"/>
  <c r="J85" i="2" s="1"/>
  <c r="K85" i="2" s="1"/>
  <c r="C86" i="2" s="1"/>
  <c r="L85" i="2" l="1"/>
  <c r="M85" i="2" s="1"/>
  <c r="N85" i="2"/>
  <c r="E86" i="2"/>
  <c r="O86" i="2" s="1"/>
  <c r="G86" i="2" l="1"/>
  <c r="J86" i="2" s="1"/>
  <c r="K86" i="2" s="1"/>
  <c r="C87" i="2" s="1"/>
  <c r="L86" i="2" l="1"/>
  <c r="M86" i="2" s="1"/>
  <c r="N86" i="2"/>
  <c r="E87" i="2"/>
  <c r="O87" i="2" s="1"/>
  <c r="G87" i="2" l="1"/>
  <c r="J87" i="2" s="1"/>
  <c r="K87" i="2" s="1"/>
  <c r="C88" i="2" s="1"/>
  <c r="L87" i="2" l="1"/>
  <c r="M87" i="2" s="1"/>
  <c r="N87" i="2"/>
  <c r="E88" i="2"/>
  <c r="O88" i="2" s="1"/>
  <c r="G88" i="2" l="1"/>
  <c r="J88" i="2" s="1"/>
  <c r="K88" i="2" s="1"/>
  <c r="C89" i="2" s="1"/>
  <c r="L88" i="2" l="1"/>
  <c r="M88" i="2" s="1"/>
  <c r="N88" i="2"/>
  <c r="E89" i="2"/>
  <c r="O89" i="2" s="1"/>
  <c r="G89" i="2" l="1"/>
  <c r="J89" i="2" s="1"/>
  <c r="K89" i="2" s="1"/>
  <c r="C90" i="2" s="1"/>
  <c r="L89" i="2" l="1"/>
  <c r="M89" i="2" s="1"/>
  <c r="N89" i="2"/>
  <c r="E90" i="2"/>
  <c r="O90" i="2" s="1"/>
  <c r="G90" i="2" l="1"/>
  <c r="J90" i="2" s="1"/>
  <c r="K90" i="2" s="1"/>
  <c r="C91" i="2" s="1"/>
  <c r="L90" i="2" l="1"/>
  <c r="M90" i="2" s="1"/>
  <c r="N90" i="2"/>
  <c r="E91" i="2"/>
  <c r="O91" i="2" s="1"/>
  <c r="G91" i="2" l="1"/>
  <c r="J91" i="2" s="1"/>
  <c r="K91" i="2" s="1"/>
  <c r="C92" i="2" s="1"/>
  <c r="L91" i="2" l="1"/>
  <c r="M91" i="2" s="1"/>
  <c r="N91" i="2"/>
  <c r="E92" i="2"/>
  <c r="O92" i="2" s="1"/>
  <c r="G92" i="2" l="1"/>
  <c r="J92" i="2" s="1"/>
  <c r="K92" i="2" s="1"/>
  <c r="C93" i="2" s="1"/>
  <c r="L92" i="2" l="1"/>
  <c r="M92" i="2" s="1"/>
  <c r="N92" i="2"/>
  <c r="E93" i="2"/>
  <c r="O93" i="2" s="1"/>
  <c r="G93" i="2" l="1"/>
  <c r="J93" i="2" s="1"/>
  <c r="K93" i="2" s="1"/>
  <c r="C94" i="2" s="1"/>
  <c r="L93" i="2" l="1"/>
  <c r="M93" i="2" s="1"/>
  <c r="N93" i="2"/>
  <c r="E94" i="2"/>
  <c r="O94" i="2" s="1"/>
  <c r="G94" i="2" l="1"/>
  <c r="J94" i="2" s="1"/>
  <c r="K94" i="2" s="1"/>
  <c r="C95" i="2" s="1"/>
  <c r="L94" i="2" l="1"/>
  <c r="M94" i="2" s="1"/>
  <c r="N94" i="2"/>
  <c r="E95" i="2"/>
  <c r="O95" i="2" s="1"/>
  <c r="G95" i="2" l="1"/>
  <c r="J95" i="2" s="1"/>
  <c r="K95" i="2" s="1"/>
  <c r="C96" i="2" s="1"/>
  <c r="L95" i="2" l="1"/>
  <c r="M95" i="2" s="1"/>
  <c r="N95" i="2"/>
  <c r="E96" i="2"/>
  <c r="O96" i="2" s="1"/>
  <c r="G96" i="2" l="1"/>
  <c r="J96" i="2" s="1"/>
  <c r="K96" i="2" s="1"/>
  <c r="C97" i="2" s="1"/>
  <c r="L96" i="2" l="1"/>
  <c r="M96" i="2" s="1"/>
  <c r="N96" i="2"/>
  <c r="E97" i="2"/>
  <c r="O97" i="2" s="1"/>
  <c r="G97" i="2" l="1"/>
  <c r="J97" i="2" s="1"/>
  <c r="K97" i="2" s="1"/>
  <c r="C98" i="2" s="1"/>
  <c r="L97" i="2" l="1"/>
  <c r="M97" i="2" s="1"/>
  <c r="N97" i="2"/>
  <c r="E98" i="2"/>
  <c r="O98" i="2" s="1"/>
  <c r="G98" i="2" l="1"/>
  <c r="J98" i="2" s="1"/>
  <c r="K98" i="2" s="1"/>
  <c r="C99" i="2" s="1"/>
  <c r="L98" i="2" l="1"/>
  <c r="M98" i="2" s="1"/>
  <c r="N98" i="2"/>
  <c r="E99" i="2"/>
  <c r="O99" i="2" s="1"/>
  <c r="G99" i="2" l="1"/>
  <c r="J99" i="2" s="1"/>
  <c r="K99" i="2" s="1"/>
  <c r="C100" i="2"/>
  <c r="L99" i="2" l="1"/>
  <c r="M99" i="2" s="1"/>
  <c r="N99" i="2"/>
  <c r="E100" i="2"/>
  <c r="O100" i="2" s="1"/>
  <c r="G100" i="2" l="1"/>
  <c r="J100" i="2" s="1"/>
  <c r="K100" i="2" s="1"/>
  <c r="C101" i="2" s="1"/>
  <c r="L100" i="2" l="1"/>
  <c r="M100" i="2" s="1"/>
  <c r="N100" i="2"/>
  <c r="E101" i="2"/>
  <c r="O101" i="2" s="1"/>
  <c r="G101" i="2" l="1"/>
  <c r="J101" i="2" s="1"/>
  <c r="K101" i="2" s="1"/>
  <c r="N101" i="2" s="1"/>
  <c r="L101" i="2" l="1"/>
  <c r="M101" i="2" s="1"/>
  <c r="C102" i="2"/>
  <c r="E102" i="2" l="1"/>
  <c r="G102" i="2" l="1"/>
  <c r="J102" i="2" s="1"/>
  <c r="K102" i="2" s="1"/>
  <c r="N102" i="2" s="1"/>
  <c r="O102" i="2"/>
  <c r="C103" i="2"/>
  <c r="L102" i="2"/>
  <c r="E103" i="2" l="1"/>
  <c r="O103" i="2" s="1"/>
  <c r="M102" i="2"/>
  <c r="G103" i="2"/>
  <c r="J103" i="2" s="1"/>
  <c r="K103" i="2" s="1"/>
  <c r="C104" i="2" s="1"/>
  <c r="E104" i="2" l="1"/>
  <c r="O104" i="2" s="1"/>
  <c r="N103" i="2"/>
  <c r="L103" i="2"/>
  <c r="G104" i="2"/>
  <c r="J104" i="2" s="1"/>
  <c r="K104" i="2" s="1"/>
  <c r="C105" i="2" s="1"/>
  <c r="E105" i="2" l="1"/>
  <c r="O105" i="2" s="1"/>
  <c r="N104" i="2"/>
  <c r="L104" i="2"/>
  <c r="G105" i="2" s="1"/>
  <c r="J105" i="2" s="1"/>
  <c r="K105" i="2" s="1"/>
  <c r="C106" i="2" s="1"/>
  <c r="M103" i="2"/>
  <c r="E106" i="2" l="1"/>
  <c r="O106" i="2" s="1"/>
  <c r="N105" i="2"/>
  <c r="M104" i="2"/>
  <c r="L105" i="2"/>
  <c r="M105" i="2" s="1"/>
  <c r="G106" i="2" l="1"/>
  <c r="J106" i="2" s="1"/>
  <c r="K106" i="2" s="1"/>
  <c r="N106" i="2" s="1"/>
  <c r="C107" i="2" l="1"/>
  <c r="L106" i="2"/>
  <c r="E107" i="2" l="1"/>
  <c r="O107" i="2" s="1"/>
  <c r="M106" i="2"/>
  <c r="G107" i="2"/>
  <c r="J107" i="2" s="1"/>
  <c r="K107" i="2" s="1"/>
  <c r="C108" i="2" s="1"/>
  <c r="N107" i="2" l="1"/>
  <c r="E108" i="2"/>
  <c r="O108" i="2" s="1"/>
  <c r="L107" i="2"/>
  <c r="G108" i="2" l="1"/>
  <c r="J108" i="2" s="1"/>
  <c r="K108" i="2" s="1"/>
  <c r="C109" i="2" s="1"/>
  <c r="E109" i="2"/>
  <c r="O109" i="2" s="1"/>
  <c r="N108" i="2"/>
  <c r="M107" i="2"/>
  <c r="L108" i="2"/>
  <c r="M108" i="2" s="1"/>
  <c r="G109" i="2" l="1"/>
  <c r="J109" i="2" s="1"/>
  <c r="K109" i="2" s="1"/>
  <c r="N109" i="2" s="1"/>
  <c r="C110" i="2" l="1"/>
  <c r="L109" i="2"/>
  <c r="E110" i="2" l="1"/>
  <c r="O110" i="2" s="1"/>
  <c r="M109" i="2"/>
  <c r="G110" i="2"/>
  <c r="J110" i="2" s="1"/>
  <c r="K110" i="2" s="1"/>
  <c r="C111" i="2" s="1"/>
  <c r="N110" i="2" l="1"/>
  <c r="E111" i="2"/>
  <c r="O111" i="2" s="1"/>
  <c r="L110" i="2"/>
  <c r="G111" i="2" s="1"/>
  <c r="J111" i="2" s="1"/>
  <c r="K111" i="2" s="1"/>
  <c r="C112" i="2" l="1"/>
  <c r="N111" i="2"/>
  <c r="M110" i="2"/>
  <c r="L111" i="2"/>
  <c r="E112" i="2" l="1"/>
  <c r="O112" i="2" s="1"/>
  <c r="M111" i="2"/>
  <c r="G112" i="2"/>
  <c r="J112" i="2" s="1"/>
  <c r="K112" i="2" s="1"/>
  <c r="N112" i="2" s="1"/>
  <c r="C113" i="2" l="1"/>
  <c r="L112" i="2"/>
  <c r="M112" i="2" s="1"/>
  <c r="E113" i="2" l="1"/>
  <c r="G113" i="2" l="1"/>
  <c r="J113" i="2" s="1"/>
  <c r="K113" i="2" s="1"/>
  <c r="N113" i="2" s="1"/>
  <c r="O113" i="2"/>
  <c r="C114" i="2"/>
  <c r="L113" i="2"/>
  <c r="E114" i="2" l="1"/>
  <c r="O114" i="2" s="1"/>
  <c r="M113" i="2"/>
  <c r="G114" i="2"/>
  <c r="J114" i="2" s="1"/>
  <c r="K114" i="2" s="1"/>
  <c r="C115" i="2" s="1"/>
  <c r="N114" i="2" l="1"/>
  <c r="E115" i="2"/>
  <c r="O115" i="2" s="1"/>
  <c r="L114" i="2"/>
  <c r="G115" i="2" l="1"/>
  <c r="J115" i="2" s="1"/>
  <c r="K115" i="2" s="1"/>
  <c r="C116" i="2" s="1"/>
  <c r="E116" i="2" s="1"/>
  <c r="O116" i="2" s="1"/>
  <c r="N115" i="2"/>
  <c r="M114" i="2"/>
  <c r="L115" i="2"/>
  <c r="M115" i="2" s="1"/>
  <c r="G116" i="2" l="1"/>
  <c r="J116" i="2" s="1"/>
  <c r="K116" i="2" s="1"/>
  <c r="N116" i="2" s="1"/>
  <c r="C117" i="2" l="1"/>
  <c r="L116" i="2"/>
  <c r="E117" i="2" l="1"/>
  <c r="O117" i="2" s="1"/>
  <c r="M116" i="2"/>
  <c r="G117" i="2"/>
  <c r="J117" i="2" s="1"/>
  <c r="K117" i="2" s="1"/>
  <c r="C118" i="2" s="1"/>
  <c r="N117" i="2" l="1"/>
  <c r="E118" i="2"/>
  <c r="O118" i="2" s="1"/>
  <c r="L117" i="2"/>
  <c r="G118" i="2" l="1"/>
  <c r="J118" i="2" s="1"/>
  <c r="K118" i="2" s="1"/>
  <c r="C119" i="2" s="1"/>
  <c r="E119" i="2" s="1"/>
  <c r="O119" i="2" s="1"/>
  <c r="N118" i="2"/>
  <c r="M117" i="2"/>
  <c r="L118" i="2"/>
  <c r="M118" i="2" s="1"/>
  <c r="G119" i="2" l="1"/>
  <c r="J119" i="2" s="1"/>
  <c r="K119" i="2" s="1"/>
  <c r="N119" i="2" s="1"/>
  <c r="C120" i="2" l="1"/>
  <c r="L119" i="2"/>
  <c r="E120" i="2" l="1"/>
  <c r="O120" i="2" s="1"/>
  <c r="M119" i="2"/>
  <c r="G120" i="2"/>
  <c r="J120" i="2" s="1"/>
  <c r="K120" i="2" s="1"/>
  <c r="C121" i="2" s="1"/>
  <c r="N120" i="2" l="1"/>
  <c r="E121" i="2"/>
  <c r="O121" i="2" s="1"/>
  <c r="L120" i="2"/>
  <c r="G121" i="2" s="1"/>
  <c r="J121" i="2" s="1"/>
  <c r="K121" i="2" s="1"/>
  <c r="C122" i="2" s="1"/>
  <c r="E122" i="2" l="1"/>
  <c r="O122" i="2" s="1"/>
  <c r="N121" i="2"/>
  <c r="M120" i="2"/>
  <c r="L121" i="2"/>
  <c r="M121" i="2" s="1"/>
  <c r="G122" i="2" l="1"/>
  <c r="J122" i="2" s="1"/>
  <c r="K122" i="2" s="1"/>
  <c r="N122" i="2" s="1"/>
  <c r="C123" i="2" l="1"/>
  <c r="L122" i="2"/>
  <c r="E123" i="2" l="1"/>
  <c r="O123" i="2" s="1"/>
  <c r="M122" i="2"/>
  <c r="G123" i="2"/>
  <c r="J123" i="2" s="1"/>
  <c r="K123" i="2" s="1"/>
  <c r="C124" i="2" s="1"/>
  <c r="N123" i="2" l="1"/>
  <c r="E124" i="2"/>
  <c r="O124" i="2" s="1"/>
  <c r="L123" i="2"/>
  <c r="G124" i="2" l="1"/>
  <c r="J124" i="2" s="1"/>
  <c r="K124" i="2" s="1"/>
  <c r="C125" i="2" s="1"/>
  <c r="E125" i="2" s="1"/>
  <c r="O125" i="2" s="1"/>
  <c r="N124" i="2"/>
  <c r="M123" i="2"/>
  <c r="L124" i="2"/>
  <c r="M124" i="2" l="1"/>
  <c r="G125" i="2"/>
  <c r="J125" i="2" s="1"/>
  <c r="K125" i="2" s="1"/>
  <c r="C126" i="2" l="1"/>
  <c r="N125" i="2"/>
  <c r="L125" i="2"/>
  <c r="E126" i="2" l="1"/>
  <c r="M125" i="2"/>
  <c r="G126" i="2" l="1"/>
  <c r="J126" i="2" s="1"/>
  <c r="K126" i="2" s="1"/>
  <c r="C127" i="2" s="1"/>
  <c r="O126" i="2"/>
  <c r="L126" i="2"/>
  <c r="M126" i="2" s="1"/>
  <c r="N126" i="2"/>
  <c r="E127" i="2"/>
  <c r="G127" i="2" l="1"/>
  <c r="J127" i="2" s="1"/>
  <c r="K127" i="2" s="1"/>
  <c r="N127" i="2" s="1"/>
  <c r="O127" i="2"/>
  <c r="C128" i="2"/>
  <c r="L127" i="2"/>
  <c r="E128" i="2" l="1"/>
  <c r="O128" i="2" s="1"/>
  <c r="M127" i="2"/>
  <c r="G128" i="2"/>
  <c r="J128" i="2" s="1"/>
  <c r="K128" i="2" s="1"/>
  <c r="C129" i="2" s="1"/>
  <c r="N128" i="2" l="1"/>
  <c r="E129" i="2"/>
  <c r="O129" i="2" s="1"/>
  <c r="L128" i="2"/>
  <c r="G129" i="2" l="1"/>
  <c r="J129" i="2" s="1"/>
  <c r="K129" i="2" s="1"/>
  <c r="C130" i="2" s="1"/>
  <c r="E130" i="2" s="1"/>
  <c r="O130" i="2" s="1"/>
  <c r="M128" i="2"/>
  <c r="L129" i="2" l="1"/>
  <c r="M129" i="2" s="1"/>
  <c r="N129" i="2"/>
  <c r="G130" i="2"/>
  <c r="J130" i="2" s="1"/>
  <c r="K130" i="2" s="1"/>
  <c r="N130" i="2" s="1"/>
  <c r="C131" i="2" l="1"/>
  <c r="L130" i="2"/>
  <c r="M130" i="2" s="1"/>
  <c r="E131" i="2" l="1"/>
  <c r="G131" i="2" l="1"/>
  <c r="J131" i="2" s="1"/>
  <c r="K131" i="2" s="1"/>
  <c r="C132" i="2" s="1"/>
  <c r="O131" i="2"/>
  <c r="N131" i="2"/>
  <c r="E132" i="2"/>
  <c r="O132" i="2" s="1"/>
  <c r="L131" i="2"/>
  <c r="G132" i="2" l="1"/>
  <c r="J132" i="2" s="1"/>
  <c r="K132" i="2" s="1"/>
  <c r="C133" i="2" s="1"/>
  <c r="E133" i="2" s="1"/>
  <c r="O133" i="2" s="1"/>
  <c r="M131" i="2"/>
  <c r="L132" i="2" l="1"/>
  <c r="M132" i="2" s="1"/>
  <c r="N132" i="2"/>
  <c r="G133" i="2"/>
  <c r="J133" i="2" s="1"/>
  <c r="K133" i="2" s="1"/>
  <c r="N133" i="2" s="1"/>
  <c r="C134" i="2" l="1"/>
  <c r="L133" i="2"/>
  <c r="M133" i="2" s="1"/>
  <c r="E134" i="2" l="1"/>
  <c r="G134" i="2" l="1"/>
  <c r="J134" i="2" s="1"/>
  <c r="K134" i="2" s="1"/>
  <c r="C135" i="2" s="1"/>
  <c r="O134" i="2"/>
  <c r="N134" i="2"/>
  <c r="E135" i="2"/>
  <c r="O135" i="2" s="1"/>
  <c r="L134" i="2"/>
  <c r="G135" i="2" l="1"/>
  <c r="J135" i="2" s="1"/>
  <c r="K135" i="2" s="1"/>
  <c r="C136" i="2" s="1"/>
  <c r="E136" i="2" s="1"/>
  <c r="O136" i="2" s="1"/>
  <c r="M134" i="2"/>
  <c r="L135" i="2"/>
  <c r="M135" i="2" s="1"/>
  <c r="N135" i="2" l="1"/>
  <c r="G136" i="2"/>
  <c r="J136" i="2" s="1"/>
  <c r="K136" i="2" s="1"/>
  <c r="N136" i="2" s="1"/>
  <c r="C137" i="2" l="1"/>
  <c r="L136" i="2"/>
  <c r="M136" i="2" s="1"/>
  <c r="E137" i="2" l="1"/>
  <c r="O137" i="2" s="1"/>
  <c r="G137" i="2"/>
  <c r="J137" i="2" s="1"/>
  <c r="K137" i="2" s="1"/>
  <c r="N137" i="2" s="1"/>
  <c r="C138" i="2" l="1"/>
  <c r="L137" i="2"/>
  <c r="E138" i="2" l="1"/>
  <c r="O138" i="2" s="1"/>
  <c r="M137" i="2"/>
  <c r="G138" i="2"/>
  <c r="J138" i="2" s="1"/>
  <c r="K138" i="2" s="1"/>
  <c r="C139" i="2" s="1"/>
  <c r="N138" i="2" l="1"/>
  <c r="E139" i="2"/>
  <c r="O139" i="2" s="1"/>
  <c r="L138" i="2"/>
  <c r="G139" i="2" l="1"/>
  <c r="J139" i="2" s="1"/>
  <c r="K139" i="2" s="1"/>
  <c r="C140" i="2" s="1"/>
  <c r="E140" i="2" s="1"/>
  <c r="O140" i="2" s="1"/>
  <c r="M138" i="2"/>
  <c r="L139" i="2" l="1"/>
  <c r="N139" i="2"/>
  <c r="M139" i="2"/>
  <c r="G140" i="2"/>
  <c r="J140" i="2" s="1"/>
  <c r="K140" i="2" s="1"/>
  <c r="C141" i="2" l="1"/>
  <c r="N140" i="2"/>
  <c r="L140" i="2"/>
  <c r="E141" i="2" l="1"/>
  <c r="M140" i="2"/>
  <c r="G141" i="2" l="1"/>
  <c r="J141" i="2" s="1"/>
  <c r="K141" i="2" s="1"/>
  <c r="C142" i="2" s="1"/>
  <c r="O141" i="2"/>
  <c r="L141" i="2"/>
  <c r="N141" i="2"/>
  <c r="E142" i="2"/>
  <c r="M141" i="2"/>
  <c r="G142" i="2" l="1"/>
  <c r="J142" i="2" s="1"/>
  <c r="K142" i="2" s="1"/>
  <c r="N142" i="2" s="1"/>
  <c r="O142" i="2"/>
  <c r="C143" i="2"/>
  <c r="L142" i="2"/>
  <c r="M142" i="2" s="1"/>
  <c r="E143" i="2" l="1"/>
  <c r="G143" i="2" l="1"/>
  <c r="J143" i="2" s="1"/>
  <c r="K143" i="2" s="1"/>
  <c r="N143" i="2" s="1"/>
  <c r="O143" i="2"/>
  <c r="C144" i="2"/>
  <c r="L143" i="2"/>
  <c r="E144" i="2" l="1"/>
  <c r="O144" i="2" s="1"/>
  <c r="M143" i="2"/>
  <c r="G144" i="2"/>
  <c r="J144" i="2" s="1"/>
  <c r="K144" i="2" s="1"/>
  <c r="C145" i="2" s="1"/>
  <c r="E145" i="2" l="1"/>
  <c r="O145" i="2" s="1"/>
  <c r="N144" i="2"/>
  <c r="L144" i="2"/>
  <c r="G145" i="2" s="1"/>
  <c r="J145" i="2" s="1"/>
  <c r="K145" i="2" s="1"/>
  <c r="C146" i="2" s="1"/>
  <c r="E146" i="2" l="1"/>
  <c r="O146" i="2" s="1"/>
  <c r="N145" i="2"/>
  <c r="M144" i="2"/>
  <c r="L145" i="2"/>
  <c r="M145" i="2" s="1"/>
  <c r="G146" i="2" l="1"/>
  <c r="J146" i="2" s="1"/>
  <c r="K146" i="2" s="1"/>
  <c r="N146" i="2" s="1"/>
  <c r="C147" i="2" l="1"/>
  <c r="L146" i="2"/>
  <c r="E147" i="2" l="1"/>
  <c r="O147" i="2" s="1"/>
  <c r="M146" i="2"/>
  <c r="G147" i="2"/>
  <c r="J147" i="2" s="1"/>
  <c r="K147" i="2" s="1"/>
  <c r="C148" i="2" s="1"/>
  <c r="N147" i="2" l="1"/>
  <c r="E148" i="2"/>
  <c r="O148" i="2" s="1"/>
  <c r="L147" i="2"/>
  <c r="G148" i="2" l="1"/>
  <c r="J148" i="2" s="1"/>
  <c r="K148" i="2" s="1"/>
  <c r="C149" i="2" s="1"/>
  <c r="E149" i="2" s="1"/>
  <c r="O149" i="2" s="1"/>
  <c r="M147" i="2"/>
  <c r="L148" i="2" l="1"/>
  <c r="M148" i="2" s="1"/>
  <c r="N148" i="2"/>
  <c r="G149" i="2"/>
  <c r="J149" i="2" s="1"/>
  <c r="K149" i="2" s="1"/>
  <c r="N149" i="2" s="1"/>
  <c r="C150" i="2" l="1"/>
  <c r="L149" i="2"/>
  <c r="E150" i="2" l="1"/>
  <c r="O150" i="2" s="1"/>
  <c r="M149" i="2"/>
  <c r="G150" i="2"/>
  <c r="J150" i="2" s="1"/>
  <c r="K150" i="2" s="1"/>
  <c r="C151" i="2" s="1"/>
  <c r="N150" i="2" l="1"/>
  <c r="E151" i="2"/>
  <c r="O151" i="2" s="1"/>
  <c r="L150" i="2"/>
  <c r="G151" i="2" l="1"/>
  <c r="J151" i="2" s="1"/>
  <c r="K151" i="2" s="1"/>
  <c r="C152" i="2" s="1"/>
  <c r="E152" i="2"/>
  <c r="O152" i="2" s="1"/>
  <c r="N151" i="2"/>
  <c r="M150" i="2"/>
  <c r="L151" i="2"/>
  <c r="M151" i="2" s="1"/>
  <c r="G152" i="2" l="1"/>
  <c r="J152" i="2" s="1"/>
  <c r="K152" i="2" s="1"/>
  <c r="N152" i="2" s="1"/>
  <c r="C153" i="2" l="1"/>
  <c r="L152" i="2"/>
  <c r="E153" i="2" l="1"/>
  <c r="O153" i="2" s="1"/>
  <c r="M152" i="2"/>
  <c r="G153" i="2"/>
  <c r="J153" i="2" s="1"/>
  <c r="K153" i="2" s="1"/>
  <c r="C154" i="2" s="1"/>
  <c r="N153" i="2" l="1"/>
  <c r="E154" i="2"/>
  <c r="O154" i="2" s="1"/>
  <c r="L153" i="2"/>
  <c r="G154" i="2" l="1"/>
  <c r="J154" i="2" s="1"/>
  <c r="K154" i="2" s="1"/>
  <c r="C155" i="2" s="1"/>
  <c r="E155" i="2" s="1"/>
  <c r="O155" i="2" s="1"/>
  <c r="M153" i="2"/>
  <c r="L154" i="2" l="1"/>
  <c r="M154" i="2" s="1"/>
  <c r="N154" i="2"/>
  <c r="G155" i="2"/>
  <c r="J155" i="2" s="1"/>
  <c r="K155" i="2" s="1"/>
  <c r="L155" i="2" s="1"/>
  <c r="C156" i="2" l="1"/>
  <c r="N155" i="2"/>
  <c r="M155" i="2"/>
  <c r="E156" i="2" l="1"/>
  <c r="G156" i="2" l="1"/>
  <c r="J156" i="2" s="1"/>
  <c r="K156" i="2" s="1"/>
  <c r="N156" i="2" s="1"/>
  <c r="O156" i="2"/>
  <c r="L156" i="2"/>
  <c r="M156" i="2" s="1"/>
  <c r="C157" i="2"/>
  <c r="E157" i="2" s="1"/>
  <c r="G157" i="2" l="1"/>
  <c r="J157" i="2" s="1"/>
  <c r="K157" i="2" s="1"/>
  <c r="N157" i="2" s="1"/>
  <c r="O157" i="2"/>
  <c r="C158" i="2"/>
  <c r="L157" i="2"/>
  <c r="M157" i="2" s="1"/>
  <c r="E158" i="2" l="1"/>
  <c r="G158" i="2" l="1"/>
  <c r="J158" i="2" s="1"/>
  <c r="K158" i="2" s="1"/>
  <c r="N158" i="2" s="1"/>
  <c r="O158" i="2"/>
  <c r="C159" i="2"/>
  <c r="L158" i="2"/>
  <c r="E159" i="2" l="1"/>
  <c r="O159" i="2" s="1"/>
  <c r="M158" i="2"/>
  <c r="G159" i="2"/>
  <c r="J159" i="2" s="1"/>
  <c r="K159" i="2" s="1"/>
  <c r="C160" i="2" s="1"/>
  <c r="N159" i="2" l="1"/>
  <c r="E160" i="2"/>
  <c r="O160" i="2" s="1"/>
  <c r="L159" i="2"/>
  <c r="G160" i="2" s="1"/>
  <c r="J160" i="2" s="1"/>
  <c r="K160" i="2" s="1"/>
  <c r="C161" i="2" s="1"/>
  <c r="E161" i="2" l="1"/>
  <c r="O161" i="2" s="1"/>
  <c r="N160" i="2"/>
  <c r="M159" i="2"/>
  <c r="L160" i="2"/>
  <c r="M160" i="2" s="1"/>
  <c r="G161" i="2" l="1"/>
  <c r="J161" i="2" s="1"/>
  <c r="K161" i="2" s="1"/>
  <c r="N161" i="2" s="1"/>
  <c r="C162" i="2" l="1"/>
  <c r="L161" i="2"/>
  <c r="E162" i="2" l="1"/>
  <c r="M161" i="2"/>
  <c r="G162" i="2" l="1"/>
  <c r="J162" i="2" s="1"/>
  <c r="K162" i="2" s="1"/>
  <c r="C163" i="2" s="1"/>
  <c r="O162" i="2"/>
  <c r="N162" i="2"/>
  <c r="E163" i="2"/>
  <c r="O163" i="2" s="1"/>
  <c r="L162" i="2"/>
  <c r="G163" i="2" l="1"/>
  <c r="J163" i="2" s="1"/>
  <c r="K163" i="2" s="1"/>
  <c r="C164" i="2" s="1"/>
  <c r="N163" i="2"/>
  <c r="E164" i="2"/>
  <c r="O164" i="2" s="1"/>
  <c r="M162" i="2"/>
  <c r="L163" i="2"/>
  <c r="M163" i="2" l="1"/>
  <c r="G164" i="2"/>
  <c r="J164" i="2" s="1"/>
  <c r="K164" i="2" s="1"/>
  <c r="C165" i="2" l="1"/>
  <c r="N164" i="2"/>
  <c r="L164" i="2"/>
  <c r="E165" i="2" l="1"/>
  <c r="M164" i="2"/>
  <c r="G165" i="2" l="1"/>
  <c r="J165" i="2" s="1"/>
  <c r="K165" i="2" s="1"/>
  <c r="C166" i="2" s="1"/>
  <c r="O165" i="2"/>
  <c r="E166" i="2"/>
  <c r="O166" i="2" s="1"/>
  <c r="N165" i="2"/>
  <c r="L165" i="2"/>
  <c r="M165" i="2" l="1"/>
  <c r="G166" i="2"/>
  <c r="J166" i="2" s="1"/>
  <c r="K166" i="2" s="1"/>
  <c r="C167" i="2" l="1"/>
  <c r="N166" i="2"/>
  <c r="L166" i="2"/>
  <c r="E167" i="2" l="1"/>
  <c r="O167" i="2" s="1"/>
  <c r="M166" i="2"/>
  <c r="G167" i="2"/>
  <c r="J167" i="2" s="1"/>
  <c r="K167" i="2" s="1"/>
  <c r="C168" i="2" s="1"/>
  <c r="E168" i="2" l="1"/>
  <c r="O168" i="2" s="1"/>
  <c r="N167" i="2"/>
  <c r="L167" i="2"/>
  <c r="G168" i="2" l="1"/>
  <c r="J168" i="2" s="1"/>
  <c r="K168" i="2" s="1"/>
  <c r="C169" i="2" s="1"/>
  <c r="E169" i="2"/>
  <c r="O169" i="2" s="1"/>
  <c r="N168" i="2"/>
  <c r="M167" i="2"/>
  <c r="L168" i="2"/>
  <c r="M168" i="2" s="1"/>
  <c r="G169" i="2" l="1"/>
  <c r="J169" i="2" s="1"/>
  <c r="K169" i="2" s="1"/>
  <c r="N169" i="2" s="1"/>
  <c r="C170" i="2" l="1"/>
  <c r="L169" i="2"/>
  <c r="M169" i="2" s="1"/>
  <c r="E170" i="2" l="1"/>
  <c r="O170" i="2" s="1"/>
  <c r="G170" i="2"/>
  <c r="J170" i="2" s="1"/>
  <c r="K170" i="2" s="1"/>
  <c r="N170" i="2" s="1"/>
  <c r="C171" i="2" l="1"/>
  <c r="L170" i="2"/>
  <c r="M170" i="2" s="1"/>
  <c r="E171" i="2" l="1"/>
  <c r="O171" i="2" s="1"/>
  <c r="G171" i="2"/>
  <c r="J171" i="2" s="1"/>
  <c r="K171" i="2" s="1"/>
  <c r="N171" i="2" s="1"/>
  <c r="C172" i="2" l="1"/>
  <c r="L171" i="2"/>
  <c r="M171" i="2" s="1"/>
  <c r="E172" i="2" l="1"/>
  <c r="O172" i="2" s="1"/>
  <c r="G172" i="2"/>
  <c r="J172" i="2" s="1"/>
  <c r="K172" i="2" s="1"/>
  <c r="N172" i="2" s="1"/>
  <c r="C173" i="2" l="1"/>
  <c r="L172" i="2"/>
  <c r="M172" i="2" s="1"/>
  <c r="E173" i="2" l="1"/>
  <c r="O173" i="2" s="1"/>
  <c r="G173" i="2"/>
  <c r="J173" i="2" s="1"/>
  <c r="K173" i="2" s="1"/>
  <c r="N173" i="2" s="1"/>
  <c r="C174" i="2" l="1"/>
  <c r="L173" i="2"/>
  <c r="M173" i="2" s="1"/>
  <c r="E174" i="2" l="1"/>
  <c r="O174" i="2" s="1"/>
  <c r="G174" i="2"/>
  <c r="J174" i="2" s="1"/>
  <c r="K174" i="2" s="1"/>
  <c r="N174" i="2" s="1"/>
  <c r="C175" i="2" l="1"/>
  <c r="L174" i="2"/>
  <c r="M174" i="2" s="1"/>
  <c r="E175" i="2" l="1"/>
  <c r="O175" i="2" s="1"/>
  <c r="G175" i="2"/>
  <c r="J175" i="2" s="1"/>
  <c r="K175" i="2" s="1"/>
  <c r="N175" i="2" s="1"/>
  <c r="C176" i="2" l="1"/>
  <c r="L175" i="2"/>
  <c r="M175" i="2" s="1"/>
  <c r="E176" i="2" l="1"/>
  <c r="G176" i="2" l="1"/>
  <c r="J176" i="2" s="1"/>
  <c r="K176" i="2" s="1"/>
  <c r="N176" i="2" s="1"/>
  <c r="O176" i="2"/>
  <c r="C177" i="2"/>
  <c r="L176" i="2"/>
  <c r="M176" i="2" s="1"/>
  <c r="E177" i="2" l="1"/>
  <c r="O177" i="2" s="1"/>
  <c r="G177" i="2"/>
  <c r="J177" i="2" s="1"/>
  <c r="K177" i="2" s="1"/>
  <c r="N177" i="2" s="1"/>
  <c r="C178" i="2" l="1"/>
  <c r="L177" i="2"/>
  <c r="M177" i="2" s="1"/>
  <c r="E178" i="2" l="1"/>
  <c r="O178" i="2" s="1"/>
  <c r="G178" i="2"/>
  <c r="J178" i="2" s="1"/>
  <c r="K178" i="2" s="1"/>
  <c r="N178" i="2" s="1"/>
  <c r="C179" i="2" l="1"/>
  <c r="L178" i="2"/>
  <c r="M178" i="2" s="1"/>
  <c r="E179" i="2" l="1"/>
  <c r="O179" i="2" s="1"/>
  <c r="G179" i="2"/>
  <c r="J179" i="2" s="1"/>
  <c r="K179" i="2" s="1"/>
  <c r="N179" i="2" s="1"/>
  <c r="C180" i="2" l="1"/>
  <c r="L179" i="2"/>
  <c r="M179" i="2" s="1"/>
  <c r="E180" i="2" l="1"/>
  <c r="G180" i="2" l="1"/>
  <c r="J180" i="2" s="1"/>
  <c r="K180" i="2" s="1"/>
  <c r="N180" i="2" s="1"/>
  <c r="O180" i="2"/>
  <c r="C181" i="2"/>
  <c r="L180" i="2"/>
  <c r="M180" i="2" s="1"/>
  <c r="E181" i="2" l="1"/>
  <c r="O181" i="2" s="1"/>
  <c r="G181" i="2"/>
  <c r="J181" i="2" s="1"/>
  <c r="K181" i="2" s="1"/>
  <c r="N181" i="2" s="1"/>
  <c r="C182" i="2" l="1"/>
  <c r="L181" i="2"/>
  <c r="E182" i="2" l="1"/>
  <c r="O182" i="2" s="1"/>
  <c r="M181" i="2"/>
  <c r="G182" i="2"/>
  <c r="J182" i="2" s="1"/>
  <c r="K182" i="2" s="1"/>
  <c r="C183" i="2" s="1"/>
  <c r="E183" i="2" l="1"/>
  <c r="O183" i="2" s="1"/>
  <c r="N182" i="2"/>
  <c r="L182" i="2"/>
  <c r="M182" i="2" l="1"/>
  <c r="G183" i="2"/>
  <c r="J183" i="2" s="1"/>
  <c r="K183" i="2" s="1"/>
  <c r="C184" i="2" l="1"/>
  <c r="N183" i="2"/>
  <c r="L183" i="2"/>
  <c r="E184" i="2" l="1"/>
  <c r="O184" i="2" s="1"/>
  <c r="M183" i="2"/>
  <c r="G184" i="2"/>
  <c r="J184" i="2" s="1"/>
  <c r="K184" i="2" s="1"/>
  <c r="C185" i="2" s="1"/>
  <c r="E185" i="2" l="1"/>
  <c r="O185" i="2" s="1"/>
  <c r="N184" i="2"/>
  <c r="L184" i="2"/>
  <c r="M184" i="2" l="1"/>
  <c r="G185" i="2"/>
  <c r="J185" i="2" s="1"/>
  <c r="K185" i="2" s="1"/>
  <c r="C186" i="2" l="1"/>
  <c r="N185" i="2"/>
  <c r="L185" i="2"/>
  <c r="E186" i="2" l="1"/>
  <c r="O186" i="2" s="1"/>
  <c r="M185" i="2"/>
  <c r="G186" i="2"/>
  <c r="J186" i="2" s="1"/>
  <c r="K186" i="2" s="1"/>
  <c r="C187" i="2" s="1"/>
  <c r="E187" i="2" l="1"/>
  <c r="O187" i="2" s="1"/>
  <c r="N186" i="2"/>
  <c r="L186" i="2"/>
  <c r="M186" i="2" l="1"/>
  <c r="G187" i="2"/>
  <c r="J187" i="2" s="1"/>
  <c r="K187" i="2" s="1"/>
  <c r="C188" i="2" l="1"/>
  <c r="N187" i="2"/>
  <c r="L187" i="2"/>
  <c r="E188" i="2" l="1"/>
  <c r="O188" i="2" s="1"/>
  <c r="M187" i="2"/>
  <c r="G188" i="2"/>
  <c r="J188" i="2" s="1"/>
  <c r="K188" i="2" s="1"/>
  <c r="C189" i="2" s="1"/>
  <c r="E189" i="2" l="1"/>
  <c r="O189" i="2" s="1"/>
  <c r="N188" i="2"/>
  <c r="L188" i="2"/>
  <c r="M188" i="2" l="1"/>
  <c r="G189" i="2"/>
  <c r="J189" i="2" s="1"/>
  <c r="K189" i="2" s="1"/>
  <c r="C190" i="2" l="1"/>
  <c r="N189" i="2"/>
  <c r="L189" i="2"/>
  <c r="E190" i="2" l="1"/>
  <c r="O190" i="2" s="1"/>
  <c r="M189" i="2"/>
  <c r="G190" i="2"/>
  <c r="J190" i="2" s="1"/>
  <c r="K190" i="2" s="1"/>
  <c r="C191" i="2" s="1"/>
  <c r="E191" i="2" l="1"/>
  <c r="O191" i="2" s="1"/>
  <c r="N190" i="2"/>
  <c r="L190" i="2"/>
  <c r="G191" i="2" s="1"/>
  <c r="J191" i="2" s="1"/>
  <c r="K191" i="2" s="1"/>
  <c r="C192" i="2" s="1"/>
  <c r="E192" i="2" l="1"/>
  <c r="O192" i="2" s="1"/>
  <c r="N191" i="2"/>
  <c r="M190" i="2"/>
  <c r="L191" i="2"/>
  <c r="M191" i="2" s="1"/>
  <c r="G192" i="2" l="1"/>
  <c r="J192" i="2" s="1"/>
  <c r="K192" i="2" s="1"/>
  <c r="N192" i="2" s="1"/>
  <c r="C193" i="2" l="1"/>
  <c r="L192" i="2"/>
  <c r="M192" i="2" s="1"/>
  <c r="E193" i="2" l="1"/>
  <c r="O193" i="2" s="1"/>
  <c r="G193" i="2"/>
  <c r="J193" i="2" s="1"/>
  <c r="K193" i="2" s="1"/>
  <c r="N193" i="2" s="1"/>
  <c r="C194" i="2" l="1"/>
  <c r="L193" i="2"/>
  <c r="M193" i="2" s="1"/>
  <c r="E194" i="2" l="1"/>
  <c r="O194" i="2" s="1"/>
  <c r="G194" i="2"/>
  <c r="J194" i="2" s="1"/>
  <c r="K194" i="2" s="1"/>
  <c r="N194" i="2" s="1"/>
  <c r="C195" i="2" l="1"/>
  <c r="L194" i="2"/>
  <c r="M194" i="2" s="1"/>
  <c r="E195" i="2" l="1"/>
  <c r="O195" i="2" s="1"/>
  <c r="G195" i="2"/>
  <c r="J195" i="2" s="1"/>
  <c r="K195" i="2" s="1"/>
  <c r="N195" i="2" s="1"/>
  <c r="C196" i="2" l="1"/>
  <c r="L195" i="2"/>
  <c r="M195" i="2" s="1"/>
  <c r="E196" i="2" l="1"/>
  <c r="O196" i="2" s="1"/>
  <c r="G196" i="2"/>
  <c r="J196" i="2" s="1"/>
  <c r="K196" i="2" s="1"/>
  <c r="N196" i="2" s="1"/>
  <c r="C197" i="2" l="1"/>
  <c r="L196" i="2"/>
  <c r="M196" i="2" s="1"/>
  <c r="E197" i="2" l="1"/>
  <c r="O197" i="2" s="1"/>
  <c r="G197" i="2"/>
  <c r="J197" i="2" s="1"/>
  <c r="K197" i="2" s="1"/>
  <c r="N197" i="2" s="1"/>
  <c r="C198" i="2" l="1"/>
  <c r="L197" i="2"/>
  <c r="M197" i="2" s="1"/>
  <c r="E198" i="2" l="1"/>
  <c r="O198" i="2" s="1"/>
  <c r="G198" i="2"/>
  <c r="J198" i="2" s="1"/>
  <c r="K198" i="2" s="1"/>
  <c r="N198" i="2" s="1"/>
  <c r="C199" i="2" l="1"/>
  <c r="L198" i="2"/>
  <c r="M198" i="2" s="1"/>
  <c r="E199" i="2" l="1"/>
  <c r="O199" i="2" s="1"/>
  <c r="G199" i="2"/>
  <c r="J199" i="2" s="1"/>
  <c r="K199" i="2" s="1"/>
  <c r="N199" i="2" s="1"/>
  <c r="C200" i="2" l="1"/>
  <c r="L199" i="2"/>
  <c r="M199" i="2" s="1"/>
  <c r="E200" i="2" l="1"/>
  <c r="O200" i="2" s="1"/>
  <c r="G200" i="2"/>
  <c r="J200" i="2" s="1"/>
  <c r="K200" i="2" s="1"/>
  <c r="N200" i="2" s="1"/>
  <c r="C201" i="2" l="1"/>
  <c r="L200" i="2"/>
  <c r="M200" i="2" s="1"/>
  <c r="E201" i="2" l="1"/>
  <c r="O201" i="2" s="1"/>
  <c r="G201" i="2"/>
  <c r="J201" i="2" s="1"/>
  <c r="K201" i="2" s="1"/>
  <c r="C202" i="2" s="1"/>
  <c r="E202" i="2" l="1"/>
  <c r="O202" i="2" s="1"/>
  <c r="N201" i="2"/>
  <c r="L201" i="2"/>
  <c r="M201" i="2" s="1"/>
  <c r="G202" i="2" l="1"/>
  <c r="J202" i="2" s="1"/>
  <c r="K202" i="2" s="1"/>
  <c r="L202" i="2" l="1"/>
  <c r="M202" i="2" s="1"/>
  <c r="N20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<sst xmlns="http://schemas.openxmlformats.org/spreadsheetml/2006/main" count="52" uniqueCount="52">
  <si>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>rho</t>
  </si>
  <si>
    <t>phiy</t>
  </si>
  <si>
    <t>phipi</t>
  </si>
  <si>
    <t>beta1</t>
  </si>
  <si>
    <t>beta2</t>
  </si>
  <si>
    <t>mu</t>
  </si>
  <si>
    <t>rho_y</t>
  </si>
  <si>
    <t>rbar</t>
  </si>
  <si>
    <t>sbar</t>
  </si>
  <si>
    <t>sigma_ybar</t>
  </si>
  <si>
    <t>n</t>
  </si>
  <si>
    <t>lambda</t>
  </si>
  <si>
    <t>lambda_unstable</t>
  </si>
  <si>
    <t>t</t>
  </si>
  <si>
    <t>zbar</t>
  </si>
  <si>
    <t>r</t>
  </si>
  <si>
    <t>rstar</t>
  </si>
  <si>
    <t>s</t>
  </si>
  <si>
    <t>ybar</t>
  </si>
  <si>
    <t>y</t>
  </si>
  <si>
    <t>beta0</t>
  </si>
  <si>
    <t>pstar</t>
  </si>
  <si>
    <t>gap</t>
  </si>
  <si>
    <t>p</t>
  </si>
  <si>
    <t>A11</t>
  </si>
  <si>
    <t>A12</t>
  </si>
  <si>
    <t>A21</t>
  </si>
  <si>
    <t>A22</t>
  </si>
  <si>
    <t>TR</t>
  </si>
  <si>
    <t>DET</t>
  </si>
  <si>
    <t>DIS</t>
  </si>
  <si>
    <t>Policy inertia</t>
  </si>
  <si>
    <t>Output gap feedback</t>
  </si>
  <si>
    <t xml:space="preserve">Inflation feedback </t>
  </si>
  <si>
    <t>Demand coeff for real ex rate</t>
  </si>
  <si>
    <t>Demand coeff for interest</t>
  </si>
  <si>
    <t>Inflaiton adjustment</t>
  </si>
  <si>
    <t>ar(1) lag</t>
  </si>
  <si>
    <t>long-run interest</t>
  </si>
  <si>
    <t>steady state exchange rate</t>
  </si>
  <si>
    <t>std deviaton of shocks</t>
  </si>
  <si>
    <t>rexr</t>
  </si>
  <si>
    <t>rint</t>
  </si>
  <si>
    <t>simulation length</t>
  </si>
  <si>
    <t>stable root</t>
  </si>
  <si>
    <t>unstable root</t>
  </si>
  <si>
    <t>matrix of dynamic adjustment</t>
  </si>
  <si>
    <t>trace</t>
  </si>
  <si>
    <t>determinant</t>
  </si>
  <si>
    <t>discriminant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</si>
  <si>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</rPr>
      <t>s</t>
    </r>
  </si>
  <si>
    <t>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</si>
</sst>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Sim!$E$1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Sim!$E$2:$E$202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0.13218200585251563</c:v>
                </c:pt>
                <c:pt idx="3">
                  <c:v>0.25181910370100807</c:v>
                </c:pt>
                <c:pt idx="4">
                  <c:v>0.16942325442138736</c:v>
                </c:pt>
                <c:pt idx="5">
                  <c:v>0.10522250311276324</c:v>
                </c:pt>
                <c:pt idx="6">
                  <c:v>9.7883263381241634E-2</c:v>
                </c:pt>
                <c:pt idx="7">
                  <c:v>8.8251096377669605E-2</c:v>
                </c:pt>
                <c:pt idx="8">
                  <c:v>0.1419445798702669</c:v>
                </c:pt>
                <c:pt idx="9">
                  <c:v>0.18966184771533715</c:v>
                </c:pt>
                <c:pt idx="10">
                  <c:v>7.0601042275528519E-2</c:v>
                </c:pt>
                <c:pt idx="11">
                  <c:v>-0.1790880703850633</c:v>
                </c:pt>
                <c:pt idx="12">
                  <c:v>-0.33436739667922366</c:v>
                </c:pt>
                <c:pt idx="13">
                  <c:v>-0.15158981991091577</c:v>
                </c:pt>
                <c:pt idx="14">
                  <c:v>0.23397320035657135</c:v>
                </c:pt>
                <c:pt idx="15">
                  <c:v>0.1799856657703458</c:v>
                </c:pt>
                <c:pt idx="16">
                  <c:v>0.11113113000593616</c:v>
                </c:pt>
                <c:pt idx="17">
                  <c:v>0.1066575918192815</c:v>
                </c:pt>
                <c:pt idx="18">
                  <c:v>-1.631342986072887E-3</c:v>
                </c:pt>
                <c:pt idx="19">
                  <c:v>6.3104843096949567E-2</c:v>
                </c:pt>
                <c:pt idx="20">
                  <c:v>-0.13732441341546819</c:v>
                </c:pt>
                <c:pt idx="21">
                  <c:v>-0.2027229594692081</c:v>
                </c:pt>
                <c:pt idx="22">
                  <c:v>1.2256831828733794E-2</c:v>
                </c:pt>
                <c:pt idx="23">
                  <c:v>-0.20233312393086775</c:v>
                </c:pt>
                <c:pt idx="24">
                  <c:v>6.3934389723776242E-3</c:v>
                </c:pt>
                <c:pt idx="25">
                  <c:v>9.2947503284822167E-2</c:v>
                </c:pt>
                <c:pt idx="26">
                  <c:v>0.13335476125494811</c:v>
                </c:pt>
                <c:pt idx="27">
                  <c:v>0.14994163452667825</c:v>
                </c:pt>
                <c:pt idx="28">
                  <c:v>0.38523808234134144</c:v>
                </c:pt>
                <c:pt idx="29">
                  <c:v>-4.6273488388825251E-2</c:v>
                </c:pt>
                <c:pt idx="30">
                  <c:v>0.12459192225502314</c:v>
                </c:pt>
                <c:pt idx="31">
                  <c:v>8.6770040520458377E-2</c:v>
                </c:pt>
                <c:pt idx="32">
                  <c:v>-0.141415374690225</c:v>
                </c:pt>
                <c:pt idx="33">
                  <c:v>-0.14322314265760991</c:v>
                </c:pt>
                <c:pt idx="34">
                  <c:v>-0.22917242566903884</c:v>
                </c:pt>
                <c:pt idx="35">
                  <c:v>-0.27349868449029918</c:v>
                </c:pt>
                <c:pt idx="36">
                  <c:v>-0.41829395107187378</c:v>
                </c:pt>
                <c:pt idx="37">
                  <c:v>-0.35330567362640541</c:v>
                </c:pt>
                <c:pt idx="38">
                  <c:v>-0.28971797804556421</c:v>
                </c:pt>
                <c:pt idx="39">
                  <c:v>-4.1963422159764535E-2</c:v>
                </c:pt>
                <c:pt idx="40">
                  <c:v>-7.7165812547984589E-2</c:v>
                </c:pt>
                <c:pt idx="41">
                  <c:v>0.11806895138225608</c:v>
                </c:pt>
                <c:pt idx="42">
                  <c:v>0.25002295452332041</c:v>
                </c:pt>
                <c:pt idx="43">
                  <c:v>0.17822107455082195</c:v>
                </c:pt>
                <c:pt idx="44">
                  <c:v>-2.4805219140704885E-2</c:v>
                </c:pt>
                <c:pt idx="45">
                  <c:v>-0.26068094375657319</c:v>
                </c:pt>
                <c:pt idx="46">
                  <c:v>-0.32834278272336587</c:v>
                </c:pt>
                <c:pt idx="47">
                  <c:v>-0.18647104598747083</c:v>
                </c:pt>
                <c:pt idx="48">
                  <c:v>-3.6807263215706765E-2</c:v>
                </c:pt>
                <c:pt idx="49">
                  <c:v>-4.8931357454849528E-2</c:v>
                </c:pt>
                <c:pt idx="50">
                  <c:v>2.7957404805618501E-2</c:v>
                </c:pt>
                <c:pt idx="51">
                  <c:v>-9.3444442634786906E-2</c:v>
                </c:pt>
                <c:pt idx="52">
                  <c:v>-0.13130767671399302</c:v>
                </c:pt>
                <c:pt idx="53">
                  <c:v>0.13825964288089271</c:v>
                </c:pt>
                <c:pt idx="54">
                  <c:v>0.16609324431942249</c:v>
                </c:pt>
                <c:pt idx="55">
                  <c:v>5.1658155638409572E-2</c:v>
                </c:pt>
                <c:pt idx="56">
                  <c:v>-0.13356159679968149</c:v>
                </c:pt>
                <c:pt idx="57">
                  <c:v>3.6063125738487863E-2</c:v>
                </c:pt>
                <c:pt idx="58">
                  <c:v>7.8895293066397254E-2</c:v>
                </c:pt>
                <c:pt idx="59">
                  <c:v>3.2536798142536426E-2</c:v>
                </c:pt>
                <c:pt idx="60">
                  <c:v>-6.168322807054151E-2</c:v>
                </c:pt>
                <c:pt idx="61">
                  <c:v>9.8477219815320344E-2</c:v>
                </c:pt>
                <c:pt idx="62">
                  <c:v>5.7763668489098342E-2</c:v>
                </c:pt>
                <c:pt idx="63">
                  <c:v>0.13140593651278124</c:v>
                </c:pt>
                <c:pt idx="64">
                  <c:v>0.17123775466172786</c:v>
                </c:pt>
                <c:pt idx="65">
                  <c:v>0.23079977105138205</c:v>
                </c:pt>
                <c:pt idx="66">
                  <c:v>0.19421862719725336</c:v>
                </c:pt>
                <c:pt idx="67">
                  <c:v>-6.4132970954227458E-2</c:v>
                </c:pt>
                <c:pt idx="68">
                  <c:v>8.0428200982424453E-2</c:v>
                </c:pt>
                <c:pt idx="69">
                  <c:v>3.931004770416268E-2</c:v>
                </c:pt>
                <c:pt idx="70">
                  <c:v>-0.14733267387191842</c:v>
                </c:pt>
                <c:pt idx="71">
                  <c:v>-0.15095589163561368</c:v>
                </c:pt>
                <c:pt idx="72">
                  <c:v>-1.2618544822167161E-2</c:v>
                </c:pt>
                <c:pt idx="73">
                  <c:v>-0.23323118132740919</c:v>
                </c:pt>
                <c:pt idx="74">
                  <c:v>-0.14152505383785499</c:v>
                </c:pt>
                <c:pt idx="75">
                  <c:v>-8.8204864948244643E-2</c:v>
                </c:pt>
                <c:pt idx="76">
                  <c:v>6.8837903567884787E-2</c:v>
                </c:pt>
                <c:pt idx="77">
                  <c:v>-5.6089447807998294E-2</c:v>
                </c:pt>
                <c:pt idx="78">
                  <c:v>-9.7533812945438794E-2</c:v>
                </c:pt>
                <c:pt idx="79">
                  <c:v>-2.1559716545200114E-2</c:v>
                </c:pt>
                <c:pt idx="80">
                  <c:v>8.2997150995323277E-3</c:v>
                </c:pt>
                <c:pt idx="81">
                  <c:v>-8.6536789308042737E-3</c:v>
                </c:pt>
                <c:pt idx="82">
                  <c:v>-0.1317475775615784</c:v>
                </c:pt>
                <c:pt idx="83">
                  <c:v>-0.28498303172718764</c:v>
                </c:pt>
                <c:pt idx="84">
                  <c:v>-0.12382316815809606</c:v>
                </c:pt>
                <c:pt idx="85">
                  <c:v>8.3704463060345541E-2</c:v>
                </c:pt>
                <c:pt idx="86">
                  <c:v>0.12508196643586011</c:v>
                </c:pt>
                <c:pt idx="87">
                  <c:v>7.0129432573790493E-2</c:v>
                </c:pt>
                <c:pt idx="88">
                  <c:v>0.19632550313612207</c:v>
                </c:pt>
                <c:pt idx="89">
                  <c:v>0.12221269981818908</c:v>
                </c:pt>
                <c:pt idx="90">
                  <c:v>0.23301693051675088</c:v>
                </c:pt>
                <c:pt idx="91">
                  <c:v>0.15861906627794589</c:v>
                </c:pt>
                <c:pt idx="92">
                  <c:v>0.11966061131509358</c:v>
                </c:pt>
                <c:pt idx="93">
                  <c:v>0.11510689692833344</c:v>
                </c:pt>
                <c:pt idx="94">
                  <c:v>0.20204371311499486</c:v>
                </c:pt>
                <c:pt idx="95">
                  <c:v>9.115792110939136E-2</c:v>
                </c:pt>
                <c:pt idx="96">
                  <c:v>-3.3035442788132093E-2</c:v>
                </c:pt>
                <c:pt idx="97">
                  <c:v>-6.1782192239531242E-2</c:v>
                </c:pt>
                <c:pt idx="98">
                  <c:v>-0.22272887154999824</c:v>
                </c:pt>
                <c:pt idx="99">
                  <c:v>-0.12707964615411393</c:v>
                </c:pt>
                <c:pt idx="100">
                  <c:v>-0.14000452609206013</c:v>
                </c:pt>
                <c:pt idx="101">
                  <c:v>-0.19337914651673513</c:v>
                </c:pt>
                <c:pt idx="102">
                  <c:v>-0.30216554677360358</c:v>
                </c:pt>
                <c:pt idx="103">
                  <c:v>-0.2257603592220335</c:v>
                </c:pt>
                <c:pt idx="104">
                  <c:v>-0.37666334254479555</c:v>
                </c:pt>
                <c:pt idx="105">
                  <c:v>-0.27677857190026151</c:v>
                </c:pt>
                <c:pt idx="106">
                  <c:v>-2.1714494399695515E-3</c:v>
                </c:pt>
                <c:pt idx="107">
                  <c:v>3.2911959220779538E-2</c:v>
                </c:pt>
                <c:pt idx="108">
                  <c:v>0.19798865796423668</c:v>
                </c:pt>
                <c:pt idx="109">
                  <c:v>3.2447965707238562E-2</c:v>
                </c:pt>
                <c:pt idx="110">
                  <c:v>2.7679636075783332E-2</c:v>
                </c:pt>
                <c:pt idx="111">
                  <c:v>-5.0978097034378E-2</c:v>
                </c:pt>
                <c:pt idx="112">
                  <c:v>4.6237526276218209E-2</c:v>
                </c:pt>
                <c:pt idx="113">
                  <c:v>-2.398166480326681E-2</c:v>
                </c:pt>
                <c:pt idx="114">
                  <c:v>-0.19997622265575266</c:v>
                </c:pt>
                <c:pt idx="115">
                  <c:v>1.9395366001972909E-2</c:v>
                </c:pt>
                <c:pt idx="116">
                  <c:v>8.1621876602025328E-2</c:v>
                </c:pt>
                <c:pt idx="117">
                  <c:v>0.16598150709604731</c:v>
                </c:pt>
                <c:pt idx="118">
                  <c:v>0.25022458406162923</c:v>
                </c:pt>
                <c:pt idx="119">
                  <c:v>7.0514384542983546E-2</c:v>
                </c:pt>
                <c:pt idx="120">
                  <c:v>5.0650147567017655E-2</c:v>
                </c:pt>
                <c:pt idx="121">
                  <c:v>1.2699040329771916E-3</c:v>
                </c:pt>
                <c:pt idx="122">
                  <c:v>0.14319754446823008</c:v>
                </c:pt>
                <c:pt idx="123">
                  <c:v>0.13087748426077264</c:v>
                </c:pt>
                <c:pt idx="124">
                  <c:v>0.22662589807108482</c:v>
                </c:pt>
                <c:pt idx="125">
                  <c:v>9.8629763944193486E-3</c:v>
                </c:pt>
                <c:pt idx="126">
                  <c:v>-5.3893595967110235E-2</c:v>
                </c:pt>
                <c:pt idx="127">
                  <c:v>3.4834882845991857E-3</c:v>
                </c:pt>
                <c:pt idx="128">
                  <c:v>0.13866003235909438</c:v>
                </c:pt>
                <c:pt idx="129">
                  <c:v>-1.6738296646967427E-2</c:v>
                </c:pt>
                <c:pt idx="130">
                  <c:v>0.23396021022348004</c:v>
                </c:pt>
                <c:pt idx="131">
                  <c:v>0.13473638284153844</c:v>
                </c:pt>
                <c:pt idx="132">
                  <c:v>-7.8165291617870988E-2</c:v>
                </c:pt>
                <c:pt idx="133">
                  <c:v>-0.1981989357800083</c:v>
                </c:pt>
                <c:pt idx="134">
                  <c:v>-9.7319674728194208E-2</c:v>
                </c:pt>
                <c:pt idx="135">
                  <c:v>-0.23457992115098394</c:v>
                </c:pt>
                <c:pt idx="136">
                  <c:v>-0.13674227586013729</c:v>
                </c:pt>
                <c:pt idx="137">
                  <c:v>7.2054607494908454E-2</c:v>
                </c:pt>
                <c:pt idx="138">
                  <c:v>-6.2935042453545831E-3</c:v>
                </c:pt>
                <c:pt idx="139">
                  <c:v>0.14104721970349676</c:v>
                </c:pt>
                <c:pt idx="140">
                  <c:v>6.1031441904371785E-2</c:v>
                </c:pt>
                <c:pt idx="141">
                  <c:v>1.6021005201817502E-2</c:v>
                </c:pt>
                <c:pt idx="142">
                  <c:v>0.10506144637160436</c:v>
                </c:pt>
                <c:pt idx="143">
                  <c:v>0.10563341467689299</c:v>
                </c:pt>
                <c:pt idx="144">
                  <c:v>-0.19821820051504169</c:v>
                </c:pt>
                <c:pt idx="145">
                  <c:v>-0.25070785658041422</c:v>
                </c:pt>
                <c:pt idx="146">
                  <c:v>-7.4188094848474176E-2</c:v>
                </c:pt>
                <c:pt idx="147">
                  <c:v>-3.468187428504909E-2</c:v>
                </c:pt>
                <c:pt idx="148">
                  <c:v>0.21264154418655312</c:v>
                </c:pt>
                <c:pt idx="149">
                  <c:v>0.20640566954918113</c:v>
                </c:pt>
                <c:pt idx="150">
                  <c:v>0.22937282972407536</c:v>
                </c:pt>
                <c:pt idx="151">
                  <c:v>0.25300797776978395</c:v>
                </c:pt>
                <c:pt idx="152">
                  <c:v>0.2012685859298822</c:v>
                </c:pt>
                <c:pt idx="153">
                  <c:v>2.364546502366921E-2</c:v>
                </c:pt>
                <c:pt idx="154">
                  <c:v>0.21420115907224865</c:v>
                </c:pt>
                <c:pt idx="155">
                  <c:v>0.1079856710233892</c:v>
                </c:pt>
                <c:pt idx="156">
                  <c:v>-2.7970257391545409E-2</c:v>
                </c:pt>
                <c:pt idx="157">
                  <c:v>-0.10201666296565547</c:v>
                </c:pt>
                <c:pt idx="158">
                  <c:v>-0.14914794217302627</c:v>
                </c:pt>
                <c:pt idx="159">
                  <c:v>-6.7689666853673683E-2</c:v>
                </c:pt>
                <c:pt idx="160">
                  <c:v>5.6657649998188842E-3</c:v>
                </c:pt>
                <c:pt idx="161">
                  <c:v>-0.24877424102543844</c:v>
                </c:pt>
                <c:pt idx="162">
                  <c:v>-0.32190090636525964</c:v>
                </c:pt>
                <c:pt idx="163">
                  <c:v>-0.26620717462695337</c:v>
                </c:pt>
                <c:pt idx="164">
                  <c:v>-0.18254893791412594</c:v>
                </c:pt>
                <c:pt idx="165">
                  <c:v>4.9253952246382793E-2</c:v>
                </c:pt>
                <c:pt idx="166">
                  <c:v>9.9705547553758281E-2</c:v>
                </c:pt>
                <c:pt idx="167">
                  <c:v>-7.7087756995686905E-3</c:v>
                </c:pt>
                <c:pt idx="168">
                  <c:v>-0.27399606072583649</c:v>
                </c:pt>
                <c:pt idx="169">
                  <c:v>-0.18690519741074363</c:v>
                </c:pt>
                <c:pt idx="170">
                  <c:v>-0.22759130611366724</c:v>
                </c:pt>
                <c:pt idx="171">
                  <c:v>-0.15674713594346254</c:v>
                </c:pt>
                <c:pt idx="172">
                  <c:v>-0.37036587273108024</c:v>
                </c:pt>
                <c:pt idx="173">
                  <c:v>-0.5556268989995693</c:v>
                </c:pt>
                <c:pt idx="174">
                  <c:v>-0.52557987609431234</c:v>
                </c:pt>
                <c:pt idx="175">
                  <c:v>-0.4000138179368114</c:v>
                </c:pt>
                <c:pt idx="176">
                  <c:v>-9.1622647559802761E-2</c:v>
                </c:pt>
                <c:pt idx="177">
                  <c:v>0.16666532047767615</c:v>
                </c:pt>
                <c:pt idx="178">
                  <c:v>0.19846836196441023</c:v>
                </c:pt>
                <c:pt idx="179">
                  <c:v>0.29774124004624752</c:v>
                </c:pt>
                <c:pt idx="180">
                  <c:v>0.18597607498509411</c:v>
                </c:pt>
                <c:pt idx="181">
                  <c:v>0.19525552394723131</c:v>
                </c:pt>
                <c:pt idx="182">
                  <c:v>-1.6940321934506179E-2</c:v>
                </c:pt>
                <c:pt idx="183">
                  <c:v>-0.18997503819286438</c:v>
                </c:pt>
                <c:pt idx="184">
                  <c:v>-0.2157103759332131</c:v>
                </c:pt>
                <c:pt idx="185">
                  <c:v>-0.23262297942506555</c:v>
                </c:pt>
                <c:pt idx="186">
                  <c:v>-0.16117670357256994</c:v>
                </c:pt>
                <c:pt idx="187">
                  <c:v>-6.4801684433596157E-2</c:v>
                </c:pt>
                <c:pt idx="188">
                  <c:v>4.7643578204830318E-2</c:v>
                </c:pt>
                <c:pt idx="189">
                  <c:v>0.11579970215296587</c:v>
                </c:pt>
                <c:pt idx="190">
                  <c:v>0.27385465338386616</c:v>
                </c:pt>
                <c:pt idx="191">
                  <c:v>0.23116700864597403</c:v>
                </c:pt>
                <c:pt idx="192">
                  <c:v>0.15280795101334579</c:v>
                </c:pt>
                <c:pt idx="193">
                  <c:v>0.21239607989288517</c:v>
                </c:pt>
                <c:pt idx="194">
                  <c:v>0.19320144540731837</c:v>
                </c:pt>
                <c:pt idx="195">
                  <c:v>1.2653983624311377E-2</c:v>
                </c:pt>
                <c:pt idx="196">
                  <c:v>3.406101337970905E-2</c:v>
                </c:pt>
                <c:pt idx="197">
                  <c:v>7.8643867684787858E-2</c:v>
                </c:pt>
                <c:pt idx="198">
                  <c:v>0.15506997156210578</c:v>
                </c:pt>
                <c:pt idx="199">
                  <c:v>0.20918196733261826</c:v>
                </c:pt>
                <c:pt idx="200">
                  <c:v>-0.16287351936354555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0C-467D-9502-B43378910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9578240"/>
        <c:axId val="1889580160"/>
      </c:lineChart>
      <c:catAx>
        <c:axId val="1889578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80160"/>
        <c:crosses val="autoZero"/>
        <c:auto val="1"/>
        <c:lblAlgn val="ctr"/>
        <c:lblOffset val="100"/>
        <c:noMultiLvlLbl val="0"/>
      </c:catAx>
      <c:valAx>
        <c:axId val="188958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5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Sim!$O$1</c:f>
              <c:strCache>
                <c:ptCount val="1"/>
                <c:pt idx="0">
                  <c:v>Δs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Sim!$O$2:$O$202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0.13218200585251563</c:v>
                </c:pt>
                <c:pt idx="3">
                  <c:v>0.11963709784849244</c:v>
                </c:pt>
                <c:pt idx="4">
                  <c:v>-8.2395849279620709E-2</c:v>
                </c:pt>
                <c:pt idx="5">
                  <c:v>-6.4200751308624127E-2</c:v>
                </c:pt>
                <c:pt idx="6">
                  <c:v>-7.3392397315216046E-3</c:v>
                </c:pt>
                <c:pt idx="7">
                  <c:v>-9.6321670035720286E-3</c:v>
                </c:pt>
                <c:pt idx="8">
                  <c:v>5.3693483492597296E-2</c:v>
                </c:pt>
                <c:pt idx="9">
                  <c:v>4.7717267845070244E-2</c:v>
                </c:pt>
                <c:pt idx="10">
                  <c:v>-0.11906080543980863</c:v>
                </c:pt>
                <c:pt idx="11">
                  <c:v>-0.24968911266059182</c:v>
                </c:pt>
                <c:pt idx="12">
                  <c:v>-0.15527932629416036</c:v>
                </c:pt>
                <c:pt idx="13">
                  <c:v>0.18277757676830789</c:v>
                </c:pt>
                <c:pt idx="14">
                  <c:v>0.38556302026748712</c:v>
                </c:pt>
                <c:pt idx="15">
                  <c:v>-5.3987534586225544E-2</c:v>
                </c:pt>
                <c:pt idx="16">
                  <c:v>-6.8854535764409641E-2</c:v>
                </c:pt>
                <c:pt idx="17">
                  <c:v>-4.4735381866546631E-3</c:v>
                </c:pt>
                <c:pt idx="18">
                  <c:v>-0.10828893480535438</c:v>
                </c:pt>
                <c:pt idx="19">
                  <c:v>6.4736186083022451E-2</c:v>
                </c:pt>
                <c:pt idx="20">
                  <c:v>-0.20042925651241777</c:v>
                </c:pt>
                <c:pt idx="21">
                  <c:v>-6.5398546053739903E-2</c:v>
                </c:pt>
                <c:pt idx="22">
                  <c:v>0.2149797912979419</c:v>
                </c:pt>
                <c:pt idx="23">
                  <c:v>-0.21458995575960155</c:v>
                </c:pt>
                <c:pt idx="24">
                  <c:v>0.20872656290324537</c:v>
                </c:pt>
                <c:pt idx="25">
                  <c:v>8.6554064312444542E-2</c:v>
                </c:pt>
                <c:pt idx="26">
                  <c:v>4.040725797012594E-2</c:v>
                </c:pt>
                <c:pt idx="27">
                  <c:v>1.658687327173014E-2</c:v>
                </c:pt>
                <c:pt idx="28">
                  <c:v>0.23529644781466319</c:v>
                </c:pt>
                <c:pt idx="29">
                  <c:v>-0.43151157073016666</c:v>
                </c:pt>
                <c:pt idx="30">
                  <c:v>0.17086541064384839</c:v>
                </c:pt>
                <c:pt idx="31">
                  <c:v>-3.7821881734564758E-2</c:v>
                </c:pt>
                <c:pt idx="32">
                  <c:v>-0.22818541521068336</c:v>
                </c:pt>
                <c:pt idx="33">
                  <c:v>-1.8077679673849101E-3</c:v>
                </c:pt>
                <c:pt idx="34">
                  <c:v>-8.5949283011428929E-2</c:v>
                </c:pt>
                <c:pt idx="35">
                  <c:v>-4.4326258821260345E-2</c:v>
                </c:pt>
                <c:pt idx="36">
                  <c:v>-0.1447952665815746</c:v>
                </c:pt>
                <c:pt idx="37">
                  <c:v>6.4988277445468368E-2</c:v>
                </c:pt>
                <c:pt idx="38">
                  <c:v>6.3587695580841208E-2</c:v>
                </c:pt>
                <c:pt idx="39">
                  <c:v>0.24775455588579967</c:v>
                </c:pt>
                <c:pt idx="40">
                  <c:v>-3.5202390388220053E-2</c:v>
                </c:pt>
                <c:pt idx="41">
                  <c:v>0.19523476393024067</c:v>
                </c:pt>
                <c:pt idx="42">
                  <c:v>0.13195400314106431</c:v>
                </c:pt>
                <c:pt idx="43">
                  <c:v>-7.1801879972498456E-2</c:v>
                </c:pt>
                <c:pt idx="44">
                  <c:v>-0.20302629369152683</c:v>
                </c:pt>
                <c:pt idx="45">
                  <c:v>-0.23587572461586831</c:v>
                </c:pt>
                <c:pt idx="46">
                  <c:v>-6.7661838966792676E-2</c:v>
                </c:pt>
                <c:pt idx="47">
                  <c:v>0.14187173673589504</c:v>
                </c:pt>
                <c:pt idx="48">
                  <c:v>0.14966378277176406</c:v>
                </c:pt>
                <c:pt idx="49">
                  <c:v>-1.2124094239142763E-2</c:v>
                </c:pt>
                <c:pt idx="50">
                  <c:v>7.6888762260468035E-2</c:v>
                </c:pt>
                <c:pt idx="51">
                  <c:v>-0.12140184744040541</c:v>
                </c:pt>
                <c:pt idx="52">
                  <c:v>-3.786323407920611E-2</c:v>
                </c:pt>
                <c:pt idx="53">
                  <c:v>0.26956731959488572</c:v>
                </c:pt>
                <c:pt idx="54">
                  <c:v>2.7833601438529781E-2</c:v>
                </c:pt>
                <c:pt idx="55">
                  <c:v>-0.11443508868101292</c:v>
                </c:pt>
                <c:pt idx="56">
                  <c:v>-0.18521975243809108</c:v>
                </c:pt>
                <c:pt idx="57">
                  <c:v>0.16962472253816935</c:v>
                </c:pt>
                <c:pt idx="58">
                  <c:v>4.2832167327909391E-2</c:v>
                </c:pt>
                <c:pt idx="59">
                  <c:v>-4.6358494923860828E-2</c:v>
                </c:pt>
                <c:pt idx="60">
                  <c:v>-9.4220026213077929E-2</c:v>
                </c:pt>
                <c:pt idx="61">
                  <c:v>0.16016044788586187</c:v>
                </c:pt>
                <c:pt idx="62">
                  <c:v>-4.0713551326222001E-2</c:v>
                </c:pt>
                <c:pt idx="63">
                  <c:v>7.36422680236829E-2</c:v>
                </c:pt>
                <c:pt idx="64">
                  <c:v>3.9831818148946624E-2</c:v>
                </c:pt>
                <c:pt idx="65">
                  <c:v>5.9562016389654193E-2</c:v>
                </c:pt>
                <c:pt idx="66">
                  <c:v>-3.6581143854128695E-2</c:v>
                </c:pt>
                <c:pt idx="67">
                  <c:v>-0.25835159815148079</c:v>
                </c:pt>
                <c:pt idx="68">
                  <c:v>0.14456117193665191</c:v>
                </c:pt>
                <c:pt idx="69">
                  <c:v>-4.1118153278261772E-2</c:v>
                </c:pt>
                <c:pt idx="70">
                  <c:v>-0.18664272157608111</c:v>
                </c:pt>
                <c:pt idx="71">
                  <c:v>-3.6232177636952578E-3</c:v>
                </c:pt>
                <c:pt idx="72">
                  <c:v>0.13833734681344653</c:v>
                </c:pt>
                <c:pt idx="73">
                  <c:v>-0.22061263650524204</c:v>
                </c:pt>
                <c:pt idx="74">
                  <c:v>9.1706127489554201E-2</c:v>
                </c:pt>
                <c:pt idx="75">
                  <c:v>5.3320188889610348E-2</c:v>
                </c:pt>
                <c:pt idx="76">
                  <c:v>0.15704276851612942</c:v>
                </c:pt>
                <c:pt idx="77">
                  <c:v>-0.12492735137588308</c:v>
                </c:pt>
                <c:pt idx="78">
                  <c:v>-4.14443651374405E-2</c:v>
                </c:pt>
                <c:pt idx="79">
                  <c:v>7.597409640023868E-2</c:v>
                </c:pt>
                <c:pt idx="80">
                  <c:v>2.985943164473244E-2</c:v>
                </c:pt>
                <c:pt idx="81">
                  <c:v>-1.6953394030336601E-2</c:v>
                </c:pt>
                <c:pt idx="82">
                  <c:v>-0.12309389863077412</c:v>
                </c:pt>
                <c:pt idx="83">
                  <c:v>-0.15323545416560924</c:v>
                </c:pt>
                <c:pt idx="84">
                  <c:v>0.16115986356909157</c:v>
                </c:pt>
                <c:pt idx="85">
                  <c:v>0.20752763121844159</c:v>
                </c:pt>
                <c:pt idx="86">
                  <c:v>4.1377503375514574E-2</c:v>
                </c:pt>
                <c:pt idx="87">
                  <c:v>-5.4952533862069622E-2</c:v>
                </c:pt>
                <c:pt idx="88">
                  <c:v>0.12619607056233156</c:v>
                </c:pt>
                <c:pt idx="89">
                  <c:v>-7.411280331793299E-2</c:v>
                </c:pt>
                <c:pt idx="90">
                  <c:v>0.1108042306985618</c:v>
                </c:pt>
                <c:pt idx="91">
                  <c:v>-7.4397864238804984E-2</c:v>
                </c:pt>
                <c:pt idx="92">
                  <c:v>-3.8958454962852315E-2</c:v>
                </c:pt>
                <c:pt idx="93">
                  <c:v>-4.5537143867601382E-3</c:v>
                </c:pt>
                <c:pt idx="94">
                  <c:v>8.6936816186661423E-2</c:v>
                </c:pt>
                <c:pt idx="95">
                  <c:v>-0.1108857920056035</c:v>
                </c:pt>
                <c:pt idx="96">
                  <c:v>-0.12419336389752345</c:v>
                </c:pt>
                <c:pt idx="97">
                  <c:v>-2.8746749451399149E-2</c:v>
                </c:pt>
                <c:pt idx="98">
                  <c:v>-0.16094667931046699</c:v>
                </c:pt>
                <c:pt idx="99">
                  <c:v>9.5649225395884302E-2</c:v>
                </c:pt>
                <c:pt idx="100">
                  <c:v>-1.2924879937946193E-2</c:v>
                </c:pt>
                <c:pt idx="101">
                  <c:v>-5.3374620424675001E-2</c:v>
                </c:pt>
                <c:pt idx="102">
                  <c:v>-0.10878640025686845</c:v>
                </c:pt>
                <c:pt idx="103">
                  <c:v>7.6405187551570081E-2</c:v>
                </c:pt>
                <c:pt idx="104">
                  <c:v>-0.15090298332276206</c:v>
                </c:pt>
                <c:pt idx="105">
                  <c:v>9.9884770644534049E-2</c:v>
                </c:pt>
                <c:pt idx="106">
                  <c:v>0.27460712246029195</c:v>
                </c:pt>
                <c:pt idx="107">
                  <c:v>3.5083408660749091E-2</c:v>
                </c:pt>
                <c:pt idx="108">
                  <c:v>0.16507669874345715</c:v>
                </c:pt>
                <c:pt idx="109">
                  <c:v>-0.16554069225699811</c:v>
                </c:pt>
                <c:pt idx="110">
                  <c:v>-4.7683296314552301E-3</c:v>
                </c:pt>
                <c:pt idx="111">
                  <c:v>-7.8657733110161332E-2</c:v>
                </c:pt>
                <c:pt idx="112">
                  <c:v>9.7215623310596216E-2</c:v>
                </c:pt>
                <c:pt idx="113">
                  <c:v>-7.0219191079485016E-2</c:v>
                </c:pt>
                <c:pt idx="114">
                  <c:v>-0.17599455785248586</c:v>
                </c:pt>
                <c:pt idx="115">
                  <c:v>0.21937158865772557</c:v>
                </c:pt>
                <c:pt idx="116">
                  <c:v>6.2226510600052423E-2</c:v>
                </c:pt>
                <c:pt idx="117">
                  <c:v>8.4359630494021981E-2</c:v>
                </c:pt>
                <c:pt idx="118">
                  <c:v>8.424307696558192E-2</c:v>
                </c:pt>
                <c:pt idx="119">
                  <c:v>-0.1797101995186457</c:v>
                </c:pt>
                <c:pt idx="120">
                  <c:v>-1.9864236975965892E-2</c:v>
                </c:pt>
                <c:pt idx="121">
                  <c:v>-4.9380243534040462E-2</c:v>
                </c:pt>
                <c:pt idx="122">
                  <c:v>0.14192764043525288</c:v>
                </c:pt>
                <c:pt idx="123">
                  <c:v>-1.2320060207457434E-2</c:v>
                </c:pt>
                <c:pt idx="124">
                  <c:v>9.5748413810312183E-2</c:v>
                </c:pt>
                <c:pt idx="125">
                  <c:v>-0.21676292167666547</c:v>
                </c:pt>
                <c:pt idx="126">
                  <c:v>-6.3756572361529582E-2</c:v>
                </c:pt>
                <c:pt idx="127">
                  <c:v>5.7377084251709419E-2</c:v>
                </c:pt>
                <c:pt idx="128">
                  <c:v>0.1351765440744952</c:v>
                </c:pt>
                <c:pt idx="129">
                  <c:v>-0.15539832900606182</c:v>
                </c:pt>
                <c:pt idx="130">
                  <c:v>0.25069850687044748</c:v>
                </c:pt>
                <c:pt idx="131">
                  <c:v>-9.9223827381941604E-2</c:v>
                </c:pt>
                <c:pt idx="132">
                  <c:v>-0.21290167445940944</c:v>
                </c:pt>
                <c:pt idx="133">
                  <c:v>-0.12003364416213731</c:v>
                </c:pt>
                <c:pt idx="134">
                  <c:v>0.10087926105181409</c:v>
                </c:pt>
                <c:pt idx="135">
                  <c:v>-0.13726024642278972</c:v>
                </c:pt>
                <c:pt idx="136">
                  <c:v>9.7837645290846653E-2</c:v>
                </c:pt>
                <c:pt idx="137">
                  <c:v>0.20879688335504576</c:v>
                </c:pt>
                <c:pt idx="138">
                  <c:v>-7.8348111740263043E-2</c:v>
                </c:pt>
                <c:pt idx="139">
                  <c:v>0.14734072394885134</c:v>
                </c:pt>
                <c:pt idx="140">
                  <c:v>-8.0015777799124971E-2</c:v>
                </c:pt>
                <c:pt idx="141">
                  <c:v>-4.501043670255428E-2</c:v>
                </c:pt>
                <c:pt idx="142">
                  <c:v>8.9040441169786863E-2</c:v>
                </c:pt>
                <c:pt idx="143">
                  <c:v>5.7196830528863374E-4</c:v>
                </c:pt>
                <c:pt idx="144">
                  <c:v>-0.30385161519193471</c:v>
                </c:pt>
                <c:pt idx="145">
                  <c:v>-5.2489656065372536E-2</c:v>
                </c:pt>
                <c:pt idx="146">
                  <c:v>0.17651976173194006</c:v>
                </c:pt>
                <c:pt idx="147">
                  <c:v>3.9506220563425086E-2</c:v>
                </c:pt>
                <c:pt idx="148">
                  <c:v>0.24732341847160222</c:v>
                </c:pt>
                <c:pt idx="149">
                  <c:v>-6.2358746373719909E-3</c:v>
                </c:pt>
                <c:pt idx="150">
                  <c:v>2.2967160174894224E-2</c:v>
                </c:pt>
                <c:pt idx="151">
                  <c:v>2.3635148045708598E-2</c:v>
                </c:pt>
                <c:pt idx="152">
                  <c:v>-5.1739391839901755E-2</c:v>
                </c:pt>
                <c:pt idx="153">
                  <c:v>-0.17762312090621299</c:v>
                </c:pt>
                <c:pt idx="154">
                  <c:v>0.19055569404857944</c:v>
                </c:pt>
                <c:pt idx="155">
                  <c:v>-0.10621548804885945</c:v>
                </c:pt>
                <c:pt idx="156">
                  <c:v>-0.13595592841493462</c:v>
                </c:pt>
                <c:pt idx="157">
                  <c:v>-7.4046405574110061E-2</c:v>
                </c:pt>
                <c:pt idx="158">
                  <c:v>-4.7131279207370799E-2</c:v>
                </c:pt>
                <c:pt idx="159">
                  <c:v>8.1458275319352583E-2</c:v>
                </c:pt>
                <c:pt idx="160">
                  <c:v>7.3355431853492567E-2</c:v>
                </c:pt>
                <c:pt idx="161">
                  <c:v>-0.25444000602525729</c:v>
                </c:pt>
                <c:pt idx="162">
                  <c:v>-7.3126665339821206E-2</c:v>
                </c:pt>
                <c:pt idx="163">
                  <c:v>5.5693731738306274E-2</c:v>
                </c:pt>
                <c:pt idx="164">
                  <c:v>8.3658236712827433E-2</c:v>
                </c:pt>
                <c:pt idx="165">
                  <c:v>0.23180289016050873</c:v>
                </c:pt>
                <c:pt idx="166">
                  <c:v>5.0451595307375488E-2</c:v>
                </c:pt>
                <c:pt idx="167">
                  <c:v>-0.10741432325332698</c:v>
                </c:pt>
                <c:pt idx="168">
                  <c:v>-0.26628728502626781</c:v>
                </c:pt>
                <c:pt idx="169">
                  <c:v>8.7090863315092859E-2</c:v>
                </c:pt>
                <c:pt idx="170">
                  <c:v>-4.0686108702923607E-2</c:v>
                </c:pt>
                <c:pt idx="171">
                  <c:v>7.0844170170204696E-2</c:v>
                </c:pt>
                <c:pt idx="172">
                  <c:v>-0.2136187367876177</c:v>
                </c:pt>
                <c:pt idx="173">
                  <c:v>-0.18526102626848906</c:v>
                </c:pt>
                <c:pt idx="174">
                  <c:v>3.0047022905256959E-2</c:v>
                </c:pt>
                <c:pt idx="175">
                  <c:v>0.12556605815750094</c:v>
                </c:pt>
                <c:pt idx="176">
                  <c:v>0.30839117037700864</c:v>
                </c:pt>
                <c:pt idx="177">
                  <c:v>0.25828796803747889</c:v>
                </c:pt>
                <c:pt idx="178">
                  <c:v>3.1803041486734074E-2</c:v>
                </c:pt>
                <c:pt idx="179">
                  <c:v>9.9272878081837296E-2</c:v>
                </c:pt>
                <c:pt idx="180">
                  <c:v>-0.11176516506115342</c:v>
                </c:pt>
                <c:pt idx="181">
                  <c:v>9.2794489621371989E-3</c:v>
                </c:pt>
                <c:pt idx="182">
                  <c:v>-0.21219584588173748</c:v>
                </c:pt>
                <c:pt idx="183">
                  <c:v>-0.1730347162583582</c:v>
                </c:pt>
                <c:pt idx="184">
                  <c:v>-2.5735337740348724E-2</c:v>
                </c:pt>
                <c:pt idx="185">
                  <c:v>-1.6912603491852446E-2</c:v>
                </c:pt>
                <c:pt idx="186">
                  <c:v>7.1446275852495605E-2</c:v>
                </c:pt>
                <c:pt idx="187">
                  <c:v>9.6375019138973783E-2</c:v>
                </c:pt>
                <c:pt idx="188">
                  <c:v>0.11244526263842647</c:v>
                </c:pt>
                <c:pt idx="189">
                  <c:v>6.8156123948135555E-2</c:v>
                </c:pt>
                <c:pt idx="190">
                  <c:v>0.1580549512309003</c:v>
                </c:pt>
                <c:pt idx="191">
                  <c:v>-4.2687644737892133E-2</c:v>
                </c:pt>
                <c:pt idx="192">
                  <c:v>-7.8359057632628237E-2</c:v>
                </c:pt>
                <c:pt idx="193">
                  <c:v>5.9588128879539376E-2</c:v>
                </c:pt>
                <c:pt idx="194">
                  <c:v>-1.9194634485566797E-2</c:v>
                </c:pt>
                <c:pt idx="195">
                  <c:v>-0.18054746178300699</c:v>
                </c:pt>
                <c:pt idx="196">
                  <c:v>2.1407029755397673E-2</c:v>
                </c:pt>
                <c:pt idx="197">
                  <c:v>4.4582854305078808E-2</c:v>
                </c:pt>
                <c:pt idx="198">
                  <c:v>7.6426103877317922E-2</c:v>
                </c:pt>
                <c:pt idx="199">
                  <c:v>5.4111995770512483E-2</c:v>
                </c:pt>
                <c:pt idx="200">
                  <c:v>-0.37205548669616384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3-49A2-A74D-4B2DE28A2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523776"/>
        <c:axId val="1723524256"/>
      </c:lineChart>
      <c:catAx>
        <c:axId val="1723523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24256"/>
        <c:crosses val="autoZero"/>
        <c:auto val="1"/>
        <c:lblAlgn val="ctr"/>
        <c:lblOffset val="100"/>
        <c:noMultiLvlLbl val="0"/>
      </c:catAx>
      <c:valAx>
        <c:axId val="172352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2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10</xdr:row>
      <xdr:rowOff>52387</xdr:rowOff>
    </xdr:from>
    <xdr:to>
      <xdr:col>12</xdr:col>
      <xdr:colOff>0</xdr:colOff>
      <xdr:row>24</xdr:row>
      <xdr:rowOff>128587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224CB77-EC1C-E06E-9B0A-A5D2296B3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95250</xdr:colOff>
      <xdr:row>10</xdr:row>
      <xdr:rowOff>52387</xdr:rowOff>
    </xdr:from>
    <xdr:to>
      <xdr:col>12</xdr:col>
      <xdr:colOff>0</xdr:colOff>
      <xdr:row>24</xdr:row>
      <xdr:rowOff>128587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232D56D-7776-7E7F-614C-8CCCEEEDF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D15" sqref="D15"/>
    </sheetView>
  </sheetViews>
  <sheetFormatPr defaultRowHeight="15" x14ac:dyDescent="0.25"/>
  <cols>
    <col min="1" max="1" width="15.7109375" customWidth="1"/>
    <col min="2" max="2" width="17.28515625" customWidth="1"/>
  </cols>
  <sheetData>
    <row r="1" spans="1:4" x14ac:dyDescent="0.25">
      <c r="A1" t="s">
        <v>0</v>
      </c>
      <c r="B1">
        <v>0.9</v>
      </c>
      <c r="D1" t="s">
        <v>31</v>
      </c>
    </row>
    <row r="2" spans="1:4" x14ac:dyDescent="0.25">
      <c r="A2" t="s">
        <v>1</v>
      </c>
      <c r="B2">
        <v>0.25</v>
      </c>
      <c r="D2" t="s">
        <v>32</v>
      </c>
    </row>
    <row r="3" spans="1:4" x14ac:dyDescent="0.25">
      <c r="A3" t="s">
        <v>2</v>
      </c>
      <c r="B3">
        <v>3</v>
      </c>
      <c r="D3" t="s">
        <v>33</v>
      </c>
    </row>
    <row r="4" spans="1:4" x14ac:dyDescent="0.25">
      <c r="A4" t="s">
        <v>3</v>
      </c>
      <c r="B4">
        <v>0.25</v>
      </c>
      <c r="D4" t="s">
        <v>34</v>
      </c>
    </row>
    <row r="5" spans="1:4" x14ac:dyDescent="0.25">
      <c r="A5" t="s">
        <v>4</v>
      </c>
      <c r="B5">
        <v>0.1</v>
      </c>
      <c r="D5" t="s">
        <v>35</v>
      </c>
    </row>
    <row r="6" spans="1:4" x14ac:dyDescent="0.25">
      <c r="A6" t="s">
        <v>5</v>
      </c>
      <c r="B6">
        <v>0.1</v>
      </c>
      <c r="D6" t="s">
        <v>36</v>
      </c>
    </row>
    <row r="7" spans="1:4" x14ac:dyDescent="0.25">
      <c r="A7" t="s">
        <v>6</v>
      </c>
      <c r="B7">
        <v>0.9</v>
      </c>
      <c r="D7" t="s">
        <v>37</v>
      </c>
    </row>
    <row r="8" spans="1:4" x14ac:dyDescent="0.25">
      <c r="A8" t="s">
        <v>7</v>
      </c>
      <c r="B8">
        <v>0.02</v>
      </c>
      <c r="D8" t="s">
        <v>38</v>
      </c>
    </row>
    <row r="9" spans="1:4" x14ac:dyDescent="0.25">
      <c r="A9" t="s">
        <v>8</v>
      </c>
      <c r="B9">
        <v>0</v>
      </c>
      <c r="D9" t="s">
        <v>39</v>
      </c>
    </row>
    <row r="10" spans="1:4" x14ac:dyDescent="0.25">
      <c r="A10" t="s">
        <v>9</v>
      </c>
      <c r="B10">
        <v>0.05</v>
      </c>
      <c r="D10" t="s">
        <v>40</v>
      </c>
    </row>
    <row r="11" spans="1:4" x14ac:dyDescent="0.25">
      <c r="A11" t="s">
        <v>10</v>
      </c>
      <c r="B11">
        <v>200</v>
      </c>
      <c r="D11" t="s">
        <v>43</v>
      </c>
    </row>
    <row r="12" spans="1:4" x14ac:dyDescent="0.25">
      <c r="A12" t="s">
        <v>11</v>
      </c>
      <c r="B12" s="1">
        <f>IF(B20&gt;=0, (B18-SQRT(B20))/2, B18/2)</f>
        <v>-2.1048703349066333E-2</v>
      </c>
      <c r="D12" t="s">
        <v>44</v>
      </c>
    </row>
    <row r="13" spans="1:4" x14ac:dyDescent="0.25">
      <c r="A13" t="s">
        <v>12</v>
      </c>
      <c r="B13" s="2">
        <f>IF(B20&gt;=0, (B18+SQRT(B20))/2, B18/2)</f>
        <v>9.7987033490663303E-3</v>
      </c>
      <c r="D13" t="s">
        <v>45</v>
      </c>
    </row>
    <row r="14" spans="1:4" x14ac:dyDescent="0.25">
      <c r="A14" t="s">
        <v>24</v>
      </c>
      <c r="B14">
        <f>(1 - B1)*B4*(B2 + B6*B3)</f>
        <v>1.3749999999999998E-2</v>
      </c>
      <c r="D14" t="s">
        <v>46</v>
      </c>
    </row>
    <row r="15" spans="1:4" x14ac:dyDescent="0.25">
      <c r="A15" t="s">
        <v>25</v>
      </c>
      <c r="B15">
        <f>-(1 - B1)*B5*(B2 + B3*B6)</f>
        <v>-5.4999999999999997E-3</v>
      </c>
    </row>
    <row r="16" spans="1:4" x14ac:dyDescent="0.25">
      <c r="A16" t="s">
        <v>26</v>
      </c>
      <c r="B16">
        <f>B6*B4</f>
        <v>2.5000000000000001E-2</v>
      </c>
    </row>
    <row r="17" spans="1:4" x14ac:dyDescent="0.25">
      <c r="A17" t="s">
        <v>27</v>
      </c>
      <c r="B17">
        <f>-B6*B4</f>
        <v>-2.5000000000000001E-2</v>
      </c>
    </row>
    <row r="18" spans="1:4" x14ac:dyDescent="0.25">
      <c r="A18" t="s">
        <v>28</v>
      </c>
      <c r="B18">
        <f>B14 + B17</f>
        <v>-1.1250000000000003E-2</v>
      </c>
      <c r="D18" t="s">
        <v>47</v>
      </c>
    </row>
    <row r="19" spans="1:4" x14ac:dyDescent="0.25">
      <c r="A19" t="s">
        <v>29</v>
      </c>
      <c r="B19">
        <f>B14*B17 - B15*B16</f>
        <v>-2.0624999999999997E-4</v>
      </c>
      <c r="D19" t="s">
        <v>48</v>
      </c>
    </row>
    <row r="20" spans="1:4" x14ac:dyDescent="0.25">
      <c r="A20" t="s">
        <v>30</v>
      </c>
      <c r="B20">
        <f>B18^2 - 4*B19</f>
        <v>9.5156249999999993E-4</v>
      </c>
      <c r="D20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2"/>
  <sheetViews>
    <sheetView tabSelected="1" workbookViewId="0">
      <selection activeCell="S10" sqref="S10"/>
    </sheetView>
  </sheetViews>
  <sheetFormatPr defaultRowHeight="15" x14ac:dyDescent="0.25"/>
  <cols>
    <col min="1" max="12" width="14" customWidth="1"/>
  </cols>
  <sheetData>
    <row r="1" spans="1:15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s="4" t="s">
        <v>51</v>
      </c>
      <c r="L1" t="s">
        <v>23</v>
      </c>
      <c r="M1" t="s">
        <v>41</v>
      </c>
      <c r="N1" t="s">
        <v>42</v>
      </c>
      <c r="O1" s="3" t="s">
        <v>50</v>
      </c>
    </row>
    <row r="2" spans="1:15" x14ac:dyDescent="0.25">
      <c r="A2" cm="1">
        <f t="array" ref="A2:A202">_xlfn.SEQUENCE(Params!B11+1,1,0,1)</f>
        <v>0</v>
      </c>
      <c r="B2">
        <f>0</f>
        <v>0</v>
      </c>
      <c r="C2">
        <v>0.02</v>
      </c>
      <c r="D2">
        <v>0.02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f>E2+I2-L2</f>
        <v>0</v>
      </c>
      <c r="N2">
        <f>C2-K2</f>
        <v>0.02</v>
      </c>
      <c r="O2">
        <v>0</v>
      </c>
    </row>
    <row r="3" spans="1:15" x14ac:dyDescent="0.25">
      <c r="A3">
        <v>1</v>
      </c>
      <c r="B3">
        <f ca="1">IF(ROW()-1 &lt;= Params!$B$11, _xlfn.NORM.INV(RAND(), 0, Params!$B$10), "")</f>
        <v>5.0586542350439127E-2</v>
      </c>
      <c r="C3">
        <f>Params!$B$1*C2 + (1-Params!$B$1)*(Params!$B$8 + Params!$B$3*K2 + Params!$B$2*J2)</f>
        <v>0.02</v>
      </c>
      <c r="D3">
        <v>0.02</v>
      </c>
      <c r="E3">
        <f>(C3 - D3)/Params!$B$12 + Params!$B$9</f>
        <v>0</v>
      </c>
      <c r="F3">
        <f ca="1">Params!$B$6*F2 + B3</f>
        <v>5.0586542350439127E-2</v>
      </c>
      <c r="G3">
        <f>H3 + Params!$B$5*(E3 + I3 - L2) - Params!$B$6*(C3 - Params!$B$8)</f>
        <v>0</v>
      </c>
      <c r="H3">
        <v>0</v>
      </c>
      <c r="I3">
        <v>0</v>
      </c>
      <c r="J3">
        <f t="shared" ref="J3:J34" ca="1" si="0">G3 - F3</f>
        <v>-5.0586542350439127E-2</v>
      </c>
      <c r="K3">
        <f ca="1">Params!$B$6*J3</f>
        <v>-5.0586542350439133E-3</v>
      </c>
      <c r="L3">
        <f t="shared" ref="L3:L34" ca="1" si="1">L2 + K3</f>
        <v>-5.0586542350439133E-3</v>
      </c>
      <c r="M3">
        <f t="shared" ref="M3:M66" ca="1" si="2">E3+I3-L3</f>
        <v>5.0586542350439133E-3</v>
      </c>
      <c r="N3">
        <f t="shared" ref="N3:N66" ca="1" si="3">C3-K3</f>
        <v>2.5058654235043915E-2</v>
      </c>
      <c r="O3">
        <f>E3-E2</f>
        <v>0</v>
      </c>
    </row>
    <row r="4" spans="1:15" x14ac:dyDescent="0.25">
      <c r="A4">
        <v>2</v>
      </c>
      <c r="B4">
        <f ca="1">IF(ROW()-1 &lt;= Params!$B$11, _xlfn.NORM.INV(RAND(), 0, Params!$B$10), "")</f>
        <v>5.9787851667249536E-2</v>
      </c>
      <c r="C4">
        <f ca="1">Params!$B$1*C3 + (1-Params!$B$1)*(Params!$B$8 + Params!$B$3*K3 + Params!$B$2*J3)</f>
        <v>1.7217740170725849E-2</v>
      </c>
      <c r="D4">
        <v>0.02</v>
      </c>
      <c r="E4">
        <f ca="1">(C4 - D4)/Params!$B$12 + Params!$B$9</f>
        <v>0.13218200585251563</v>
      </c>
      <c r="F4">
        <f ca="1">Params!$B$6*F3 + B4</f>
        <v>6.4846505902293447E-2</v>
      </c>
      <c r="G4">
        <f ca="1">H4 + Params!$B$5*(E4 + I4 - L3) - Params!$B$6*(C4 - Params!$B$8)</f>
        <v>1.4002291991683371E-2</v>
      </c>
      <c r="H4">
        <v>0</v>
      </c>
      <c r="I4">
        <v>0</v>
      </c>
      <c r="J4">
        <f t="shared" ca="1" si="0"/>
        <v>-5.0844213910610073E-2</v>
      </c>
      <c r="K4">
        <f ca="1">Params!$B$6*J4</f>
        <v>-5.0844213910610078E-3</v>
      </c>
      <c r="L4">
        <f t="shared" ca="1" si="1"/>
        <v>-1.0143075626104921E-2</v>
      </c>
      <c r="M4">
        <f t="shared" ca="1" si="2"/>
        <v>0.14232508147862055</v>
      </c>
      <c r="N4">
        <f t="shared" ca="1" si="3"/>
        <v>2.2302161561786858E-2</v>
      </c>
      <c r="O4">
        <f t="shared" ref="O4:O67" ca="1" si="4">E4-E3</f>
        <v>0.13218200585251563</v>
      </c>
    </row>
    <row r="5" spans="1:15" x14ac:dyDescent="0.25">
      <c r="A5">
        <v>3</v>
      </c>
      <c r="B5">
        <f ca="1">IF(ROW()-1 &lt;= Params!$B$11, _xlfn.NORM.INV(RAND(), 0, Params!$B$10), "")</f>
        <v>-1.6543720516130043E-3</v>
      </c>
      <c r="C5">
        <f ca="1">Params!$B$1*C4 + (1-Params!$B$1)*(Params!$B$8 + Params!$B$3*K4 + Params!$B$2*J4)</f>
        <v>1.469953438856971E-2</v>
      </c>
      <c r="D5">
        <v>0.02</v>
      </c>
      <c r="E5">
        <f ca="1">(C5 - D5)/Params!$B$12 + Params!$B$9</f>
        <v>0.25181910370100807</v>
      </c>
      <c r="F5">
        <f ca="1">Params!$B$6*F4 + B5</f>
        <v>4.8302785386163411E-3</v>
      </c>
      <c r="G5">
        <f ca="1">H5 + Params!$B$5*(E5 + I5 - L4) - Params!$B$6*(C5 - Params!$B$8)</f>
        <v>2.6726264493854335E-2</v>
      </c>
      <c r="H5">
        <v>0</v>
      </c>
      <c r="I5">
        <v>0</v>
      </c>
      <c r="J5">
        <f t="shared" ca="1" si="0"/>
        <v>2.1895985955237993E-2</v>
      </c>
      <c r="K5">
        <f ca="1">Params!$B$6*J5</f>
        <v>2.1895985955237992E-3</v>
      </c>
      <c r="L5">
        <f t="shared" ca="1" si="1"/>
        <v>-7.9534770305811214E-3</v>
      </c>
      <c r="M5">
        <f t="shared" ca="1" si="2"/>
        <v>0.25977258073158921</v>
      </c>
      <c r="N5">
        <f t="shared" ca="1" si="3"/>
        <v>1.250993579304591E-2</v>
      </c>
      <c r="O5">
        <f t="shared" ca="1" si="4"/>
        <v>0.11963709784849244</v>
      </c>
    </row>
    <row r="6" spans="1:15" x14ac:dyDescent="0.25">
      <c r="A6">
        <v>4</v>
      </c>
      <c r="B6">
        <f ca="1">IF(ROW()-1 &lt;= Params!$B$11, _xlfn.NORM.INV(RAND(), 0, Params!$B$10), "")</f>
        <v>-4.7471503198066433E-4</v>
      </c>
      <c r="C6">
        <f ca="1">Params!$B$1*C5 + (1-Params!$B$1)*(Params!$B$8 + Params!$B$3*K5 + Params!$B$2*J5)</f>
        <v>1.6433860177250827E-2</v>
      </c>
      <c r="D6">
        <v>0.02</v>
      </c>
      <c r="E6">
        <f ca="1">(C6 - D6)/Params!$B$12 + Params!$B$9</f>
        <v>0.16942325442138736</v>
      </c>
      <c r="F6">
        <f ca="1">Params!$B$6*F5 + B6</f>
        <v>8.3128218809698138E-6</v>
      </c>
      <c r="G6">
        <f ca="1">H6 + Params!$B$5*(E6 + I6 - L5) - Params!$B$6*(C6 - Params!$B$8)</f>
        <v>1.8094287127471763E-2</v>
      </c>
      <c r="H6">
        <v>0</v>
      </c>
      <c r="I6">
        <v>0</v>
      </c>
      <c r="J6">
        <f t="shared" ca="1" si="0"/>
        <v>1.8085974305590793E-2</v>
      </c>
      <c r="K6">
        <f ca="1">Params!$B$6*J6</f>
        <v>1.8085974305590794E-3</v>
      </c>
      <c r="L6">
        <f t="shared" ca="1" si="1"/>
        <v>-6.1448796000220423E-3</v>
      </c>
      <c r="M6">
        <f t="shared" ca="1" si="2"/>
        <v>0.17556813402140942</v>
      </c>
      <c r="N6">
        <f t="shared" ca="1" si="3"/>
        <v>1.4625262746691747E-2</v>
      </c>
      <c r="O6">
        <f t="shared" ca="1" si="4"/>
        <v>-8.2395849279620709E-2</v>
      </c>
    </row>
    <row r="7" spans="1:15" x14ac:dyDescent="0.25">
      <c r="A7">
        <v>5</v>
      </c>
      <c r="B7">
        <f ca="1">IF(ROW()-1 &lt;= Params!$B$11, _xlfn.NORM.INV(RAND(), 0, Params!$B$10), "")</f>
        <v>1.2575536631733423E-2</v>
      </c>
      <c r="C7">
        <f ca="1">Params!$B$1*C6 + (1-Params!$B$1)*(Params!$B$8 + Params!$B$3*K6 + Params!$B$2*J6)</f>
        <v>1.7785202746333238E-2</v>
      </c>
      <c r="D7">
        <v>0.02</v>
      </c>
      <c r="E7">
        <f ca="1">(C7 - D7)/Params!$B$12 + Params!$B$9</f>
        <v>0.10522250311276324</v>
      </c>
      <c r="F7">
        <f ca="1">Params!$B$6*F6 + B7</f>
        <v>1.257636791392152E-2</v>
      </c>
      <c r="G7">
        <f ca="1">H7 + Params!$B$5*(E7 + I7 - L6) - Params!$B$6*(C7 - Params!$B$8)</f>
        <v>1.1358217996645204E-2</v>
      </c>
      <c r="H7">
        <v>0</v>
      </c>
      <c r="I7">
        <v>0</v>
      </c>
      <c r="J7">
        <f t="shared" ca="1" si="0"/>
        <v>-1.2181499172763156E-3</v>
      </c>
      <c r="K7">
        <f ca="1">Params!$B$6*J7</f>
        <v>-1.2181499172763157E-4</v>
      </c>
      <c r="L7">
        <f t="shared" ca="1" si="1"/>
        <v>-6.2666945917496742E-3</v>
      </c>
      <c r="M7">
        <f t="shared" ca="1" si="2"/>
        <v>0.11148919770451292</v>
      </c>
      <c r="N7">
        <f t="shared" ca="1" si="3"/>
        <v>1.790701773806087E-2</v>
      </c>
      <c r="O7">
        <f t="shared" ca="1" si="4"/>
        <v>-6.4200751308624127E-2</v>
      </c>
    </row>
    <row r="8" spans="1:15" x14ac:dyDescent="0.25">
      <c r="A8">
        <v>6</v>
      </c>
      <c r="B8">
        <f ca="1">IF(ROW()-1 &lt;= Params!$B$11, _xlfn.NORM.INV(RAND(), 0, Params!$B$10), "")</f>
        <v>9.4231533379761628E-3</v>
      </c>
      <c r="C8">
        <f ca="1">Params!$B$1*C7 + (1-Params!$B$1)*(Params!$B$8 + Params!$B$3*K7 + Params!$B$2*J7)</f>
        <v>1.7939684226249718E-2</v>
      </c>
      <c r="D8">
        <v>0.02</v>
      </c>
      <c r="E8">
        <f ca="1">(C8 - D8)/Params!$B$12 + Params!$B$9</f>
        <v>9.7883263381241634E-2</v>
      </c>
      <c r="F8">
        <f ca="1">Params!$B$6*F7 + B8</f>
        <v>1.0680790129368315E-2</v>
      </c>
      <c r="G8">
        <f ca="1">H8 + Params!$B$5*(E8 + I8 - L7) - Params!$B$6*(C8 - Params!$B$8)</f>
        <v>1.0621027374674161E-2</v>
      </c>
      <c r="H8">
        <v>0</v>
      </c>
      <c r="I8">
        <v>0</v>
      </c>
      <c r="J8">
        <f t="shared" ca="1" si="0"/>
        <v>-5.9762754694154055E-5</v>
      </c>
      <c r="K8">
        <f ca="1">Params!$B$6*J8</f>
        <v>-5.9762754694154058E-6</v>
      </c>
      <c r="L8">
        <f t="shared" ca="1" si="1"/>
        <v>-6.2726708672190892E-3</v>
      </c>
      <c r="M8">
        <f t="shared" ca="1" si="2"/>
        <v>0.10415593424846073</v>
      </c>
      <c r="N8">
        <f t="shared" ca="1" si="3"/>
        <v>1.7945660501719134E-2</v>
      </c>
      <c r="O8">
        <f t="shared" ca="1" si="4"/>
        <v>-7.3392397315216046E-3</v>
      </c>
    </row>
    <row r="9" spans="1:15" x14ac:dyDescent="0.25">
      <c r="A9">
        <v>7</v>
      </c>
      <c r="B9">
        <f ca="1">IF(ROW()-1 &lt;= Params!$B$11, _xlfn.NORM.INV(RAND(), 0, Params!$B$10), "")</f>
        <v>3.249615156455879E-2</v>
      </c>
      <c r="C9">
        <f ca="1">Params!$B$1*C8 + (1-Params!$B$1)*(Params!$B$8 + Params!$B$3*K8 + Params!$B$2*J8)</f>
        <v>1.814242885211657E-2</v>
      </c>
      <c r="D9">
        <v>0.02</v>
      </c>
      <c r="E9">
        <f ca="1">(C9 - D9)/Params!$B$12 + Params!$B$9</f>
        <v>8.8251096377669605E-2</v>
      </c>
      <c r="F9">
        <f ca="1">Params!$B$6*F8 + B9</f>
        <v>3.3564230577495621E-2</v>
      </c>
      <c r="G9">
        <f ca="1">H9 + Params!$B$5*(E9 + I9 - L8) - Params!$B$6*(C9 - Params!$B$8)</f>
        <v>9.6381338392772138E-3</v>
      </c>
      <c r="H9">
        <v>0</v>
      </c>
      <c r="I9">
        <v>0</v>
      </c>
      <c r="J9">
        <f t="shared" ca="1" si="0"/>
        <v>-2.3926096738218407E-2</v>
      </c>
      <c r="K9">
        <f ca="1">Params!$B$6*J9</f>
        <v>-2.3926096738218407E-3</v>
      </c>
      <c r="L9">
        <f t="shared" ca="1" si="1"/>
        <v>-8.66528054104093E-3</v>
      </c>
      <c r="M9">
        <f t="shared" ca="1" si="2"/>
        <v>9.6916376918710537E-2</v>
      </c>
      <c r="N9">
        <f t="shared" ca="1" si="3"/>
        <v>2.0535038525938409E-2</v>
      </c>
      <c r="O9">
        <f t="shared" ca="1" si="4"/>
        <v>-9.6321670035720286E-3</v>
      </c>
    </row>
    <row r="10" spans="1:15" x14ac:dyDescent="0.25">
      <c r="A10">
        <v>8</v>
      </c>
      <c r="B10">
        <f ca="1">IF(ROW()-1 &lt;= Params!$B$11, _xlfn.NORM.INV(RAND(), 0, Params!$B$10), "")</f>
        <v>3.569718429817885E-2</v>
      </c>
      <c r="C10">
        <f ca="1">Params!$B$1*C9 + (1-Params!$B$1)*(Params!$B$8 + Params!$B$3*K9 + Params!$B$2*J9)</f>
        <v>1.70122506463029E-2</v>
      </c>
      <c r="D10">
        <v>0.02</v>
      </c>
      <c r="E10">
        <f ca="1">(C10 - D10)/Params!$B$12 + Params!$B$9</f>
        <v>0.1419445798702669</v>
      </c>
      <c r="F10">
        <f ca="1">Params!$B$6*F9 + B10</f>
        <v>3.9053607355928409E-2</v>
      </c>
      <c r="G10">
        <f ca="1">H10 + Params!$B$5*(E10 + I10 - L9) - Params!$B$6*(C10 - Params!$B$8)</f>
        <v>1.5359760976500495E-2</v>
      </c>
      <c r="H10">
        <v>0</v>
      </c>
      <c r="I10">
        <v>0</v>
      </c>
      <c r="J10">
        <f t="shared" ca="1" si="0"/>
        <v>-2.3693846379427914E-2</v>
      </c>
      <c r="K10">
        <f ca="1">Params!$B$6*J10</f>
        <v>-2.3693846379427915E-3</v>
      </c>
      <c r="L10">
        <f t="shared" ca="1" si="1"/>
        <v>-1.1034665178983721E-2</v>
      </c>
      <c r="M10">
        <f t="shared" ca="1" si="2"/>
        <v>0.15297924504925062</v>
      </c>
      <c r="N10">
        <f t="shared" ca="1" si="3"/>
        <v>1.9381635284245691E-2</v>
      </c>
      <c r="O10">
        <f t="shared" ca="1" si="4"/>
        <v>5.3693483492597296E-2</v>
      </c>
    </row>
    <row r="11" spans="1:15" x14ac:dyDescent="0.25">
      <c r="A11">
        <v>9</v>
      </c>
      <c r="B11">
        <f ca="1">IF(ROW()-1 &lt;= Params!$B$11, _xlfn.NORM.INV(RAND(), 0, Params!$B$10), "")</f>
        <v>-2.1743077254401964E-2</v>
      </c>
      <c r="C11">
        <f ca="1">Params!$B$1*C10 + (1-Params!$B$1)*(Params!$B$8 + Params!$B$3*K10 + Params!$B$2*J10)</f>
        <v>1.6007864030804075E-2</v>
      </c>
      <c r="D11">
        <v>0.02</v>
      </c>
      <c r="E11">
        <f ca="1">(C11 - D11)/Params!$B$12 + Params!$B$9</f>
        <v>0.18966184771533715</v>
      </c>
      <c r="F11">
        <f ca="1">Params!$B$6*F10 + B11</f>
        <v>-1.7837716518809124E-2</v>
      </c>
      <c r="G11">
        <f ca="1">H11 + Params!$B$5*(E11 + I11 - L10) - Params!$B$6*(C11 - Params!$B$8)</f>
        <v>2.0468864886351679E-2</v>
      </c>
      <c r="H11">
        <v>0</v>
      </c>
      <c r="I11">
        <v>0</v>
      </c>
      <c r="J11">
        <f t="shared" ca="1" si="0"/>
        <v>3.83065814051608E-2</v>
      </c>
      <c r="K11">
        <f ca="1">Params!$B$6*J11</f>
        <v>3.8306581405160803E-3</v>
      </c>
      <c r="L11">
        <f t="shared" ca="1" si="1"/>
        <v>-7.2040070384676407E-3</v>
      </c>
      <c r="M11">
        <f t="shared" ca="1" si="2"/>
        <v>0.19686585475380478</v>
      </c>
      <c r="N11">
        <f t="shared" ca="1" si="3"/>
        <v>1.2177205890287994E-2</v>
      </c>
      <c r="O11">
        <f t="shared" ca="1" si="4"/>
        <v>4.7717267845070244E-2</v>
      </c>
    </row>
    <row r="12" spans="1:15" x14ac:dyDescent="0.25">
      <c r="A12">
        <v>10</v>
      </c>
      <c r="B12">
        <f ca="1">IF(ROW()-1 &lt;= Params!$B$11, _xlfn.NORM.INV(RAND(), 0, Params!$B$10), "")</f>
        <v>-8.3142135966041184E-2</v>
      </c>
      <c r="C12">
        <f ca="1">Params!$B$1*C11 + (1-Params!$B$1)*(Params!$B$8 + Params!$B$3*K11 + Params!$B$2*J11)</f>
        <v>1.8513939605007509E-2</v>
      </c>
      <c r="D12">
        <v>0.02</v>
      </c>
      <c r="E12">
        <f ca="1">(C12 - D12)/Params!$B$12 + Params!$B$9</f>
        <v>7.0601042275528519E-2</v>
      </c>
      <c r="F12">
        <f ca="1">Params!$B$6*F11 + B12</f>
        <v>-8.4925907617922097E-2</v>
      </c>
      <c r="G12">
        <f ca="1">H12 + Params!$B$5*(E12 + I12 - L11) - Params!$B$6*(C12 - Params!$B$8)</f>
        <v>7.9291109708988661E-3</v>
      </c>
      <c r="H12">
        <v>0</v>
      </c>
      <c r="I12">
        <v>0</v>
      </c>
      <c r="J12">
        <f t="shared" ca="1" si="0"/>
        <v>9.2855018588820962E-2</v>
      </c>
      <c r="K12">
        <f ca="1">Params!$B$6*J12</f>
        <v>9.2855018588820972E-3</v>
      </c>
      <c r="L12">
        <f t="shared" ca="1" si="1"/>
        <v>2.0814948204144566E-3</v>
      </c>
      <c r="M12">
        <f t="shared" ca="1" si="2"/>
        <v>6.8519547455114058E-2</v>
      </c>
      <c r="N12">
        <f t="shared" ca="1" si="3"/>
        <v>9.2284377461254122E-3</v>
      </c>
      <c r="O12">
        <f t="shared" ca="1" si="4"/>
        <v>-0.11906080543980863</v>
      </c>
    </row>
    <row r="13" spans="1:15" x14ac:dyDescent="0.25">
      <c r="A13">
        <v>11</v>
      </c>
      <c r="B13">
        <f ca="1">IF(ROW()-1 &lt;= Params!$B$11, _xlfn.NORM.INV(RAND(), 0, Params!$B$10), "")</f>
        <v>-7.6281061872678357E-2</v>
      </c>
      <c r="C13">
        <f ca="1">Params!$B$1*C12 + (1-Params!$B$1)*(Params!$B$8 + Params!$B$3*K12 + Params!$B$2*J12)</f>
        <v>2.376957166689191E-2</v>
      </c>
      <c r="D13">
        <v>0.02</v>
      </c>
      <c r="E13">
        <f ca="1">(C13 - D13)/Params!$B$12 + Params!$B$9</f>
        <v>-0.1790880703850633</v>
      </c>
      <c r="F13">
        <f ca="1">Params!$B$6*F12 + B13</f>
        <v>-8.4773652634470564E-2</v>
      </c>
      <c r="G13">
        <f ca="1">H13 + Params!$B$5*(E13 + I13 - L12) - Params!$B$6*(C13 - Params!$B$8)</f>
        <v>-1.8493913687236966E-2</v>
      </c>
      <c r="H13">
        <v>0</v>
      </c>
      <c r="I13">
        <v>0</v>
      </c>
      <c r="J13">
        <f t="shared" ca="1" si="0"/>
        <v>6.6279738947233602E-2</v>
      </c>
      <c r="K13">
        <f ca="1">Params!$B$6*J13</f>
        <v>6.6279738947233602E-3</v>
      </c>
      <c r="L13">
        <f t="shared" ca="1" si="1"/>
        <v>8.7094687151378167E-3</v>
      </c>
      <c r="M13">
        <f t="shared" ca="1" si="2"/>
        <v>-0.18779753910020111</v>
      </c>
      <c r="N13">
        <f t="shared" ca="1" si="3"/>
        <v>1.7141597772168549E-2</v>
      </c>
      <c r="O13">
        <f t="shared" ca="1" si="4"/>
        <v>-0.24968911266059182</v>
      </c>
    </row>
    <row r="14" spans="1:15" x14ac:dyDescent="0.25">
      <c r="A14">
        <v>12</v>
      </c>
      <c r="B14">
        <f ca="1">IF(ROW()-1 &lt;= Params!$B$11, _xlfn.NORM.INV(RAND(), 0, Params!$B$10), "")</f>
        <v>3.0619169219367283E-2</v>
      </c>
      <c r="C14">
        <f ca="1">Params!$B$1*C13 + (1-Params!$B$1)*(Params!$B$8 + Params!$B$3*K13 + Params!$B$2*J13)</f>
        <v>2.7038000142300567E-2</v>
      </c>
      <c r="D14">
        <v>0.02</v>
      </c>
      <c r="E14">
        <f ca="1">(C14 - D14)/Params!$B$12 + Params!$B$9</f>
        <v>-0.33436739667922366</v>
      </c>
      <c r="F14">
        <f ca="1">Params!$B$6*F13 + B14</f>
        <v>2.2141803955920226E-2</v>
      </c>
      <c r="G14">
        <f ca="1">H14 + Params!$B$5*(E14 + I14 - L13) - Params!$B$6*(C14 - Params!$B$8)</f>
        <v>-3.5011486553666211E-2</v>
      </c>
      <c r="H14">
        <v>0</v>
      </c>
      <c r="I14">
        <v>0</v>
      </c>
      <c r="J14">
        <f t="shared" ca="1" si="0"/>
        <v>-5.7153290509586438E-2</v>
      </c>
      <c r="K14">
        <f ca="1">Params!$B$6*J14</f>
        <v>-5.7153290509586443E-3</v>
      </c>
      <c r="L14">
        <f t="shared" ca="1" si="1"/>
        <v>2.9941396641791724E-3</v>
      </c>
      <c r="M14">
        <f t="shared" ca="1" si="2"/>
        <v>-0.33736153634340282</v>
      </c>
      <c r="N14">
        <f t="shared" ca="1" si="3"/>
        <v>3.2753329193259212E-2</v>
      </c>
      <c r="O14">
        <f t="shared" ca="1" si="4"/>
        <v>-0.15527932629416036</v>
      </c>
    </row>
    <row r="15" spans="1:15" x14ac:dyDescent="0.25">
      <c r="A15">
        <v>13</v>
      </c>
      <c r="B15">
        <f ca="1">IF(ROW()-1 &lt;= Params!$B$11, _xlfn.NORM.INV(RAND(), 0, Params!$B$10), "")</f>
        <v>0.12376334165873162</v>
      </c>
      <c r="C15">
        <f ca="1">Params!$B$1*C14 + (1-Params!$B$1)*(Params!$B$8 + Params!$B$3*K14 + Params!$B$2*J14)</f>
        <v>2.3190769150043256E-2</v>
      </c>
      <c r="D15">
        <v>0.02</v>
      </c>
      <c r="E15">
        <f ca="1">(C15 - D15)/Params!$B$12 + Params!$B$9</f>
        <v>-0.15158981991091577</v>
      </c>
      <c r="F15">
        <f ca="1">Params!$B$6*F14 + B15</f>
        <v>0.12597752205432364</v>
      </c>
      <c r="G15">
        <f ca="1">H15 + Params!$B$5*(E15 + I15 - L14) - Params!$B$6*(C15 - Params!$B$8)</f>
        <v>-1.5777472872513819E-2</v>
      </c>
      <c r="H15">
        <v>0</v>
      </c>
      <c r="I15">
        <v>0</v>
      </c>
      <c r="J15">
        <f t="shared" ca="1" si="0"/>
        <v>-0.14175499492683746</v>
      </c>
      <c r="K15">
        <f ca="1">Params!$B$6*J15</f>
        <v>-1.4175499492683747E-2</v>
      </c>
      <c r="L15">
        <f t="shared" ca="1" si="1"/>
        <v>-1.1181359828504576E-2</v>
      </c>
      <c r="M15">
        <f t="shared" ca="1" si="2"/>
        <v>-0.1404084600824112</v>
      </c>
      <c r="N15">
        <f t="shared" ca="1" si="3"/>
        <v>3.7366268642727005E-2</v>
      </c>
      <c r="O15">
        <f t="shared" ca="1" si="4"/>
        <v>0.18277757676830789</v>
      </c>
    </row>
    <row r="16" spans="1:15" x14ac:dyDescent="0.25">
      <c r="A16">
        <v>14</v>
      </c>
      <c r="B16">
        <f ca="1">IF(ROW()-1 &lt;= Params!$B$11, _xlfn.NORM.INV(RAND(), 0, Params!$B$10), "")</f>
        <v>7.0319885331973512E-4</v>
      </c>
      <c r="C16">
        <f ca="1">Params!$B$1*C15 + (1-Params!$B$1)*(Params!$B$8 + Params!$B$3*K15 + Params!$B$2*J15)</f>
        <v>1.5075167514062869E-2</v>
      </c>
      <c r="D16">
        <v>0.02</v>
      </c>
      <c r="E16">
        <f ca="1">(C16 - D16)/Params!$B$12 + Params!$B$9</f>
        <v>0.23397320035657135</v>
      </c>
      <c r="F16">
        <f ca="1">Params!$B$6*F15 + B16</f>
        <v>1.3300951058752099E-2</v>
      </c>
      <c r="G16">
        <f ca="1">H16 + Params!$B$5*(E16 + I16 - L15) - Params!$B$6*(C16 - Params!$B$8)</f>
        <v>2.5007939267101306E-2</v>
      </c>
      <c r="H16">
        <v>0</v>
      </c>
      <c r="I16">
        <v>0</v>
      </c>
      <c r="J16">
        <f t="shared" ca="1" si="0"/>
        <v>1.1706988208349207E-2</v>
      </c>
      <c r="K16">
        <f ca="1">Params!$B$6*J16</f>
        <v>1.1706988208349208E-3</v>
      </c>
      <c r="L16">
        <f t="shared" ca="1" si="1"/>
        <v>-1.0010661007669655E-2</v>
      </c>
      <c r="M16">
        <f t="shared" ca="1" si="2"/>
        <v>0.24398386136424099</v>
      </c>
      <c r="N16">
        <f t="shared" ca="1" si="3"/>
        <v>1.3904468693227949E-2</v>
      </c>
      <c r="O16">
        <f t="shared" ca="1" si="4"/>
        <v>0.38556302026748712</v>
      </c>
    </row>
    <row r="17" spans="1:15" x14ac:dyDescent="0.25">
      <c r="A17">
        <v>15</v>
      </c>
      <c r="B17">
        <f ca="1">IF(ROW()-1 &lt;= Params!$B$11, _xlfn.NORM.INV(RAND(), 0, Params!$B$10), "")</f>
        <v>-1.4143833750182341E-3</v>
      </c>
      <c r="C17">
        <f ca="1">Params!$B$1*C16 + (1-Params!$B$1)*(Params!$B$8 + Params!$B$3*K16 + Params!$B$2*J16)</f>
        <v>1.6211535114115789E-2</v>
      </c>
      <c r="D17">
        <v>0.02</v>
      </c>
      <c r="E17">
        <f ca="1">(C17 - D17)/Params!$B$12 + Params!$B$9</f>
        <v>0.1799856657703458</v>
      </c>
      <c r="F17">
        <f ca="1">Params!$B$6*F16 + B17</f>
        <v>-8.4288269143024128E-5</v>
      </c>
      <c r="G17">
        <f ca="1">H17 + Params!$B$5*(E17 + I17 - L16) - Params!$B$6*(C17 - Params!$B$8)</f>
        <v>1.9378479166389968E-2</v>
      </c>
      <c r="H17">
        <v>0</v>
      </c>
      <c r="I17">
        <v>0</v>
      </c>
      <c r="J17">
        <f t="shared" ca="1" si="0"/>
        <v>1.9462767435532994E-2</v>
      </c>
      <c r="K17">
        <f ca="1">Params!$B$6*J17</f>
        <v>1.9462767435532995E-3</v>
      </c>
      <c r="L17">
        <f t="shared" ca="1" si="1"/>
        <v>-8.0643842641163564E-3</v>
      </c>
      <c r="M17">
        <f t="shared" ca="1" si="2"/>
        <v>0.18805005003446215</v>
      </c>
      <c r="N17">
        <f t="shared" ca="1" si="3"/>
        <v>1.426525837056249E-2</v>
      </c>
      <c r="O17">
        <f t="shared" ca="1" si="4"/>
        <v>-5.3987534586225544E-2</v>
      </c>
    </row>
    <row r="18" spans="1:15" x14ac:dyDescent="0.25">
      <c r="A18">
        <v>16</v>
      </c>
      <c r="B18">
        <f ca="1">IF(ROW()-1 &lt;= Params!$B$11, _xlfn.NORM.INV(RAND(), 0, Params!$B$10), "")</f>
        <v>1.4702886702254317E-2</v>
      </c>
      <c r="C18">
        <f ca="1">Params!$B$1*C17 + (1-Params!$B$1)*(Params!$B$8 + Params!$B$3*K17 + Params!$B$2*J17)</f>
        <v>1.7660833811658526E-2</v>
      </c>
      <c r="D18">
        <v>0.02</v>
      </c>
      <c r="E18">
        <f ca="1">(C18 - D18)/Params!$B$12 + Params!$B$9</f>
        <v>0.11113113000593616</v>
      </c>
      <c r="F18">
        <f ca="1">Params!$B$6*F17 + B18</f>
        <v>1.4694457875340015E-2</v>
      </c>
      <c r="G18">
        <f ca="1">H18 + Params!$B$5*(E18 + I18 - L17) - Params!$B$6*(C18 - Params!$B$8)</f>
        <v>1.2153468045839401E-2</v>
      </c>
      <c r="H18">
        <v>0</v>
      </c>
      <c r="I18">
        <v>0</v>
      </c>
      <c r="J18">
        <f t="shared" ca="1" si="0"/>
        <v>-2.5409898295006145E-3</v>
      </c>
      <c r="K18">
        <f ca="1">Params!$B$6*J18</f>
        <v>-2.5409898295006148E-4</v>
      </c>
      <c r="L18">
        <f t="shared" ca="1" si="1"/>
        <v>-8.3184832470664175E-3</v>
      </c>
      <c r="M18">
        <f t="shared" ca="1" si="2"/>
        <v>0.11944961325300257</v>
      </c>
      <c r="N18">
        <f t="shared" ca="1" si="3"/>
        <v>1.7914932794608589E-2</v>
      </c>
      <c r="O18">
        <f t="shared" ca="1" si="4"/>
        <v>-6.8854535764409641E-2</v>
      </c>
    </row>
    <row r="19" spans="1:15" x14ac:dyDescent="0.25">
      <c r="A19">
        <v>17</v>
      </c>
      <c r="B19">
        <f ca="1">IF(ROW()-1 &lt;= Params!$B$11, _xlfn.NORM.INV(RAND(), 0, Params!$B$10), "")</f>
        <v>-2.7108088128818965E-2</v>
      </c>
      <c r="C19">
        <f ca="1">Params!$B$1*C18 + (1-Params!$B$1)*(Params!$B$8 + Params!$B$3*K18 + Params!$B$2*J18)</f>
        <v>1.775499598987014E-2</v>
      </c>
      <c r="D19">
        <v>0.02</v>
      </c>
      <c r="E19">
        <f ca="1">(C19 - D19)/Params!$B$12 + Params!$B$9</f>
        <v>0.1066575918192815</v>
      </c>
      <c r="F19">
        <f ca="1">Params!$B$6*F18 + B19</f>
        <v>-2.5638642341284962E-2</v>
      </c>
      <c r="G19">
        <f ca="1">H19 + Params!$B$5*(E19 + I19 - L18) - Params!$B$6*(C19 - Params!$B$8)</f>
        <v>1.1722107907647777E-2</v>
      </c>
      <c r="H19">
        <v>0</v>
      </c>
      <c r="I19">
        <v>0</v>
      </c>
      <c r="J19">
        <f t="shared" ca="1" si="0"/>
        <v>3.7360750248932741E-2</v>
      </c>
      <c r="K19">
        <f ca="1">Params!$B$6*J19</f>
        <v>3.7360750248932742E-3</v>
      </c>
      <c r="L19">
        <f t="shared" ca="1" si="1"/>
        <v>-4.5824082221731432E-3</v>
      </c>
      <c r="M19">
        <f t="shared" ca="1" si="2"/>
        <v>0.11124000004145464</v>
      </c>
      <c r="N19">
        <f t="shared" ca="1" si="3"/>
        <v>1.4018920964976866E-2</v>
      </c>
      <c r="O19">
        <f t="shared" ca="1" si="4"/>
        <v>-4.4735381866546631E-3</v>
      </c>
    </row>
    <row r="20" spans="1:15" x14ac:dyDescent="0.25">
      <c r="A20">
        <v>18</v>
      </c>
      <c r="B20">
        <f ca="1">IF(ROW()-1 &lt;= Params!$B$11, _xlfn.NORM.INV(RAND(), 0, Params!$B$10), "")</f>
        <v>2.7567882653263875E-2</v>
      </c>
      <c r="C20">
        <f ca="1">Params!$B$1*C19 + (1-Params!$B$1)*(Params!$B$8 + Params!$B$3*K19 + Params!$B$2*J19)</f>
        <v>2.0034337654574429E-2</v>
      </c>
      <c r="D20">
        <v>0.02</v>
      </c>
      <c r="E20">
        <f ca="1">(C20 - D20)/Params!$B$12 + Params!$B$9</f>
        <v>-1.631342986072887E-3</v>
      </c>
      <c r="F20">
        <f ca="1">Params!$B$6*F19 + B20</f>
        <v>2.5004018419135379E-2</v>
      </c>
      <c r="G20">
        <f ca="1">H20 + Params!$B$5*(E20 + I20 - L19) - Params!$B$6*(C20 - Params!$B$8)</f>
        <v>2.916727581525828E-4</v>
      </c>
      <c r="H20">
        <v>0</v>
      </c>
      <c r="I20">
        <v>0</v>
      </c>
      <c r="J20">
        <f t="shared" ca="1" si="0"/>
        <v>-2.4712345660982796E-2</v>
      </c>
      <c r="K20">
        <f ca="1">Params!$B$6*J20</f>
        <v>-2.4712345660982799E-3</v>
      </c>
      <c r="L20">
        <f t="shared" ca="1" si="1"/>
        <v>-7.0536427882714227E-3</v>
      </c>
      <c r="M20">
        <f t="shared" ca="1" si="2"/>
        <v>5.4222998021985352E-3</v>
      </c>
      <c r="N20">
        <f t="shared" ca="1" si="3"/>
        <v>2.2505572220672707E-2</v>
      </c>
      <c r="O20">
        <f t="shared" ca="1" si="4"/>
        <v>-0.10828893480535438</v>
      </c>
    </row>
    <row r="21" spans="1:15" x14ac:dyDescent="0.25">
      <c r="A21">
        <v>19</v>
      </c>
      <c r="B21">
        <f ca="1">IF(ROW()-1 &lt;= Params!$B$11, _xlfn.NORM.INV(RAND(), 0, Params!$B$10), "")</f>
        <v>-6.9641697569896729E-2</v>
      </c>
      <c r="C21">
        <f ca="1">Params!$B$1*C20 + (1-Params!$B$1)*(Params!$B$8 + Params!$B$3*K20 + Params!$B$2*J20)</f>
        <v>1.8671724877762932E-2</v>
      </c>
      <c r="D21">
        <v>0.02</v>
      </c>
      <c r="E21">
        <f ca="1">(C21 - D21)/Params!$B$12 + Params!$B$9</f>
        <v>6.3104843096949567E-2</v>
      </c>
      <c r="F21">
        <f ca="1">Params!$B$6*F20 + B21</f>
        <v>-6.7141295727983191E-2</v>
      </c>
      <c r="G21">
        <f ca="1">H21 + Params!$B$5*(E21 + I21 - L20) - Params!$B$6*(C21 - Params!$B$8)</f>
        <v>7.1486761007458054E-3</v>
      </c>
      <c r="H21">
        <v>0</v>
      </c>
      <c r="I21">
        <v>0</v>
      </c>
      <c r="J21">
        <f t="shared" ca="1" si="0"/>
        <v>7.4289971828728998E-2</v>
      </c>
      <c r="K21">
        <f ca="1">Params!$B$6*J21</f>
        <v>7.4289971828729005E-3</v>
      </c>
      <c r="L21">
        <f t="shared" ca="1" si="1"/>
        <v>3.7535439460147785E-4</v>
      </c>
      <c r="M21">
        <f t="shared" ca="1" si="2"/>
        <v>6.2729488702348096E-2</v>
      </c>
      <c r="N21">
        <f t="shared" ca="1" si="3"/>
        <v>1.1242727694890032E-2</v>
      </c>
      <c r="O21">
        <f t="shared" ca="1" si="4"/>
        <v>6.4736186083022451E-2</v>
      </c>
    </row>
    <row r="22" spans="1:15" x14ac:dyDescent="0.25">
      <c r="A22">
        <v>20</v>
      </c>
      <c r="B22">
        <f ca="1">IF(ROW()-1 &lt;= Params!$B$11, _xlfn.NORM.INV(RAND(), 0, Params!$B$10), "")</f>
        <v>-3.7628618735939812E-2</v>
      </c>
      <c r="C22">
        <f ca="1">Params!$B$1*C21 + (1-Params!$B$1)*(Params!$B$8 + Params!$B$3*K21 + Params!$B$2*J21)</f>
        <v>2.2890500840566735E-2</v>
      </c>
      <c r="D22">
        <v>0.02</v>
      </c>
      <c r="E22">
        <f ca="1">(C22 - D22)/Params!$B$12 + Params!$B$9</f>
        <v>-0.13732441341546819</v>
      </c>
      <c r="F22">
        <f ca="1">Params!$B$6*F21 + B22</f>
        <v>-4.4342748308738134E-2</v>
      </c>
      <c r="G22">
        <f ca="1">H22 + Params!$B$5*(E22 + I22 - L21) - Params!$B$6*(C22 - Params!$B$8)</f>
        <v>-1.4059026865063643E-2</v>
      </c>
      <c r="H22">
        <v>0</v>
      </c>
      <c r="I22">
        <v>0</v>
      </c>
      <c r="J22">
        <f t="shared" ca="1" si="0"/>
        <v>3.0283721443674493E-2</v>
      </c>
      <c r="K22">
        <f ca="1">Params!$B$6*J22</f>
        <v>3.0283721443674495E-3</v>
      </c>
      <c r="L22">
        <f t="shared" ca="1" si="1"/>
        <v>3.4037265389689274E-3</v>
      </c>
      <c r="M22">
        <f t="shared" ca="1" si="2"/>
        <v>-0.14072813995443711</v>
      </c>
      <c r="N22">
        <f t="shared" ca="1" si="3"/>
        <v>1.9862128696199285E-2</v>
      </c>
      <c r="O22">
        <f t="shared" ca="1" si="4"/>
        <v>-0.20042925651241777</v>
      </c>
    </row>
    <row r="23" spans="1:15" x14ac:dyDescent="0.25">
      <c r="A23">
        <v>21</v>
      </c>
      <c r="B23">
        <f ca="1">IF(ROW()-1 &lt;= Params!$B$11, _xlfn.NORM.INV(RAND(), 0, Params!$B$10), "")</f>
        <v>5.7910179040707756E-2</v>
      </c>
      <c r="C23">
        <f ca="1">Params!$B$1*C22 + (1-Params!$B$1)*(Params!$B$8 + Params!$B$3*K22 + Params!$B$2*J22)</f>
        <v>2.426705543591216E-2</v>
      </c>
      <c r="D23">
        <v>0.02</v>
      </c>
      <c r="E23">
        <f ca="1">(C23 - D23)/Params!$B$12 + Params!$B$9</f>
        <v>-0.2027229594692081</v>
      </c>
      <c r="F23">
        <f ca="1">Params!$B$6*F22 + B23</f>
        <v>5.347590420983394E-2</v>
      </c>
      <c r="G23">
        <f ca="1">H23 + Params!$B$5*(E23 + I23 - L22) - Params!$B$6*(C23 - Params!$B$8)</f>
        <v>-2.1039374144408918E-2</v>
      </c>
      <c r="H23">
        <v>0</v>
      </c>
      <c r="I23">
        <v>0</v>
      </c>
      <c r="J23">
        <f t="shared" ca="1" si="0"/>
        <v>-7.4515278354242862E-2</v>
      </c>
      <c r="K23">
        <f ca="1">Params!$B$6*J23</f>
        <v>-7.4515278354242865E-3</v>
      </c>
      <c r="L23">
        <f t="shared" ca="1" si="1"/>
        <v>-4.0478012964553587E-3</v>
      </c>
      <c r="M23">
        <f t="shared" ca="1" si="2"/>
        <v>-0.19867515817275275</v>
      </c>
      <c r="N23">
        <f t="shared" ca="1" si="3"/>
        <v>3.1718583271336448E-2</v>
      </c>
      <c r="O23">
        <f t="shared" ca="1" si="4"/>
        <v>-6.5398546053739903E-2</v>
      </c>
    </row>
    <row r="24" spans="1:15" x14ac:dyDescent="0.25">
      <c r="A24">
        <v>22</v>
      </c>
      <c r="B24">
        <f ca="1">IF(ROW()-1 &lt;= Params!$B$11, _xlfn.NORM.INV(RAND(), 0, Params!$B$10), "")</f>
        <v>-8.5346624044146058E-2</v>
      </c>
      <c r="C24">
        <f ca="1">Params!$B$1*C23 + (1-Params!$B$1)*(Params!$B$8 + Params!$B$3*K23 + Params!$B$2*J23)</f>
        <v>1.9742009582837589E-2</v>
      </c>
      <c r="D24">
        <v>0.02</v>
      </c>
      <c r="E24">
        <f ca="1">(C24 - D24)/Params!$B$12 + Params!$B$9</f>
        <v>1.2256831828733794E-2</v>
      </c>
      <c r="F24">
        <f ca="1">Params!$B$6*F23 + B24</f>
        <v>-7.9999033623162658E-2</v>
      </c>
      <c r="G24">
        <f ca="1">H24 + Params!$B$5*(E24 + I24 - L23) - Params!$B$6*(C24 - Params!$B$8)</f>
        <v>1.6562623542351565E-3</v>
      </c>
      <c r="H24">
        <v>0</v>
      </c>
      <c r="I24">
        <v>0</v>
      </c>
      <c r="J24">
        <f t="shared" ca="1" si="0"/>
        <v>8.1655295977397818E-2</v>
      </c>
      <c r="K24">
        <f ca="1">Params!$B$6*J24</f>
        <v>8.1655295977397825E-3</v>
      </c>
      <c r="L24">
        <f t="shared" ca="1" si="1"/>
        <v>4.1177283012844238E-3</v>
      </c>
      <c r="M24">
        <f t="shared" ca="1" si="2"/>
        <v>8.1391035274493706E-3</v>
      </c>
      <c r="N24">
        <f t="shared" ca="1" si="3"/>
        <v>1.1576479985097806E-2</v>
      </c>
      <c r="O24">
        <f t="shared" ca="1" si="4"/>
        <v>0.2149797912979419</v>
      </c>
    </row>
    <row r="25" spans="1:15" x14ac:dyDescent="0.25">
      <c r="A25">
        <v>23</v>
      </c>
      <c r="B25">
        <f ca="1">IF(ROW()-1 &lt;= Params!$B$11, _xlfn.NORM.INV(RAND(), 0, Params!$B$10), "")</f>
        <v>5.9065997026762254E-2</v>
      </c>
      <c r="C25">
        <f ca="1">Params!$B$1*C24 + (1-Params!$B$1)*(Params!$B$8 + Params!$B$3*K24 + Params!$B$2*J24)</f>
        <v>2.425884990331071E-2</v>
      </c>
      <c r="D25">
        <v>0.02</v>
      </c>
      <c r="E25">
        <f ca="1">(C25 - D25)/Params!$B$12 + Params!$B$9</f>
        <v>-0.20233312393086775</v>
      </c>
      <c r="F25">
        <f ca="1">Params!$B$6*F24 + B25</f>
        <v>5.1066093664445991E-2</v>
      </c>
      <c r="G25">
        <f ca="1">H25 + Params!$B$5*(E25 + I25 - L24) - Params!$B$6*(C25 - Params!$B$8)</f>
        <v>-2.107097021354629E-2</v>
      </c>
      <c r="H25">
        <v>0</v>
      </c>
      <c r="I25">
        <v>0</v>
      </c>
      <c r="J25">
        <f t="shared" ca="1" si="0"/>
        <v>-7.2137063877992277E-2</v>
      </c>
      <c r="K25">
        <f ca="1">Params!$B$6*J25</f>
        <v>-7.2137063877992279E-3</v>
      </c>
      <c r="L25">
        <f t="shared" ca="1" si="1"/>
        <v>-3.0959780865148041E-3</v>
      </c>
      <c r="M25">
        <f t="shared" ca="1" si="2"/>
        <v>-0.19923714584435295</v>
      </c>
      <c r="N25">
        <f t="shared" ca="1" si="3"/>
        <v>3.147255629110994E-2</v>
      </c>
      <c r="O25">
        <f t="shared" ca="1" si="4"/>
        <v>-0.21458995575960155</v>
      </c>
    </row>
    <row r="26" spans="1:15" x14ac:dyDescent="0.25">
      <c r="A26">
        <v>24</v>
      </c>
      <c r="B26">
        <f ca="1">IF(ROW()-1 &lt;= Params!$B$11, _xlfn.NORM.INV(RAND(), 0, Params!$B$10), "")</f>
        <v>2.9225029397651092E-2</v>
      </c>
      <c r="C26">
        <f ca="1">Params!$B$1*C25 + (1-Params!$B$1)*(Params!$B$8 + Params!$B$3*K25 + Params!$B$2*J25)</f>
        <v>1.9865426399690064E-2</v>
      </c>
      <c r="D26">
        <v>0.02</v>
      </c>
      <c r="E26">
        <f ca="1">(C26 - D26)/Params!$B$12 + Params!$B$9</f>
        <v>6.3934389723776242E-3</v>
      </c>
      <c r="F26">
        <f ca="1">Params!$B$6*F25 + B26</f>
        <v>3.4331638764095694E-2</v>
      </c>
      <c r="G26">
        <f ca="1">H26 + Params!$B$5*(E26 + I26 - L25) - Params!$B$6*(C26 - Params!$B$8)</f>
        <v>9.6239906592023657E-4</v>
      </c>
      <c r="H26">
        <v>0</v>
      </c>
      <c r="I26">
        <v>0</v>
      </c>
      <c r="J26">
        <f t="shared" ca="1" si="0"/>
        <v>-3.3369239698175457E-2</v>
      </c>
      <c r="K26">
        <f ca="1">Params!$B$6*J26</f>
        <v>-3.336923969817546E-3</v>
      </c>
      <c r="L26">
        <f t="shared" ca="1" si="1"/>
        <v>-6.4329020563323501E-3</v>
      </c>
      <c r="M26">
        <f t="shared" ca="1" si="2"/>
        <v>1.2826341028709973E-2</v>
      </c>
      <c r="N26">
        <f t="shared" ca="1" si="3"/>
        <v>2.3202350369507609E-2</v>
      </c>
      <c r="O26">
        <f t="shared" ca="1" si="4"/>
        <v>0.20872656290324537</v>
      </c>
    </row>
    <row r="27" spans="1:15" x14ac:dyDescent="0.25">
      <c r="A27">
        <v>25</v>
      </c>
      <c r="B27">
        <f ca="1">IF(ROW()-1 &lt;= Params!$B$11, _xlfn.NORM.INV(RAND(), 0, Params!$B$10), "")</f>
        <v>2.5721661436987099E-2</v>
      </c>
      <c r="C27">
        <f ca="1">Params!$B$1*C26 + (1-Params!$B$1)*(Params!$B$8 + Params!$B$3*K26 + Params!$B$2*J26)</f>
        <v>1.804357557632141E-2</v>
      </c>
      <c r="D27">
        <v>0.02</v>
      </c>
      <c r="E27">
        <f ca="1">(C27 - D27)/Params!$B$12 + Params!$B$9</f>
        <v>9.2947503284822167E-2</v>
      </c>
      <c r="F27">
        <f ca="1">Params!$B$6*F26 + B27</f>
        <v>2.9154825313396669E-2</v>
      </c>
      <c r="G27">
        <f ca="1">H27 + Params!$B$5*(E27 + I27 - L26) - Params!$B$6*(C27 - Params!$B$8)</f>
        <v>1.0133682976483311E-2</v>
      </c>
      <c r="H27">
        <v>0</v>
      </c>
      <c r="I27">
        <v>0</v>
      </c>
      <c r="J27">
        <f t="shared" ca="1" si="0"/>
        <v>-1.9021142336913356E-2</v>
      </c>
      <c r="K27">
        <f ca="1">Params!$B$6*J27</f>
        <v>-1.9021142336913357E-3</v>
      </c>
      <c r="L27">
        <f t="shared" ca="1" si="1"/>
        <v>-8.3350162900236863E-3</v>
      </c>
      <c r="M27">
        <f t="shared" ca="1" si="2"/>
        <v>0.10128251957484585</v>
      </c>
      <c r="N27">
        <f t="shared" ca="1" si="3"/>
        <v>1.9945689810012747E-2</v>
      </c>
      <c r="O27">
        <f t="shared" ca="1" si="4"/>
        <v>8.6554064312444542E-2</v>
      </c>
    </row>
    <row r="28" spans="1:15" x14ac:dyDescent="0.25">
      <c r="A28">
        <v>26</v>
      </c>
      <c r="B28">
        <f ca="1">IF(ROW()-1 &lt;= Params!$B$11, _xlfn.NORM.INV(RAND(), 0, Params!$B$10), "")</f>
        <v>2.2985583449038029E-2</v>
      </c>
      <c r="C28">
        <f ca="1">Params!$B$1*C27 + (1-Params!$B$1)*(Params!$B$8 + Params!$B$3*K27 + Params!$B$2*J27)</f>
        <v>1.7193055190159033E-2</v>
      </c>
      <c r="D28">
        <v>0.02</v>
      </c>
      <c r="E28">
        <f ca="1">(C28 - D28)/Params!$B$12 + Params!$B$9</f>
        <v>0.13335476125494811</v>
      </c>
      <c r="F28">
        <f ca="1">Params!$B$6*F27 + B28</f>
        <v>2.5901065980377697E-2</v>
      </c>
      <c r="G28">
        <f ca="1">H28 + Params!$B$5*(E28 + I28 - L27) - Params!$B$6*(C28 - Params!$B$8)</f>
        <v>1.4449672235481277E-2</v>
      </c>
      <c r="H28">
        <v>0</v>
      </c>
      <c r="I28">
        <v>0</v>
      </c>
      <c r="J28">
        <f t="shared" ca="1" si="0"/>
        <v>-1.145139374489642E-2</v>
      </c>
      <c r="K28">
        <f ca="1">Params!$B$6*J28</f>
        <v>-1.1451393744896421E-3</v>
      </c>
      <c r="L28">
        <f t="shared" ca="1" si="1"/>
        <v>-9.4801556645133286E-3</v>
      </c>
      <c r="M28">
        <f t="shared" ca="1" si="2"/>
        <v>0.14283491691946143</v>
      </c>
      <c r="N28">
        <f t="shared" ca="1" si="3"/>
        <v>1.8338194564648674E-2</v>
      </c>
      <c r="O28">
        <f t="shared" ca="1" si="4"/>
        <v>4.040725797012594E-2</v>
      </c>
    </row>
    <row r="29" spans="1:15" x14ac:dyDescent="0.25">
      <c r="A29">
        <v>27</v>
      </c>
      <c r="B29">
        <f ca="1">IF(ROW()-1 &lt;= Params!$B$11, _xlfn.NORM.INV(RAND(), 0, Params!$B$10), "")</f>
        <v>0.10945482243997365</v>
      </c>
      <c r="C29">
        <f ca="1">Params!$B$1*C28 + (1-Params!$B$1)*(Params!$B$8 + Params!$B$3*K28 + Params!$B$2*J28)</f>
        <v>1.6843923015173828E-2</v>
      </c>
      <c r="D29">
        <v>0.02</v>
      </c>
      <c r="E29">
        <f ca="1">(C29 - D29)/Params!$B$12 + Params!$B$9</f>
        <v>0.14994163452667825</v>
      </c>
      <c r="F29">
        <f ca="1">Params!$B$6*F28 + B29</f>
        <v>0.11204492903801141</v>
      </c>
      <c r="G29">
        <f ca="1">H29 + Params!$B$5*(E29 + I29 - L28) - Params!$B$6*(C29 - Params!$B$8)</f>
        <v>1.6257786717601776E-2</v>
      </c>
      <c r="H29">
        <v>0</v>
      </c>
      <c r="I29">
        <v>0</v>
      </c>
      <c r="J29">
        <f t="shared" ca="1" si="0"/>
        <v>-9.5787142320409635E-2</v>
      </c>
      <c r="K29">
        <f ca="1">Params!$B$6*J29</f>
        <v>-9.5787142320409649E-3</v>
      </c>
      <c r="L29">
        <f t="shared" ca="1" si="1"/>
        <v>-1.9058869896554295E-2</v>
      </c>
      <c r="M29">
        <f t="shared" ca="1" si="2"/>
        <v>0.16900050442323256</v>
      </c>
      <c r="N29">
        <f t="shared" ca="1" si="3"/>
        <v>2.6422637247214793E-2</v>
      </c>
      <c r="O29">
        <f t="shared" ca="1" si="4"/>
        <v>1.658687327173014E-2</v>
      </c>
    </row>
    <row r="30" spans="1:15" x14ac:dyDescent="0.25">
      <c r="A30">
        <v>28</v>
      </c>
      <c r="B30">
        <f ca="1">IF(ROW()-1 &lt;= Params!$B$11, _xlfn.NORM.INV(RAND(), 0, Params!$B$10), "")</f>
        <v>-0.12036179115211182</v>
      </c>
      <c r="C30">
        <f ca="1">Params!$B$1*C29 + (1-Params!$B$1)*(Params!$B$8 + Params!$B$3*K29 + Params!$B$2*J29)</f>
        <v>1.1891237886033915E-2</v>
      </c>
      <c r="D30">
        <v>0.02</v>
      </c>
      <c r="E30">
        <f ca="1">(C30 - D30)/Params!$B$12 + Params!$B$9</f>
        <v>0.38523808234134144</v>
      </c>
      <c r="F30">
        <f ca="1">Params!$B$6*F29 + B30</f>
        <v>-0.10915729824831068</v>
      </c>
      <c r="G30">
        <f ca="1">H30 + Params!$B$5*(E30 + I30 - L29) - Params!$B$6*(C30 - Params!$B$8)</f>
        <v>4.1240571435186189E-2</v>
      </c>
      <c r="H30">
        <v>0</v>
      </c>
      <c r="I30">
        <v>0</v>
      </c>
      <c r="J30">
        <f t="shared" ca="1" si="0"/>
        <v>0.15039786968349686</v>
      </c>
      <c r="K30">
        <f ca="1">Params!$B$6*J30</f>
        <v>1.5039786968349686E-2</v>
      </c>
      <c r="L30">
        <f t="shared" ca="1" si="1"/>
        <v>-4.0190829282046089E-3</v>
      </c>
      <c r="M30">
        <f t="shared" ca="1" si="2"/>
        <v>0.38925716526954607</v>
      </c>
      <c r="N30">
        <f t="shared" ca="1" si="3"/>
        <v>-3.148549082315771E-3</v>
      </c>
      <c r="O30">
        <f t="shared" ca="1" si="4"/>
        <v>0.23529644781466319</v>
      </c>
    </row>
    <row r="31" spans="1:15" x14ac:dyDescent="0.25">
      <c r="A31">
        <v>29</v>
      </c>
      <c r="B31">
        <f ca="1">IF(ROW()-1 &lt;= Params!$B$11, _xlfn.NORM.INV(RAND(), 0, Params!$B$10), "")</f>
        <v>7.0212810463157277E-2</v>
      </c>
      <c r="C31">
        <f ca="1">Params!$B$1*C30 + (1-Params!$B$1)*(Params!$B$8 + Params!$B$3*K30 + Params!$B$2*J30)</f>
        <v>2.0973996930022849E-2</v>
      </c>
      <c r="D31">
        <v>0.02</v>
      </c>
      <c r="E31">
        <f ca="1">(C31 - D31)/Params!$B$12 + Params!$B$9</f>
        <v>-4.6273488388825251E-2</v>
      </c>
      <c r="F31">
        <f ca="1">Params!$B$6*F30 + B31</f>
        <v>5.9297080638326206E-2</v>
      </c>
      <c r="G31">
        <f ca="1">H31 + Params!$B$5*(E31 + I31 - L30) - Params!$B$6*(C31 - Params!$B$8)</f>
        <v>-4.3228402390643487E-3</v>
      </c>
      <c r="H31">
        <v>0</v>
      </c>
      <c r="I31">
        <v>0</v>
      </c>
      <c r="J31">
        <f t="shared" ca="1" si="0"/>
        <v>-6.3619920877390559E-2</v>
      </c>
      <c r="K31">
        <f ca="1">Params!$B$6*J31</f>
        <v>-6.3619920877390559E-3</v>
      </c>
      <c r="L31">
        <f t="shared" ca="1" si="1"/>
        <v>-1.0381075015943665E-2</v>
      </c>
      <c r="M31">
        <f t="shared" ca="1" si="2"/>
        <v>-3.5892413372881585E-2</v>
      </c>
      <c r="N31">
        <f t="shared" ca="1" si="3"/>
        <v>2.7335989017761905E-2</v>
      </c>
      <c r="O31">
        <f t="shared" ca="1" si="4"/>
        <v>-0.43151157073016666</v>
      </c>
    </row>
    <row r="32" spans="1:15" x14ac:dyDescent="0.25">
      <c r="A32">
        <v>30</v>
      </c>
      <c r="B32">
        <f ca="1">IF(ROW()-1 &lt;= Params!$B$11, _xlfn.NORM.INV(RAND(), 0, Params!$B$10), "")</f>
        <v>-1.8765535430802242E-3</v>
      </c>
      <c r="C32">
        <f ca="1">Params!$B$1*C31 + (1-Params!$B$1)*(Params!$B$8 + Params!$B$3*K31 + Params!$B$2*J31)</f>
        <v>1.7377501588764083E-2</v>
      </c>
      <c r="D32">
        <v>0.02</v>
      </c>
      <c r="E32">
        <f ca="1">(C32 - D32)/Params!$B$12 + Params!$B$9</f>
        <v>0.12459192225502314</v>
      </c>
      <c r="F32">
        <f ca="1">Params!$B$6*F31 + B32</f>
        <v>4.0531545207523967E-3</v>
      </c>
      <c r="G32">
        <f ca="1">H32 + Params!$B$5*(E32 + I32 - L31) - Params!$B$6*(C32 - Params!$B$8)</f>
        <v>1.3759549568220271E-2</v>
      </c>
      <c r="H32">
        <v>0</v>
      </c>
      <c r="I32">
        <v>0</v>
      </c>
      <c r="J32">
        <f t="shared" ca="1" si="0"/>
        <v>9.706395047467873E-3</v>
      </c>
      <c r="K32">
        <f ca="1">Params!$B$6*J32</f>
        <v>9.7063950474678736E-4</v>
      </c>
      <c r="L32">
        <f t="shared" ca="1" si="1"/>
        <v>-9.4104355111968782E-3</v>
      </c>
      <c r="M32">
        <f t="shared" ca="1" si="2"/>
        <v>0.13400235776622002</v>
      </c>
      <c r="N32">
        <f t="shared" ca="1" si="3"/>
        <v>1.6406862084017294E-2</v>
      </c>
      <c r="O32">
        <f t="shared" ca="1" si="4"/>
        <v>0.17086541064384839</v>
      </c>
    </row>
    <row r="33" spans="1:15" x14ac:dyDescent="0.25">
      <c r="A33">
        <v>31</v>
      </c>
      <c r="B33">
        <f ca="1">IF(ROW()-1 &lt;= Params!$B$11, _xlfn.NORM.INV(RAND(), 0, Params!$B$10), "")</f>
        <v>-7.4611308693805847E-2</v>
      </c>
      <c r="C33">
        <f ca="1">Params!$B$1*C32 + (1-Params!$B$1)*(Params!$B$8 + Params!$B$3*K32 + Params!$B$2*J32)</f>
        <v>1.8173603157498407E-2</v>
      </c>
      <c r="D33">
        <v>0.02</v>
      </c>
      <c r="E33">
        <f ca="1">(C33 - D33)/Params!$B$12 + Params!$B$9</f>
        <v>8.6770040520458377E-2</v>
      </c>
      <c r="F33">
        <f ca="1">Params!$B$6*F32 + B33</f>
        <v>-7.4205993241730606E-2</v>
      </c>
      <c r="G33">
        <f ca="1">H33 + Params!$B$5*(E33 + I33 - L32) - Params!$B$6*(C33 - Params!$B$8)</f>
        <v>9.8006872874156856E-3</v>
      </c>
      <c r="H33">
        <v>0</v>
      </c>
      <c r="I33">
        <v>0</v>
      </c>
      <c r="J33">
        <f t="shared" ca="1" si="0"/>
        <v>8.4006680529146296E-2</v>
      </c>
      <c r="K33">
        <f ca="1">Params!$B$6*J33</f>
        <v>8.4006680529146293E-3</v>
      </c>
      <c r="L33">
        <f t="shared" ca="1" si="1"/>
        <v>-1.0097674582822489E-3</v>
      </c>
      <c r="M33">
        <f t="shared" ca="1" si="2"/>
        <v>8.7779807978740632E-2</v>
      </c>
      <c r="N33">
        <f t="shared" ca="1" si="3"/>
        <v>9.7729351045837774E-3</v>
      </c>
      <c r="O33">
        <f t="shared" ca="1" si="4"/>
        <v>-3.7821881734564758E-2</v>
      </c>
    </row>
    <row r="34" spans="1:15" x14ac:dyDescent="0.25">
      <c r="A34">
        <v>32</v>
      </c>
      <c r="B34">
        <f ca="1">IF(ROW()-1 &lt;= Params!$B$11, _xlfn.NORM.INV(RAND(), 0, Params!$B$10), "")</f>
        <v>-1.3021480585280774E-2</v>
      </c>
      <c r="C34">
        <f ca="1">Params!$B$1*C33 + (1-Params!$B$1)*(Params!$B$8 + Params!$B$3*K33 + Params!$B$2*J33)</f>
        <v>2.297661027085161E-2</v>
      </c>
      <c r="D34">
        <v>0.02</v>
      </c>
      <c r="E34">
        <f ca="1">(C34 - D34)/Params!$B$12 + Params!$B$9</f>
        <v>-0.141415374690225</v>
      </c>
      <c r="F34">
        <f ca="1">Params!$B$6*F33 + B34</f>
        <v>-2.0442079909453834E-2</v>
      </c>
      <c r="G34">
        <f ca="1">H34 + Params!$B$5*(E34 + I34 - L33) - Params!$B$6*(C34 - Params!$B$8)</f>
        <v>-1.4338221750279437E-2</v>
      </c>
      <c r="H34">
        <v>0</v>
      </c>
      <c r="I34">
        <v>0</v>
      </c>
      <c r="J34">
        <f t="shared" ca="1" si="0"/>
        <v>6.1038581591743961E-3</v>
      </c>
      <c r="K34">
        <f ca="1">Params!$B$6*J34</f>
        <v>6.103858159174397E-4</v>
      </c>
      <c r="L34">
        <f t="shared" ca="1" si="1"/>
        <v>-3.9938164236480922E-4</v>
      </c>
      <c r="M34">
        <f t="shared" ca="1" si="2"/>
        <v>-0.14101599304786019</v>
      </c>
      <c r="N34">
        <f t="shared" ca="1" si="3"/>
        <v>2.2366224454934171E-2</v>
      </c>
      <c r="O34">
        <f t="shared" ca="1" si="4"/>
        <v>-0.22818541521068336</v>
      </c>
    </row>
    <row r="35" spans="1:15" x14ac:dyDescent="0.25">
      <c r="A35">
        <v>33</v>
      </c>
      <c r="B35">
        <f ca="1">IF(ROW()-1 &lt;= Params!$B$11, _xlfn.NORM.INV(RAND(), 0, Params!$B$10), "")</f>
        <v>-5.0913945262551531E-2</v>
      </c>
      <c r="C35">
        <f ca="1">Params!$B$1*C34 + (1-Params!$B$1)*(Params!$B$8 + Params!$B$3*K34 + Params!$B$2*J34)</f>
        <v>2.3014661442521039E-2</v>
      </c>
      <c r="D35">
        <v>0.02</v>
      </c>
      <c r="E35">
        <f ca="1">(C35 - D35)/Params!$B$12 + Params!$B$9</f>
        <v>-0.14322314265760991</v>
      </c>
      <c r="F35">
        <f ca="1">Params!$B$6*F34 + B35</f>
        <v>-5.2958153253496912E-2</v>
      </c>
      <c r="G35">
        <f ca="1">H35 + Params!$B$5*(E35 + I35 - L34) - Params!$B$6*(C35 - Params!$B$8)</f>
        <v>-1.4583842245776614E-2</v>
      </c>
      <c r="H35">
        <v>0</v>
      </c>
      <c r="I35">
        <v>0</v>
      </c>
      <c r="J35">
        <f t="shared" ref="J35:J66" ca="1" si="5">G35 - F35</f>
        <v>3.8374311007720298E-2</v>
      </c>
      <c r="K35">
        <f ca="1">Params!$B$6*J35</f>
        <v>3.8374311007720301E-3</v>
      </c>
      <c r="L35">
        <f t="shared" ref="L35:L66" ca="1" si="6">L34 + K35</f>
        <v>3.4380494584072209E-3</v>
      </c>
      <c r="M35">
        <f t="shared" ca="1" si="2"/>
        <v>-0.14666119211601714</v>
      </c>
      <c r="N35">
        <f t="shared" ca="1" si="3"/>
        <v>1.9177230341749008E-2</v>
      </c>
      <c r="O35">
        <f t="shared" ca="1" si="4"/>
        <v>-1.8077679673849101E-3</v>
      </c>
    </row>
    <row r="36" spans="1:15" x14ac:dyDescent="0.25">
      <c r="A36">
        <v>34</v>
      </c>
      <c r="B36">
        <f ca="1">IF(ROW()-1 &lt;= Params!$B$11, _xlfn.NORM.INV(RAND(), 0, Params!$B$10), "")</f>
        <v>-4.4181947025436916E-2</v>
      </c>
      <c r="C36">
        <f ca="1">Params!$B$1*C35 + (1-Params!$B$1)*(Params!$B$8 + Params!$B$3*K35 + Params!$B$2*J35)</f>
        <v>2.4823782403693553E-2</v>
      </c>
      <c r="D36">
        <v>0.02</v>
      </c>
      <c r="E36">
        <f ca="1">(C36 - D36)/Params!$B$12 + Params!$B$9</f>
        <v>-0.22917242566903884</v>
      </c>
      <c r="F36">
        <f ca="1">Params!$B$6*F35 + B36</f>
        <v>-4.947776235078661E-2</v>
      </c>
      <c r="G36">
        <f ca="1">H36 + Params!$B$5*(E36 + I36 - L35) - Params!$B$6*(C36 - Params!$B$8)</f>
        <v>-2.3743425753113962E-2</v>
      </c>
      <c r="H36">
        <v>0</v>
      </c>
      <c r="I36">
        <v>0</v>
      </c>
      <c r="J36">
        <f t="shared" ca="1" si="5"/>
        <v>2.5734336597672648E-2</v>
      </c>
      <c r="K36">
        <f ca="1">Params!$B$6*J36</f>
        <v>2.5734336597672651E-3</v>
      </c>
      <c r="L36">
        <f t="shared" ca="1" si="6"/>
        <v>6.0114831181744856E-3</v>
      </c>
      <c r="M36">
        <f t="shared" ca="1" si="2"/>
        <v>-0.23518390878721332</v>
      </c>
      <c r="N36">
        <f t="shared" ca="1" si="3"/>
        <v>2.2250348743926288E-2</v>
      </c>
      <c r="O36">
        <f t="shared" ca="1" si="4"/>
        <v>-8.5949283011428929E-2</v>
      </c>
    </row>
    <row r="37" spans="1:15" x14ac:dyDescent="0.25">
      <c r="A37">
        <v>35</v>
      </c>
      <c r="B37">
        <f ca="1">IF(ROW()-1 &lt;= Params!$B$11, _xlfn.NORM.INV(RAND(), 0, Params!$B$10), "")</f>
        <v>-8.9459499434191236E-2</v>
      </c>
      <c r="C37">
        <f ca="1">Params!$B$1*C36 + (1-Params!$B$1)*(Params!$B$8 + Params!$B$3*K36 + Params!$B$2*J36)</f>
        <v>2.5756792676196197E-2</v>
      </c>
      <c r="D37">
        <v>0.02</v>
      </c>
      <c r="E37">
        <f ca="1">(C37 - D37)/Params!$B$12 + Params!$B$9</f>
        <v>-0.27349868449029918</v>
      </c>
      <c r="F37">
        <f ca="1">Params!$B$6*F36 + B37</f>
        <v>-9.4407275669269902E-2</v>
      </c>
      <c r="G37">
        <f ca="1">H37 + Params!$B$5*(E37 + I37 - L36) - Params!$B$6*(C37 - Params!$B$8)</f>
        <v>-2.852669602846699E-2</v>
      </c>
      <c r="H37">
        <v>0</v>
      </c>
      <c r="I37">
        <v>0</v>
      </c>
      <c r="J37">
        <f t="shared" ca="1" si="5"/>
        <v>6.5880579640802905E-2</v>
      </c>
      <c r="K37">
        <f ca="1">Params!$B$6*J37</f>
        <v>6.5880579640802909E-3</v>
      </c>
      <c r="L37">
        <f t="shared" ca="1" si="6"/>
        <v>1.2599541082254776E-2</v>
      </c>
      <c r="M37">
        <f t="shared" ca="1" si="2"/>
        <v>-0.28609822557255393</v>
      </c>
      <c r="N37">
        <f t="shared" ca="1" si="3"/>
        <v>1.9168734712115908E-2</v>
      </c>
      <c r="O37">
        <f t="shared" ca="1" si="4"/>
        <v>-4.4326258821260345E-2</v>
      </c>
    </row>
    <row r="38" spans="1:15" x14ac:dyDescent="0.25">
      <c r="A38">
        <v>36</v>
      </c>
      <c r="B38">
        <f ca="1">IF(ROW()-1 &lt;= Params!$B$11, _xlfn.NORM.INV(RAND(), 0, Params!$B$10), "")</f>
        <v>-2.5666086282196916E-2</v>
      </c>
      <c r="C38">
        <f ca="1">Params!$B$1*C37 + (1-Params!$B$1)*(Params!$B$8 + Params!$B$3*K37 + Params!$B$2*J37)</f>
        <v>2.8804545288820739E-2</v>
      </c>
      <c r="D38">
        <v>0.02</v>
      </c>
      <c r="E38">
        <f ca="1">(C38 - D38)/Params!$B$12 + Params!$B$9</f>
        <v>-0.41829395107187378</v>
      </c>
      <c r="F38">
        <f ca="1">Params!$B$6*F37 + B38</f>
        <v>-3.5106813849123911E-2</v>
      </c>
      <c r="G38">
        <f ca="1">H38 + Params!$B$5*(E38 + I38 - L37) - Params!$B$6*(C38 - Params!$B$8)</f>
        <v>-4.3969803744294926E-2</v>
      </c>
      <c r="H38">
        <v>0</v>
      </c>
      <c r="I38">
        <v>0</v>
      </c>
      <c r="J38">
        <f t="shared" ca="1" si="5"/>
        <v>-8.8629898951710154E-3</v>
      </c>
      <c r="K38">
        <f ca="1">Params!$B$6*J38</f>
        <v>-8.862989895171016E-4</v>
      </c>
      <c r="L38">
        <f t="shared" ca="1" si="6"/>
        <v>1.1713242092737676E-2</v>
      </c>
      <c r="M38">
        <f t="shared" ca="1" si="2"/>
        <v>-0.43000719316461145</v>
      </c>
      <c r="N38">
        <f t="shared" ca="1" si="3"/>
        <v>2.969084427833784E-2</v>
      </c>
      <c r="O38">
        <f t="shared" ca="1" si="4"/>
        <v>-0.1447952665815746</v>
      </c>
    </row>
    <row r="39" spans="1:15" x14ac:dyDescent="0.25">
      <c r="A39">
        <v>37</v>
      </c>
      <c r="B39">
        <f ca="1">IF(ROW()-1 &lt;= Params!$B$11, _xlfn.NORM.INV(RAND(), 0, Params!$B$10), "")</f>
        <v>-2.2920765375637121E-2</v>
      </c>
      <c r="C39">
        <f ca="1">Params!$B$1*C38 + (1-Params!$B$1)*(Params!$B$8 + Params!$B$3*K38 + Params!$B$2*J38)</f>
        <v>2.7436626315704257E-2</v>
      </c>
      <c r="D39">
        <v>0.02</v>
      </c>
      <c r="E39">
        <f ca="1">(C39 - D39)/Params!$B$12 + Params!$B$9</f>
        <v>-0.35330567362640541</v>
      </c>
      <c r="F39">
        <f ca="1">Params!$B$6*F38 + B39</f>
        <v>-2.6431446760549513E-2</v>
      </c>
      <c r="G39">
        <f ca="1">H39 + Params!$B$5*(E39 + I39 - L38) - Params!$B$6*(C39 - Params!$B$8)</f>
        <v>-3.7245554203484736E-2</v>
      </c>
      <c r="H39">
        <v>0</v>
      </c>
      <c r="I39">
        <v>0</v>
      </c>
      <c r="J39">
        <f t="shared" ca="1" si="5"/>
        <v>-1.0814107442935223E-2</v>
      </c>
      <c r="K39">
        <f ca="1">Params!$B$6*J39</f>
        <v>-1.0814107442935223E-3</v>
      </c>
      <c r="L39">
        <f t="shared" ca="1" si="6"/>
        <v>1.0631831348444153E-2</v>
      </c>
      <c r="M39">
        <f t="shared" ca="1" si="2"/>
        <v>-0.36393750497484956</v>
      </c>
      <c r="N39">
        <f t="shared" ca="1" si="3"/>
        <v>2.8518037059997781E-2</v>
      </c>
      <c r="O39">
        <f t="shared" ca="1" si="4"/>
        <v>6.4988277445468368E-2</v>
      </c>
    </row>
    <row r="40" spans="1:15" x14ac:dyDescent="0.25">
      <c r="A40">
        <v>38</v>
      </c>
      <c r="B40">
        <f ca="1">IF(ROW()-1 &lt;= Params!$B$11, _xlfn.NORM.INV(RAND(), 0, Params!$B$10), "")</f>
        <v>5.5727315372679345E-2</v>
      </c>
      <c r="C40">
        <f ca="1">Params!$B$1*C39 + (1-Params!$B$1)*(Params!$B$8 + Params!$B$3*K39 + Params!$B$2*J39)</f>
        <v>2.6098187774772394E-2</v>
      </c>
      <c r="D40">
        <v>0.02</v>
      </c>
      <c r="E40">
        <f ca="1">(C40 - D40)/Params!$B$12 + Params!$B$9</f>
        <v>-0.28971797804556421</v>
      </c>
      <c r="F40">
        <f ca="1">Params!$B$6*F39 + B40</f>
        <v>5.3084170696624397E-2</v>
      </c>
      <c r="G40">
        <f ca="1">H40 + Params!$B$5*(E40 + I40 - L39) - Params!$B$6*(C40 - Params!$B$8)</f>
        <v>-3.0644799716878078E-2</v>
      </c>
      <c r="H40">
        <v>0</v>
      </c>
      <c r="I40">
        <v>0</v>
      </c>
      <c r="J40">
        <f t="shared" ca="1" si="5"/>
        <v>-8.3728970413502468E-2</v>
      </c>
      <c r="K40">
        <f ca="1">Params!$B$6*J40</f>
        <v>-8.3728970413502468E-3</v>
      </c>
      <c r="L40">
        <f t="shared" ca="1" si="6"/>
        <v>2.2589343070939065E-3</v>
      </c>
      <c r="M40">
        <f t="shared" ca="1" si="2"/>
        <v>-0.2919769123526581</v>
      </c>
      <c r="N40">
        <f t="shared" ca="1" si="3"/>
        <v>3.4471084816122641E-2</v>
      </c>
      <c r="O40">
        <f t="shared" ca="1" si="4"/>
        <v>6.3587695580841208E-2</v>
      </c>
    </row>
    <row r="41" spans="1:15" x14ac:dyDescent="0.25">
      <c r="A41">
        <v>39</v>
      </c>
      <c r="B41">
        <f ca="1">IF(ROW()-1 &lt;= Params!$B$11, _xlfn.NORM.INV(RAND(), 0, Params!$B$10), "")</f>
        <v>-2.4897020913620234E-2</v>
      </c>
      <c r="C41">
        <f ca="1">Params!$B$1*C40 + (1-Params!$B$1)*(Params!$B$8 + Params!$B$3*K40 + Params!$B$2*J40)</f>
        <v>2.0883275624552521E-2</v>
      </c>
      <c r="D41">
        <v>0.02</v>
      </c>
      <c r="E41">
        <f ca="1">(C41 - D41)/Params!$B$12 + Params!$B$9</f>
        <v>-4.1963422159764535E-2</v>
      </c>
      <c r="F41">
        <f ca="1">Params!$B$6*F40 + B41</f>
        <v>-1.9588603843957796E-2</v>
      </c>
      <c r="G41">
        <f ca="1">H41 + Params!$B$5*(E41 + I41 - L40) - Params!$B$6*(C41 - Params!$B$8)</f>
        <v>-4.5105632091410964E-3</v>
      </c>
      <c r="H41">
        <v>0</v>
      </c>
      <c r="I41">
        <v>0</v>
      </c>
      <c r="J41">
        <f t="shared" ca="1" si="5"/>
        <v>1.50780406348167E-2</v>
      </c>
      <c r="K41">
        <f ca="1">Params!$B$6*J41</f>
        <v>1.5078040634816702E-3</v>
      </c>
      <c r="L41">
        <f t="shared" ca="1" si="6"/>
        <v>3.7667383705755767E-3</v>
      </c>
      <c r="M41">
        <f t="shared" ca="1" si="2"/>
        <v>-4.5730160530340111E-2</v>
      </c>
      <c r="N41">
        <f t="shared" ca="1" si="3"/>
        <v>1.9375471561070851E-2</v>
      </c>
      <c r="O41">
        <f t="shared" ca="1" si="4"/>
        <v>0.24775455588579967</v>
      </c>
    </row>
    <row r="42" spans="1:15" x14ac:dyDescent="0.25">
      <c r="A42">
        <v>40</v>
      </c>
      <c r="B42">
        <f ca="1">IF(ROW()-1 &lt;= Params!$B$11, _xlfn.NORM.INV(RAND(), 0, Params!$B$10), "")</f>
        <v>6.5467083075409757E-2</v>
      </c>
      <c r="C42">
        <f ca="1">Params!$B$1*C41 + (1-Params!$B$1)*(Params!$B$8 + Params!$B$3*K41 + Params!$B$2*J41)</f>
        <v>2.1624240297012189E-2</v>
      </c>
      <c r="D42">
        <v>0.02</v>
      </c>
      <c r="E42">
        <f ca="1">(C42 - D42)/Params!$B$12 + Params!$B$9</f>
        <v>-7.7165812547984589E-2</v>
      </c>
      <c r="F42">
        <f ca="1">Params!$B$6*F41 + B42</f>
        <v>6.3508222691013971E-2</v>
      </c>
      <c r="G42">
        <f ca="1">H42 + Params!$B$5*(E42 + I42 - L41) - Params!$B$6*(C42 - Params!$B$8)</f>
        <v>-8.2556791215572349E-3</v>
      </c>
      <c r="H42">
        <v>0</v>
      </c>
      <c r="I42">
        <v>0</v>
      </c>
      <c r="J42">
        <f t="shared" ca="1" si="5"/>
        <v>-7.176390181257121E-2</v>
      </c>
      <c r="K42">
        <f ca="1">Params!$B$6*J42</f>
        <v>-7.1763901812571217E-3</v>
      </c>
      <c r="L42">
        <f t="shared" ca="1" si="6"/>
        <v>-3.409651810681545E-3</v>
      </c>
      <c r="M42">
        <f t="shared" ca="1" si="2"/>
        <v>-7.3756160737303039E-2</v>
      </c>
      <c r="N42">
        <f t="shared" ca="1" si="3"/>
        <v>2.880063047826931E-2</v>
      </c>
      <c r="O42">
        <f t="shared" ca="1" si="4"/>
        <v>-3.5202390388220053E-2</v>
      </c>
    </row>
    <row r="43" spans="1:15" x14ac:dyDescent="0.25">
      <c r="A43">
        <v>41</v>
      </c>
      <c r="B43">
        <f ca="1">IF(ROW()-1 &lt;= Params!$B$11, _xlfn.NORM.INV(RAND(), 0, Params!$B$10), "")</f>
        <v>6.1063385175722684E-2</v>
      </c>
      <c r="C43">
        <f ca="1">Params!$B$1*C42 + (1-Params!$B$1)*(Params!$B$8 + Params!$B$3*K42 + Params!$B$2*J42)</f>
        <v>1.7514801667619557E-2</v>
      </c>
      <c r="D43">
        <v>0.02</v>
      </c>
      <c r="E43">
        <f ca="1">(C43 - D43)/Params!$B$12 + Params!$B$9</f>
        <v>0.11806895138225608</v>
      </c>
      <c r="F43">
        <f ca="1">Params!$B$6*F42 + B43</f>
        <v>6.7414207444824084E-2</v>
      </c>
      <c r="G43">
        <f ca="1">H43 + Params!$B$5*(E43 + I43 - L42) - Params!$B$6*(C43 - Params!$B$8)</f>
        <v>1.2396380152531807E-2</v>
      </c>
      <c r="H43">
        <v>0</v>
      </c>
      <c r="I43">
        <v>0</v>
      </c>
      <c r="J43">
        <f t="shared" ca="1" si="5"/>
        <v>-5.5017827292292279E-2</v>
      </c>
      <c r="K43">
        <f ca="1">Params!$B$6*J43</f>
        <v>-5.5017827292292284E-3</v>
      </c>
      <c r="L43">
        <f t="shared" ca="1" si="6"/>
        <v>-8.9114345399107734E-3</v>
      </c>
      <c r="M43">
        <f t="shared" ca="1" si="2"/>
        <v>0.12698038592216684</v>
      </c>
      <c r="N43">
        <f t="shared" ca="1" si="3"/>
        <v>2.3016584396848786E-2</v>
      </c>
      <c r="O43">
        <f t="shared" ca="1" si="4"/>
        <v>0.19523476393024067</v>
      </c>
    </row>
    <row r="44" spans="1:15" x14ac:dyDescent="0.25">
      <c r="A44">
        <v>42</v>
      </c>
      <c r="B44">
        <f ca="1">IF(ROW()-1 &lt;= Params!$B$11, _xlfn.NORM.INV(RAND(), 0, Params!$B$10), "")</f>
        <v>1.7679100359618283E-3</v>
      </c>
      <c r="C44">
        <f ca="1">Params!$B$1*C43 + (1-Params!$B$1)*(Params!$B$8 + Params!$B$3*K43 + Params!$B$2*J43)</f>
        <v>1.4737340999781526E-2</v>
      </c>
      <c r="D44">
        <v>0.02</v>
      </c>
      <c r="E44">
        <f ca="1">(C44 - D44)/Params!$B$12 + Params!$B$9</f>
        <v>0.25002295452332041</v>
      </c>
      <c r="F44">
        <f ca="1">Params!$B$6*F43 + B44</f>
        <v>8.509330780444236E-3</v>
      </c>
      <c r="G44">
        <f ca="1">H44 + Params!$B$5*(E44 + I44 - L43) - Params!$B$6*(C44 - Params!$B$8)</f>
        <v>2.6419704806344965E-2</v>
      </c>
      <c r="H44">
        <v>0</v>
      </c>
      <c r="I44">
        <v>0</v>
      </c>
      <c r="J44">
        <f t="shared" ca="1" si="5"/>
        <v>1.7910374025900729E-2</v>
      </c>
      <c r="K44">
        <f ca="1">Params!$B$6*J44</f>
        <v>1.7910374025900729E-3</v>
      </c>
      <c r="L44">
        <f t="shared" ca="1" si="6"/>
        <v>-7.1203971373207005E-3</v>
      </c>
      <c r="M44">
        <f t="shared" ca="1" si="2"/>
        <v>0.25714335166064112</v>
      </c>
      <c r="N44">
        <f t="shared" ca="1" si="3"/>
        <v>1.2946303597191454E-2</v>
      </c>
      <c r="O44">
        <f t="shared" ca="1" si="4"/>
        <v>0.13195400314106431</v>
      </c>
    </row>
    <row r="45" spans="1:15" x14ac:dyDescent="0.25">
      <c r="A45">
        <v>43</v>
      </c>
      <c r="B45">
        <f ca="1">IF(ROW()-1 &lt;= Params!$B$11, _xlfn.NORM.INV(RAND(), 0, Params!$B$10), "")</f>
        <v>-5.2819980476283113E-2</v>
      </c>
      <c r="C45">
        <f ca="1">Params!$B$1*C44 + (1-Params!$B$1)*(Params!$B$8 + Params!$B$3*K44 + Params!$B$2*J44)</f>
        <v>1.6248677471227914E-2</v>
      </c>
      <c r="D45">
        <v>0.02</v>
      </c>
      <c r="E45">
        <f ca="1">(C45 - D45)/Params!$B$12 + Params!$B$9</f>
        <v>0.17822107455082195</v>
      </c>
      <c r="F45">
        <f ca="1">Params!$B$6*F44 + B45</f>
        <v>-5.1969047398238689E-2</v>
      </c>
      <c r="G45">
        <f ca="1">H45 + Params!$B$5*(E45 + I45 - L44) - Params!$B$6*(C45 - Params!$B$8)</f>
        <v>1.8909279421691474E-2</v>
      </c>
      <c r="H45">
        <v>0</v>
      </c>
      <c r="I45">
        <v>0</v>
      </c>
      <c r="J45">
        <f t="shared" ca="1" si="5"/>
        <v>7.0878326819930171E-2</v>
      </c>
      <c r="K45">
        <f ca="1">Params!$B$6*J45</f>
        <v>7.0878326819930173E-3</v>
      </c>
      <c r="L45">
        <f t="shared" ca="1" si="6"/>
        <v>-3.2564455327683227E-5</v>
      </c>
      <c r="M45">
        <f t="shared" ca="1" si="2"/>
        <v>0.17825363900614963</v>
      </c>
      <c r="N45">
        <f t="shared" ca="1" si="3"/>
        <v>9.1608447892348975E-3</v>
      </c>
      <c r="O45">
        <f t="shared" ca="1" si="4"/>
        <v>-7.1801879972498456E-2</v>
      </c>
    </row>
    <row r="46" spans="1:15" x14ac:dyDescent="0.25">
      <c r="A46">
        <v>44</v>
      </c>
      <c r="B46">
        <f ca="1">IF(ROW()-1 &lt;= Params!$B$11, _xlfn.NORM.INV(RAND(), 0, Params!$B$10), "")</f>
        <v>-8.8552389309644916E-2</v>
      </c>
      <c r="C46">
        <f ca="1">Params!$B$1*C45 + (1-Params!$B$1)*(Params!$B$8 + Params!$B$3*K45 + Params!$B$2*J45)</f>
        <v>2.052211769920128E-2</v>
      </c>
      <c r="D46">
        <v>0.02</v>
      </c>
      <c r="E46">
        <f ca="1">(C46 - D46)/Params!$B$12 + Params!$B$9</f>
        <v>-2.4805219140704885E-2</v>
      </c>
      <c r="F46">
        <f ca="1">Params!$B$6*F45 + B46</f>
        <v>-9.3749294049468787E-2</v>
      </c>
      <c r="G46">
        <f ca="1">H46 + Params!$B$5*(E46 + I46 - L45) - Params!$B$6*(C46 - Params!$B$8)</f>
        <v>-2.5294772384578481E-3</v>
      </c>
      <c r="H46">
        <v>0</v>
      </c>
      <c r="I46">
        <v>0</v>
      </c>
      <c r="J46">
        <f t="shared" ca="1" si="5"/>
        <v>9.1219816811010934E-2</v>
      </c>
      <c r="K46">
        <f ca="1">Params!$B$6*J46</f>
        <v>9.1219816811010934E-3</v>
      </c>
      <c r="L46">
        <f t="shared" ca="1" si="6"/>
        <v>9.0894172257734093E-3</v>
      </c>
      <c r="M46">
        <f t="shared" ca="1" si="2"/>
        <v>-3.3894636366478298E-2</v>
      </c>
      <c r="N46">
        <f t="shared" ca="1" si="3"/>
        <v>1.1400136018100186E-2</v>
      </c>
      <c r="O46">
        <f t="shared" ca="1" si="4"/>
        <v>-0.20302629369152683</v>
      </c>
    </row>
    <row r="47" spans="1:15" x14ac:dyDescent="0.25">
      <c r="A47">
        <v>45</v>
      </c>
      <c r="B47">
        <f ca="1">IF(ROW()-1 &lt;= Params!$B$11, _xlfn.NORM.INV(RAND(), 0, Params!$B$10), "")</f>
        <v>-5.402159831236724E-2</v>
      </c>
      <c r="C47">
        <f ca="1">Params!$B$1*C46 + (1-Params!$B$1)*(Params!$B$8 + Params!$B$3*K46 + Params!$B$2*J46)</f>
        <v>2.5486995853886755E-2</v>
      </c>
      <c r="D47">
        <v>0.02</v>
      </c>
      <c r="E47">
        <f ca="1">(C47 - D47)/Params!$B$12 + Params!$B$9</f>
        <v>-0.26068094375657319</v>
      </c>
      <c r="F47">
        <f ca="1">Params!$B$6*F46 + B47</f>
        <v>-6.3396527717314119E-2</v>
      </c>
      <c r="G47">
        <f ca="1">H47 + Params!$B$5*(E47 + I47 - L46) - Params!$B$6*(C47 - Params!$B$8)</f>
        <v>-2.7525735683623334E-2</v>
      </c>
      <c r="H47">
        <v>0</v>
      </c>
      <c r="I47">
        <v>0</v>
      </c>
      <c r="J47">
        <f t="shared" ca="1" si="5"/>
        <v>3.5870792033690785E-2</v>
      </c>
      <c r="K47">
        <f ca="1">Params!$B$6*J47</f>
        <v>3.5870792033690785E-3</v>
      </c>
      <c r="L47">
        <f t="shared" ca="1" si="6"/>
        <v>1.2676496429142488E-2</v>
      </c>
      <c r="M47">
        <f t="shared" ca="1" si="2"/>
        <v>-0.27335744018571567</v>
      </c>
      <c r="N47">
        <f t="shared" ca="1" si="3"/>
        <v>2.1899916650517676E-2</v>
      </c>
      <c r="O47">
        <f t="shared" ca="1" si="4"/>
        <v>-0.23587572461586831</v>
      </c>
    </row>
    <row r="48" spans="1:15" x14ac:dyDescent="0.25">
      <c r="A48">
        <v>46</v>
      </c>
      <c r="B48">
        <f ca="1">IF(ROW()-1 &lt;= Params!$B$11, _xlfn.NORM.INV(RAND(), 0, Params!$B$10), "")</f>
        <v>1.3275644366819687E-2</v>
      </c>
      <c r="C48">
        <f ca="1">Params!$B$1*C47 + (1-Params!$B$1)*(Params!$B$8 + Params!$B$3*K47 + Params!$B$2*J47)</f>
        <v>2.6911189830351071E-2</v>
      </c>
      <c r="D48">
        <v>0.02</v>
      </c>
      <c r="E48">
        <f ca="1">(C48 - D48)/Params!$B$12 + Params!$B$9</f>
        <v>-0.32834278272336587</v>
      </c>
      <c r="F48">
        <f ca="1">Params!$B$6*F47 + B48</f>
        <v>6.9359915950882745E-3</v>
      </c>
      <c r="G48">
        <f ca="1">H48 + Params!$B$5*(E48 + I48 - L47) - Params!$B$6*(C48 - Params!$B$8)</f>
        <v>-3.4793046898285947E-2</v>
      </c>
      <c r="H48">
        <v>0</v>
      </c>
      <c r="I48">
        <v>0</v>
      </c>
      <c r="J48">
        <f t="shared" ca="1" si="5"/>
        <v>-4.1729038493374219E-2</v>
      </c>
      <c r="K48">
        <f ca="1">Params!$B$6*J48</f>
        <v>-4.1729038493374219E-3</v>
      </c>
      <c r="L48">
        <f t="shared" ca="1" si="6"/>
        <v>8.5035925798050659E-3</v>
      </c>
      <c r="M48">
        <f t="shared" ca="1" si="2"/>
        <v>-0.33684637530317091</v>
      </c>
      <c r="N48">
        <f t="shared" ca="1" si="3"/>
        <v>3.1084093679688493E-2</v>
      </c>
      <c r="O48">
        <f t="shared" ca="1" si="4"/>
        <v>-6.7661838966792676E-2</v>
      </c>
    </row>
    <row r="49" spans="1:15" x14ac:dyDescent="0.25">
      <c r="A49">
        <v>47</v>
      </c>
      <c r="B49">
        <f ca="1">IF(ROW()-1 &lt;= Params!$B$11, _xlfn.NORM.INV(RAND(), 0, Params!$B$10), "")</f>
        <v>2.9557006749726108E-2</v>
      </c>
      <c r="C49">
        <f ca="1">Params!$B$1*C48 + (1-Params!$B$1)*(Params!$B$8 + Params!$B$3*K48 + Params!$B$2*J48)</f>
        <v>2.392497373018038E-2</v>
      </c>
      <c r="D49">
        <v>0.02</v>
      </c>
      <c r="E49">
        <f ca="1">(C49 - D49)/Params!$B$12 + Params!$B$9</f>
        <v>-0.18647104598747083</v>
      </c>
      <c r="F49">
        <f ca="1">Params!$B$6*F48 + B49</f>
        <v>3.0250605909234934E-2</v>
      </c>
      <c r="G49">
        <f ca="1">H49 + Params!$B$5*(E49 + I49 - L48) - Params!$B$6*(C49 - Params!$B$8)</f>
        <v>-1.988996122974563E-2</v>
      </c>
      <c r="H49">
        <v>0</v>
      </c>
      <c r="I49">
        <v>0</v>
      </c>
      <c r="J49">
        <f t="shared" ca="1" si="5"/>
        <v>-5.014056713898056E-2</v>
      </c>
      <c r="K49">
        <f ca="1">Params!$B$6*J49</f>
        <v>-5.0140567138980564E-3</v>
      </c>
      <c r="L49">
        <f t="shared" ca="1" si="6"/>
        <v>3.4895358659070095E-3</v>
      </c>
      <c r="M49">
        <f t="shared" ca="1" si="2"/>
        <v>-0.18996058185337783</v>
      </c>
      <c r="N49">
        <f t="shared" ca="1" si="3"/>
        <v>2.8939030444078438E-2</v>
      </c>
      <c r="O49">
        <f t="shared" ca="1" si="4"/>
        <v>0.14187173673589504</v>
      </c>
    </row>
    <row r="50" spans="1:15" x14ac:dyDescent="0.25">
      <c r="A50">
        <v>48</v>
      </c>
      <c r="B50">
        <f ca="1">IF(ROW()-1 &lt;= Params!$B$11, _xlfn.NORM.INV(RAND(), 0, Params!$B$10), "")</f>
        <v>-1.3180778278585504E-2</v>
      </c>
      <c r="C50">
        <f ca="1">Params!$B$1*C49 + (1-Params!$B$1)*(Params!$B$8 + Params!$B$3*K49 + Params!$B$2*J49)</f>
        <v>2.0774745164518413E-2</v>
      </c>
      <c r="D50">
        <v>0.02</v>
      </c>
      <c r="E50">
        <f ca="1">(C50 - D50)/Params!$B$12 + Params!$B$9</f>
        <v>-3.6807263215706765E-2</v>
      </c>
      <c r="F50">
        <f ca="1">Params!$B$6*F49 + B50</f>
        <v>-1.0155717687662011E-2</v>
      </c>
      <c r="G50">
        <f ca="1">H50 + Params!$B$5*(E50 + I50 - L49) - Params!$B$6*(C50 - Params!$B$8)</f>
        <v>-4.1071544246132187E-3</v>
      </c>
      <c r="H50">
        <v>0</v>
      </c>
      <c r="I50">
        <v>0</v>
      </c>
      <c r="J50">
        <f t="shared" ca="1" si="5"/>
        <v>6.0485632630487918E-3</v>
      </c>
      <c r="K50">
        <f ca="1">Params!$B$6*J50</f>
        <v>6.0485632630487925E-4</v>
      </c>
      <c r="L50">
        <f t="shared" ca="1" si="6"/>
        <v>4.0943921922118884E-3</v>
      </c>
      <c r="M50">
        <f t="shared" ca="1" si="2"/>
        <v>-4.0901655407918652E-2</v>
      </c>
      <c r="N50">
        <f t="shared" ca="1" si="3"/>
        <v>2.0169888838213534E-2</v>
      </c>
      <c r="O50">
        <f t="shared" ca="1" si="4"/>
        <v>0.14966378277176406</v>
      </c>
    </row>
    <row r="51" spans="1:15" x14ac:dyDescent="0.25">
      <c r="A51">
        <v>49</v>
      </c>
      <c r="B51">
        <f ca="1">IF(ROW()-1 &lt;= Params!$B$11, _xlfn.NORM.INV(RAND(), 0, Params!$B$10), "")</f>
        <v>2.316299509483484E-2</v>
      </c>
      <c r="C51">
        <f ca="1">Params!$B$1*C50 + (1-Params!$B$1)*(Params!$B$8 + Params!$B$3*K50 + Params!$B$2*J50)</f>
        <v>2.1029941627534254E-2</v>
      </c>
      <c r="D51">
        <v>0.02</v>
      </c>
      <c r="E51">
        <f ca="1">(C51 - D51)/Params!$B$12 + Params!$B$9</f>
        <v>-4.8931357454849528E-2</v>
      </c>
      <c r="F51">
        <f ca="1">Params!$B$6*F50 + B51</f>
        <v>2.214742332606864E-2</v>
      </c>
      <c r="G51">
        <f ca="1">H51 + Params!$B$5*(E51 + I51 - L50) - Params!$B$6*(C51 - Params!$B$8)</f>
        <v>-5.4055691274595679E-3</v>
      </c>
      <c r="H51">
        <v>0</v>
      </c>
      <c r="I51">
        <v>0</v>
      </c>
      <c r="J51">
        <f t="shared" ca="1" si="5"/>
        <v>-2.7552992453528206E-2</v>
      </c>
      <c r="K51">
        <f ca="1">Params!$B$6*J51</f>
        <v>-2.7552992453528206E-3</v>
      </c>
      <c r="L51">
        <f t="shared" ca="1" si="6"/>
        <v>1.3390929468590678E-3</v>
      </c>
      <c r="M51">
        <f t="shared" ca="1" si="2"/>
        <v>-5.0270450401708598E-2</v>
      </c>
      <c r="N51">
        <f t="shared" ca="1" si="3"/>
        <v>2.3785240872887074E-2</v>
      </c>
      <c r="O51">
        <f t="shared" ca="1" si="4"/>
        <v>-1.2124094239142763E-2</v>
      </c>
    </row>
    <row r="52" spans="1:15" x14ac:dyDescent="0.25">
      <c r="A52">
        <v>50</v>
      </c>
      <c r="B52">
        <f ca="1">IF(ROW()-1 &lt;= Params!$B$11, _xlfn.NORM.INV(RAND(), 0, Params!$B$10), "")</f>
        <v>-4.4885060085357836E-2</v>
      </c>
      <c r="C52">
        <f ca="1">Params!$B$1*C51 + (1-Params!$B$1)*(Params!$B$8 + Params!$B$3*K51 + Params!$B$2*J51)</f>
        <v>1.9411532879836775E-2</v>
      </c>
      <c r="D52">
        <v>0.02</v>
      </c>
      <c r="E52">
        <f ca="1">(C52 - D52)/Params!$B$12 + Params!$B$9</f>
        <v>2.7957404805618501E-2</v>
      </c>
      <c r="F52">
        <f ca="1">Params!$B$6*F51 + B52</f>
        <v>-4.2670317752750972E-2</v>
      </c>
      <c r="G52">
        <f ca="1">H52 + Params!$B$5*(E52 + I52 - L51) - Params!$B$6*(C52 - Params!$B$8)</f>
        <v>2.7206778978922661E-3</v>
      </c>
      <c r="H52">
        <v>0</v>
      </c>
      <c r="I52">
        <v>0</v>
      </c>
      <c r="J52">
        <f t="shared" ca="1" si="5"/>
        <v>4.5390995650643237E-2</v>
      </c>
      <c r="K52">
        <f ca="1">Params!$B$6*J52</f>
        <v>4.5390995650643239E-3</v>
      </c>
      <c r="L52">
        <f t="shared" ca="1" si="6"/>
        <v>5.8781925119233917E-3</v>
      </c>
      <c r="M52">
        <f t="shared" ca="1" si="2"/>
        <v>2.2079212293695111E-2</v>
      </c>
      <c r="N52">
        <f t="shared" ca="1" si="3"/>
        <v>1.4872433314772452E-2</v>
      </c>
      <c r="O52">
        <f t="shared" ca="1" si="4"/>
        <v>7.6888762260468035E-2</v>
      </c>
    </row>
    <row r="53" spans="1:15" x14ac:dyDescent="0.25">
      <c r="A53">
        <v>51</v>
      </c>
      <c r="B53">
        <f ca="1">IF(ROW()-1 &lt;= Params!$B$11, _xlfn.NORM.INV(RAND(), 0, Params!$B$10), "")</f>
        <v>-2.3928473215265506E-2</v>
      </c>
      <c r="C53">
        <f ca="1">Params!$B$1*C52 + (1-Params!$B$1)*(Params!$B$8 + Params!$B$3*K52 + Params!$B$2*J52)</f>
        <v>2.1966884352638476E-2</v>
      </c>
      <c r="D53">
        <v>0.02</v>
      </c>
      <c r="E53">
        <f ca="1">(C53 - D53)/Params!$B$12 + Params!$B$9</f>
        <v>-9.3444442634786906E-2</v>
      </c>
      <c r="F53">
        <f ca="1">Params!$B$6*F52 + B53</f>
        <v>-2.8195504990540604E-2</v>
      </c>
      <c r="G53">
        <f ca="1">H53 + Params!$B$5*(E53 + I53 - L52) - Params!$B$6*(C53 - Params!$B$8)</f>
        <v>-1.012895194993488E-2</v>
      </c>
      <c r="H53">
        <v>0</v>
      </c>
      <c r="I53">
        <v>0</v>
      </c>
      <c r="J53">
        <f t="shared" ca="1" si="5"/>
        <v>1.8066553040605726E-2</v>
      </c>
      <c r="K53">
        <f ca="1">Params!$B$6*J53</f>
        <v>1.8066553040605726E-3</v>
      </c>
      <c r="L53">
        <f t="shared" ca="1" si="6"/>
        <v>7.6848478159839643E-3</v>
      </c>
      <c r="M53">
        <f t="shared" ca="1" si="2"/>
        <v>-0.10112929045077088</v>
      </c>
      <c r="N53">
        <f t="shared" ca="1" si="3"/>
        <v>2.0160229048577904E-2</v>
      </c>
      <c r="O53">
        <f t="shared" ca="1" si="4"/>
        <v>-0.12140184744040541</v>
      </c>
    </row>
    <row r="54" spans="1:15" x14ac:dyDescent="0.25">
      <c r="A54">
        <v>52</v>
      </c>
      <c r="B54">
        <f ca="1">IF(ROW()-1 &lt;= Params!$B$11, _xlfn.NORM.INV(RAND(), 0, Params!$B$10), "")</f>
        <v>8.6783128945230367E-2</v>
      </c>
      <c r="C54">
        <f ca="1">Params!$B$1*C53 + (1-Params!$B$1)*(Params!$B$8 + Params!$B$3*K53 + Params!$B$2*J53)</f>
        <v>2.2763856334607944E-2</v>
      </c>
      <c r="D54">
        <v>0.02</v>
      </c>
      <c r="E54">
        <f ca="1">(C54 - D54)/Params!$B$12 + Params!$B$9</f>
        <v>-0.13130767671399302</v>
      </c>
      <c r="F54">
        <f ca="1">Params!$B$6*F53 + B54</f>
        <v>8.3963578446176301E-2</v>
      </c>
      <c r="G54">
        <f ca="1">H54 + Params!$B$5*(E54 + I54 - L53) - Params!$B$6*(C54 - Params!$B$8)</f>
        <v>-1.4175638086458494E-2</v>
      </c>
      <c r="H54">
        <v>0</v>
      </c>
      <c r="I54">
        <v>0</v>
      </c>
      <c r="J54">
        <f t="shared" ca="1" si="5"/>
        <v>-9.8139216532634799E-2</v>
      </c>
      <c r="K54">
        <f ca="1">Params!$B$6*J54</f>
        <v>-9.8139216532634813E-3</v>
      </c>
      <c r="L54">
        <f t="shared" ca="1" si="6"/>
        <v>-2.129073837279517E-3</v>
      </c>
      <c r="M54">
        <f t="shared" ca="1" si="2"/>
        <v>-0.12917860287671351</v>
      </c>
      <c r="N54">
        <f t="shared" ca="1" si="3"/>
        <v>3.2577777987871426E-2</v>
      </c>
      <c r="O54">
        <f t="shared" ca="1" si="4"/>
        <v>-3.786323407920611E-2</v>
      </c>
    </row>
    <row r="55" spans="1:15" x14ac:dyDescent="0.25">
      <c r="A55">
        <v>53</v>
      </c>
      <c r="B55">
        <f ca="1">IF(ROW()-1 &lt;= Params!$B$11, _xlfn.NORM.INV(RAND(), 0, Params!$B$10), "")</f>
        <v>2.1876802277660451E-2</v>
      </c>
      <c r="C55">
        <f ca="1">Params!$B$1*C54 + (1-Params!$B$1)*(Params!$B$8 + Params!$B$3*K54 + Params!$B$2*J54)</f>
        <v>1.7089813791852239E-2</v>
      </c>
      <c r="D55">
        <v>0.02</v>
      </c>
      <c r="E55">
        <f ca="1">(C55 - D55)/Params!$B$12 + Params!$B$9</f>
        <v>0.13825964288089271</v>
      </c>
      <c r="F55">
        <f ca="1">Params!$B$6*F54 + B55</f>
        <v>3.0273160122278084E-2</v>
      </c>
      <c r="G55">
        <f ca="1">H55 + Params!$B$5*(E55 + I55 - L54) - Params!$B$6*(C55 - Params!$B$8)</f>
        <v>1.4329890292631998E-2</v>
      </c>
      <c r="H55">
        <v>0</v>
      </c>
      <c r="I55">
        <v>0</v>
      </c>
      <c r="J55">
        <f t="shared" ca="1" si="5"/>
        <v>-1.5943269829646084E-2</v>
      </c>
      <c r="K55">
        <f ca="1">Params!$B$6*J55</f>
        <v>-1.5943269829646084E-3</v>
      </c>
      <c r="L55">
        <f t="shared" ca="1" si="6"/>
        <v>-3.7234008202441252E-3</v>
      </c>
      <c r="M55">
        <f t="shared" ca="1" si="2"/>
        <v>0.14198304370113685</v>
      </c>
      <c r="N55">
        <f t="shared" ca="1" si="3"/>
        <v>1.8684140774816848E-2</v>
      </c>
      <c r="O55">
        <f t="shared" ca="1" si="4"/>
        <v>0.26956731959488572</v>
      </c>
    </row>
    <row r="56" spans="1:15" x14ac:dyDescent="0.25">
      <c r="A56">
        <v>54</v>
      </c>
      <c r="B56">
        <f ca="1">IF(ROW()-1 &lt;= Params!$B$11, _xlfn.NORM.INV(RAND(), 0, Params!$B$10), "")</f>
        <v>-2.3134328420453681E-2</v>
      </c>
      <c r="C56">
        <f ca="1">Params!$B$1*C55 + (1-Params!$B$1)*(Params!$B$8 + Params!$B$3*K55 + Params!$B$2*J55)</f>
        <v>1.650395257203648E-2</v>
      </c>
      <c r="D56">
        <v>0.02</v>
      </c>
      <c r="E56">
        <f ca="1">(C56 - D56)/Params!$B$12 + Params!$B$9</f>
        <v>0.16609324431942249</v>
      </c>
      <c r="F56">
        <f ca="1">Params!$B$6*F55 + B56</f>
        <v>-2.0107012408225874E-2</v>
      </c>
      <c r="G56">
        <f ca="1">H56 + Params!$B$5*(E56 + I56 - L55) - Params!$B$6*(C56 - Params!$B$8)</f>
        <v>1.7331269256763017E-2</v>
      </c>
      <c r="H56">
        <v>0</v>
      </c>
      <c r="I56">
        <v>0</v>
      </c>
      <c r="J56">
        <f t="shared" ca="1" si="5"/>
        <v>3.7438281664988887E-2</v>
      </c>
      <c r="K56">
        <f ca="1">Params!$B$6*J56</f>
        <v>3.7438281664988887E-3</v>
      </c>
      <c r="L56">
        <f t="shared" ca="1" si="6"/>
        <v>2.0427346254763522E-5</v>
      </c>
      <c r="M56">
        <f t="shared" ca="1" si="2"/>
        <v>0.16607281697316773</v>
      </c>
      <c r="N56">
        <f t="shared" ca="1" si="3"/>
        <v>1.2760124405537591E-2</v>
      </c>
      <c r="O56">
        <f t="shared" ca="1" si="4"/>
        <v>2.7833601438529781E-2</v>
      </c>
    </row>
    <row r="57" spans="1:15" x14ac:dyDescent="0.25">
      <c r="A57">
        <v>55</v>
      </c>
      <c r="B57">
        <f ca="1">IF(ROW()-1 &lt;= Params!$B$11, _xlfn.NORM.INV(RAND(), 0, Params!$B$10), "")</f>
        <v>-6.1624099557831873E-2</v>
      </c>
      <c r="C57">
        <f ca="1">Params!$B$1*C56 + (1-Params!$B$1)*(Params!$B$8 + Params!$B$3*K56 + Params!$B$2*J56)</f>
        <v>1.8912662806407219E-2</v>
      </c>
      <c r="D57">
        <v>0.02</v>
      </c>
      <c r="E57">
        <f ca="1">(C57 - D57)/Params!$B$12 + Params!$B$9</f>
        <v>5.1658155638409572E-2</v>
      </c>
      <c r="F57">
        <f ca="1">Params!$B$6*F56 + B57</f>
        <v>-6.3634800798654453E-2</v>
      </c>
      <c r="G57">
        <f ca="1">H57 + Params!$B$5*(E57 + I57 - L56) - Params!$B$6*(C57 - Params!$B$8)</f>
        <v>5.27250654857476E-3</v>
      </c>
      <c r="H57">
        <v>0</v>
      </c>
      <c r="I57">
        <v>0</v>
      </c>
      <c r="J57">
        <f t="shared" ca="1" si="5"/>
        <v>6.8907307347229219E-2</v>
      </c>
      <c r="K57">
        <f ca="1">Params!$B$6*J57</f>
        <v>6.8907307347229226E-3</v>
      </c>
      <c r="L57">
        <f t="shared" ca="1" si="6"/>
        <v>6.9111580809776861E-3</v>
      </c>
      <c r="M57">
        <f t="shared" ca="1" si="2"/>
        <v>4.4746997557431889E-2</v>
      </c>
      <c r="N57">
        <f t="shared" ca="1" si="3"/>
        <v>1.2021932071684296E-2</v>
      </c>
      <c r="O57">
        <f t="shared" ca="1" si="4"/>
        <v>-0.11443508868101292</v>
      </c>
    </row>
    <row r="58" spans="1:15" x14ac:dyDescent="0.25">
      <c r="A58">
        <v>56</v>
      </c>
      <c r="B58">
        <f ca="1">IF(ROW()-1 &lt;= Params!$B$11, _xlfn.NORM.INV(RAND(), 0, Params!$B$10), "")</f>
        <v>5.1839631519489539E-2</v>
      </c>
      <c r="C58">
        <f ca="1">Params!$B$1*C57 + (1-Params!$B$1)*(Params!$B$8 + Params!$B$3*K57 + Params!$B$2*J57)</f>
        <v>2.2811298429864103E-2</v>
      </c>
      <c r="D58">
        <v>0.02</v>
      </c>
      <c r="E58">
        <f ca="1">(C58 - D58)/Params!$B$12 + Params!$B$9</f>
        <v>-0.13356159679968149</v>
      </c>
      <c r="F58">
        <f ca="1">Params!$B$6*F57 + B58</f>
        <v>4.5476151439624093E-2</v>
      </c>
      <c r="G58">
        <f ca="1">H58 + Params!$B$5*(E58 + I58 - L57) - Params!$B$6*(C58 - Params!$B$8)</f>
        <v>-1.4328405331052329E-2</v>
      </c>
      <c r="H58">
        <v>0</v>
      </c>
      <c r="I58">
        <v>0</v>
      </c>
      <c r="J58">
        <f t="shared" ca="1" si="5"/>
        <v>-5.980455677067642E-2</v>
      </c>
      <c r="K58">
        <f ca="1">Params!$B$6*J58</f>
        <v>-5.9804556770676424E-3</v>
      </c>
      <c r="L58">
        <f t="shared" ca="1" si="6"/>
        <v>9.307024039100437E-4</v>
      </c>
      <c r="M58">
        <f t="shared" ca="1" si="2"/>
        <v>-0.13449229920359154</v>
      </c>
      <c r="N58">
        <f t="shared" ca="1" si="3"/>
        <v>2.8791754106931744E-2</v>
      </c>
      <c r="O58">
        <f t="shared" ca="1" si="4"/>
        <v>-0.18521975243809108</v>
      </c>
    </row>
    <row r="59" spans="1:15" x14ac:dyDescent="0.25">
      <c r="A59">
        <v>57</v>
      </c>
      <c r="B59">
        <f ca="1">IF(ROW()-1 &lt;= Params!$B$11, _xlfn.NORM.INV(RAND(), 0, Params!$B$10), "")</f>
        <v>1.6813713346386105E-2</v>
      </c>
      <c r="C59">
        <f ca="1">Params!$B$1*C58 + (1-Params!$B$1)*(Params!$B$8 + Params!$B$3*K58 + Params!$B$2*J58)</f>
        <v>1.9240917964490491E-2</v>
      </c>
      <c r="D59">
        <v>0.02</v>
      </c>
      <c r="E59">
        <f ca="1">(C59 - D59)/Params!$B$12 + Params!$B$9</f>
        <v>3.6063125738487863E-2</v>
      </c>
      <c r="F59">
        <f ca="1">Params!$B$6*F58 + B59</f>
        <v>2.1361328490348514E-2</v>
      </c>
      <c r="G59">
        <f ca="1">H59 + Params!$B$5*(E59 + I59 - L58) - Params!$B$6*(C59 - Params!$B$8)</f>
        <v>3.5891505370087328E-3</v>
      </c>
      <c r="H59">
        <v>0</v>
      </c>
      <c r="I59">
        <v>0</v>
      </c>
      <c r="J59">
        <f t="shared" ca="1" si="5"/>
        <v>-1.7772177953339782E-2</v>
      </c>
      <c r="K59">
        <f ca="1">Params!$B$6*J59</f>
        <v>-1.7772177953339784E-3</v>
      </c>
      <c r="L59">
        <f t="shared" ca="1" si="6"/>
        <v>-8.4651539142393466E-4</v>
      </c>
      <c r="M59">
        <f t="shared" ca="1" si="2"/>
        <v>3.6909641129911797E-2</v>
      </c>
      <c r="N59">
        <f t="shared" ca="1" si="3"/>
        <v>2.1018135759824468E-2</v>
      </c>
      <c r="O59">
        <f t="shared" ca="1" si="4"/>
        <v>0.16962472253816935</v>
      </c>
    </row>
    <row r="60" spans="1:15" x14ac:dyDescent="0.25">
      <c r="A60">
        <v>58</v>
      </c>
      <c r="B60">
        <f ca="1">IF(ROW()-1 &lt;= Params!$B$11, _xlfn.NORM.INV(RAND(), 0, Params!$B$10), "")</f>
        <v>-8.7181030126284604E-3</v>
      </c>
      <c r="C60">
        <f ca="1">Params!$B$1*C59 + (1-Params!$B$1)*(Params!$B$8 + Params!$B$3*K59 + Params!$B$2*J59)</f>
        <v>1.8339356380607755E-2</v>
      </c>
      <c r="D60">
        <v>0.02</v>
      </c>
      <c r="E60">
        <f ca="1">(C60 - D60)/Params!$B$12 + Params!$B$9</f>
        <v>7.8895293066397254E-2</v>
      </c>
      <c r="F60">
        <f ca="1">Params!$B$6*F59 + B60</f>
        <v>-6.5819701635936086E-3</v>
      </c>
      <c r="G60">
        <f ca="1">H60 + Params!$B$5*(E60 + I60 - L59) - Params!$B$6*(C60 - Params!$B$8)</f>
        <v>8.1402452077213444E-3</v>
      </c>
      <c r="H60">
        <v>0</v>
      </c>
      <c r="I60">
        <v>0</v>
      </c>
      <c r="J60">
        <f t="shared" ca="1" si="5"/>
        <v>1.4722215371314953E-2</v>
      </c>
      <c r="K60">
        <f ca="1">Params!$B$6*J60</f>
        <v>1.4722215371314954E-3</v>
      </c>
      <c r="L60">
        <f t="shared" ca="1" si="6"/>
        <v>6.2570614570756078E-4</v>
      </c>
      <c r="M60">
        <f t="shared" ca="1" si="2"/>
        <v>7.8269586920689693E-2</v>
      </c>
      <c r="N60">
        <f t="shared" ca="1" si="3"/>
        <v>1.686713484347626E-2</v>
      </c>
      <c r="O60">
        <f t="shared" ca="1" si="4"/>
        <v>4.2832167327909391E-2</v>
      </c>
    </row>
    <row r="61" spans="1:15" x14ac:dyDescent="0.25">
      <c r="A61">
        <v>59</v>
      </c>
      <c r="B61">
        <f ca="1">IF(ROW()-1 &lt;= Params!$B$11, _xlfn.NORM.INV(RAND(), 0, Params!$B$10), "")</f>
        <v>-3.0895365135432163E-2</v>
      </c>
      <c r="C61">
        <f ca="1">Params!$B$1*C60 + (1-Params!$B$1)*(Params!$B$8 + Params!$B$3*K60 + Params!$B$2*J60)</f>
        <v>1.9315142587969299E-2</v>
      </c>
      <c r="D61">
        <v>0.02</v>
      </c>
      <c r="E61">
        <f ca="1">(C61 - D61)/Params!$B$12 + Params!$B$9</f>
        <v>3.2536798142536426E-2</v>
      </c>
      <c r="F61">
        <f ca="1">Params!$B$6*F60 + B61</f>
        <v>-3.1553562151791524E-2</v>
      </c>
      <c r="G61">
        <f ca="1">H61 + Params!$B$5*(E61 + I61 - L60) - Params!$B$6*(C61 - Params!$B$8)</f>
        <v>3.259594940885957E-3</v>
      </c>
      <c r="H61">
        <v>0</v>
      </c>
      <c r="I61">
        <v>0</v>
      </c>
      <c r="J61">
        <f t="shared" ca="1" si="5"/>
        <v>3.4813157092677481E-2</v>
      </c>
      <c r="K61">
        <f ca="1">Params!$B$6*J61</f>
        <v>3.4813157092677483E-3</v>
      </c>
      <c r="L61">
        <f t="shared" ca="1" si="6"/>
        <v>4.1070218549753091E-3</v>
      </c>
      <c r="M61">
        <f t="shared" ca="1" si="2"/>
        <v>2.8429776287561118E-2</v>
      </c>
      <c r="N61">
        <f t="shared" ca="1" si="3"/>
        <v>1.5833826878701551E-2</v>
      </c>
      <c r="O61">
        <f t="shared" ca="1" si="4"/>
        <v>-4.6358494923860828E-2</v>
      </c>
    </row>
    <row r="62" spans="1:15" x14ac:dyDescent="0.25">
      <c r="A62">
        <v>60</v>
      </c>
      <c r="B62">
        <f ca="1">IF(ROW()-1 &lt;= Params!$B$11, _xlfn.NORM.INV(RAND(), 0, Params!$B$10), "")</f>
        <v>5.5379851641630368E-2</v>
      </c>
      <c r="C62">
        <f ca="1">Params!$B$1*C61 + (1-Params!$B$1)*(Params!$B$8 + Params!$B$3*K61 + Params!$B$2*J61)</f>
        <v>2.129835196926963E-2</v>
      </c>
      <c r="D62">
        <v>0.02</v>
      </c>
      <c r="E62">
        <f ca="1">(C62 - D62)/Params!$B$12 + Params!$B$9</f>
        <v>-6.168322807054151E-2</v>
      </c>
      <c r="F62">
        <f ca="1">Params!$B$6*F61 + B62</f>
        <v>5.2224495426451217E-2</v>
      </c>
      <c r="G62">
        <f ca="1">H62 + Params!$B$5*(E62 + I62 - L61) - Params!$B$6*(C62 - Params!$B$8)</f>
        <v>-6.7088601894786451E-3</v>
      </c>
      <c r="H62">
        <v>0</v>
      </c>
      <c r="I62">
        <v>0</v>
      </c>
      <c r="J62">
        <f t="shared" ca="1" si="5"/>
        <v>-5.8933355615929862E-2</v>
      </c>
      <c r="K62">
        <f ca="1">Params!$B$6*J62</f>
        <v>-5.8933355615929869E-3</v>
      </c>
      <c r="L62">
        <f t="shared" ca="1" si="6"/>
        <v>-1.7863137066176779E-3</v>
      </c>
      <c r="M62">
        <f t="shared" ca="1" si="2"/>
        <v>-5.9896914363923831E-2</v>
      </c>
      <c r="N62">
        <f t="shared" ca="1" si="3"/>
        <v>2.7191687530862617E-2</v>
      </c>
      <c r="O62">
        <f t="shared" ca="1" si="4"/>
        <v>-9.4220026213077929E-2</v>
      </c>
    </row>
    <row r="63" spans="1:15" x14ac:dyDescent="0.25">
      <c r="A63">
        <v>61</v>
      </c>
      <c r="B63">
        <f ca="1">IF(ROW()-1 &lt;= Params!$B$11, _xlfn.NORM.INV(RAND(), 0, Params!$B$10), "")</f>
        <v>-6.8012814208758994E-3</v>
      </c>
      <c r="C63">
        <f ca="1">Params!$B$1*C62 + (1-Params!$B$1)*(Params!$B$8 + Params!$B$3*K62 + Params!$B$2*J62)</f>
        <v>1.7927182213466526E-2</v>
      </c>
      <c r="D63">
        <v>0.02</v>
      </c>
      <c r="E63">
        <f ca="1">(C63 - D63)/Params!$B$12 + Params!$B$9</f>
        <v>9.8477219815320344E-2</v>
      </c>
      <c r="F63">
        <f ca="1">Params!$B$6*F62 + B63</f>
        <v>-1.5788318782307773E-3</v>
      </c>
      <c r="G63">
        <f ca="1">H63 + Params!$B$5*(E63 + I63 - L62) - Params!$B$6*(C63 - Params!$B$8)</f>
        <v>1.023363513084715E-2</v>
      </c>
      <c r="H63">
        <v>0</v>
      </c>
      <c r="I63">
        <v>0</v>
      </c>
      <c r="J63">
        <f t="shared" ca="1" si="5"/>
        <v>1.1812467009077928E-2</v>
      </c>
      <c r="K63">
        <f ca="1">Params!$B$6*J63</f>
        <v>1.1812467009077929E-3</v>
      </c>
      <c r="L63">
        <f t="shared" ca="1" si="6"/>
        <v>-6.0506700570988497E-4</v>
      </c>
      <c r="M63">
        <f t="shared" ca="1" si="2"/>
        <v>9.9082286821030235E-2</v>
      </c>
      <c r="N63">
        <f t="shared" ca="1" si="3"/>
        <v>1.6745935512558732E-2</v>
      </c>
      <c r="O63">
        <f t="shared" ca="1" si="4"/>
        <v>0.16016044788586187</v>
      </c>
    </row>
    <row r="64" spans="1:15" x14ac:dyDescent="0.25">
      <c r="A64">
        <v>62</v>
      </c>
      <c r="B64">
        <f ca="1">IF(ROW()-1 &lt;= Params!$B$11, _xlfn.NORM.INV(RAND(), 0, Params!$B$10), "")</f>
        <v>3.6510146966287807E-2</v>
      </c>
      <c r="C64">
        <f ca="1">Params!$B$1*C63 + (1-Params!$B$1)*(Params!$B$8 + Params!$B$3*K63 + Params!$B$2*J63)</f>
        <v>1.8784149677619159E-2</v>
      </c>
      <c r="D64">
        <v>0.02</v>
      </c>
      <c r="E64">
        <f ca="1">(C64 - D64)/Params!$B$12 + Params!$B$9</f>
        <v>5.7763668489098342E-2</v>
      </c>
      <c r="F64">
        <f ca="1">Params!$B$6*F63 + B64</f>
        <v>3.6352263778464726E-2</v>
      </c>
      <c r="G64">
        <f ca="1">H64 + Params!$B$5*(E64 + I64 - L63) - Params!$B$6*(C64 - Params!$B$8)</f>
        <v>5.9584585817189072E-3</v>
      </c>
      <c r="H64">
        <v>0</v>
      </c>
      <c r="I64">
        <v>0</v>
      </c>
      <c r="J64">
        <f t="shared" ca="1" si="5"/>
        <v>-3.0393805196745817E-2</v>
      </c>
      <c r="K64">
        <f ca="1">Params!$B$6*J64</f>
        <v>-3.039380519674582E-3</v>
      </c>
      <c r="L64">
        <f t="shared" ca="1" si="6"/>
        <v>-3.6444475253844671E-3</v>
      </c>
      <c r="M64">
        <f t="shared" ca="1" si="2"/>
        <v>6.1408116014482809E-2</v>
      </c>
      <c r="N64">
        <f t="shared" ca="1" si="3"/>
        <v>2.1823530197293741E-2</v>
      </c>
      <c r="O64">
        <f t="shared" ca="1" si="4"/>
        <v>-4.0713551326222001E-2</v>
      </c>
    </row>
    <row r="65" spans="1:15" x14ac:dyDescent="0.25">
      <c r="A65">
        <v>63</v>
      </c>
      <c r="B65">
        <f ca="1">IF(ROW()-1 &lt;= Params!$B$11, _xlfn.NORM.INV(RAND(), 0, Params!$B$10), "")</f>
        <v>3.0419142332066676E-2</v>
      </c>
      <c r="C65">
        <f ca="1">Params!$B$1*C64 + (1-Params!$B$1)*(Params!$B$8 + Params!$B$3*K64 + Params!$B$2*J64)</f>
        <v>1.7234075424036224E-2</v>
      </c>
      <c r="D65">
        <v>0.02</v>
      </c>
      <c r="E65">
        <f ca="1">(C65 - D65)/Params!$B$12 + Params!$B$9</f>
        <v>0.13140593651278124</v>
      </c>
      <c r="F65">
        <f ca="1">Params!$B$6*F64 + B65</f>
        <v>3.4054368709913151E-2</v>
      </c>
      <c r="G65">
        <f ca="1">H65 + Params!$B$5*(E65 + I65 - L64) - Params!$B$6*(C65 - Params!$B$8)</f>
        <v>1.3781630861412951E-2</v>
      </c>
      <c r="H65">
        <v>0</v>
      </c>
      <c r="I65">
        <v>0</v>
      </c>
      <c r="J65">
        <f t="shared" ca="1" si="5"/>
        <v>-2.02727378485002E-2</v>
      </c>
      <c r="K65">
        <f ca="1">Params!$B$6*J65</f>
        <v>-2.0272737848500201E-3</v>
      </c>
      <c r="L65">
        <f t="shared" ca="1" si="6"/>
        <v>-5.6717213102344868E-3</v>
      </c>
      <c r="M65">
        <f t="shared" ca="1" si="2"/>
        <v>0.13707765782301573</v>
      </c>
      <c r="N65">
        <f t="shared" ca="1" si="3"/>
        <v>1.9261349208886246E-2</v>
      </c>
      <c r="O65">
        <f t="shared" ca="1" si="4"/>
        <v>7.36422680236829E-2</v>
      </c>
    </row>
    <row r="66" spans="1:15" x14ac:dyDescent="0.25">
      <c r="A66">
        <v>64</v>
      </c>
      <c r="B66">
        <f ca="1">IF(ROW()-1 &lt;= Params!$B$11, _xlfn.NORM.INV(RAND(), 0, Params!$B$10), "")</f>
        <v>4.3993880066418418E-2</v>
      </c>
      <c r="C66">
        <f ca="1">Params!$B$1*C65 + (1-Params!$B$1)*(Params!$B$8 + Params!$B$3*K65 + Params!$B$2*J65)</f>
        <v>1.639566729996509E-2</v>
      </c>
      <c r="D66">
        <v>0.02</v>
      </c>
      <c r="E66">
        <f ca="1">(C66 - D66)/Params!$B$12 + Params!$B$9</f>
        <v>0.17123775466172786</v>
      </c>
      <c r="F66">
        <f ca="1">Params!$B$6*F65 + B66</f>
        <v>4.739931693740973E-2</v>
      </c>
      <c r="G66">
        <f ca="1">H66 + Params!$B$5*(E66 + I66 - L65) - Params!$B$6*(C66 - Params!$B$8)</f>
        <v>1.8051380867199728E-2</v>
      </c>
      <c r="H66">
        <v>0</v>
      </c>
      <c r="I66">
        <v>0</v>
      </c>
      <c r="J66">
        <f t="shared" ca="1" si="5"/>
        <v>-2.9347936070210003E-2</v>
      </c>
      <c r="K66">
        <f ca="1">Params!$B$6*J66</f>
        <v>-2.9347936070210005E-3</v>
      </c>
      <c r="L66">
        <f t="shared" ca="1" si="6"/>
        <v>-8.6065149172554877E-3</v>
      </c>
      <c r="M66">
        <f t="shared" ca="1" si="2"/>
        <v>0.17984426957898333</v>
      </c>
      <c r="N66">
        <f t="shared" ca="1" si="3"/>
        <v>1.9330460906986091E-2</v>
      </c>
      <c r="O66">
        <f t="shared" ca="1" si="4"/>
        <v>3.9831818148946624E-2</v>
      </c>
    </row>
    <row r="67" spans="1:15" x14ac:dyDescent="0.25">
      <c r="A67">
        <v>65</v>
      </c>
      <c r="B67">
        <f ca="1">IF(ROW()-1 &lt;= Params!$B$11, _xlfn.NORM.INV(RAND(), 0, Params!$B$10), "")</f>
        <v>1.4519554062406952E-2</v>
      </c>
      <c r="C67">
        <f ca="1">Params!$B$1*C66 + (1-Params!$B$1)*(Params!$B$8 + Params!$B$3*K66 + Params!$B$2*J66)</f>
        <v>1.5141964086107032E-2</v>
      </c>
      <c r="D67">
        <v>0.02</v>
      </c>
      <c r="E67">
        <f ca="1">(C67 - D67)/Params!$B$12 + Params!$B$9</f>
        <v>0.23079977105138205</v>
      </c>
      <c r="F67">
        <f ca="1">Params!$B$6*F66 + B67</f>
        <v>1.9259485756147925E-2</v>
      </c>
      <c r="G67">
        <f ca="1">H67 + Params!$B$5*(E67 + I67 - L66) - Params!$B$6*(C67 - Params!$B$8)</f>
        <v>2.442643218825305E-2</v>
      </c>
      <c r="H67">
        <v>0</v>
      </c>
      <c r="I67">
        <v>0</v>
      </c>
      <c r="J67">
        <f t="shared" ref="J67:J101" ca="1" si="7">G67 - F67</f>
        <v>5.1669464321051246E-3</v>
      </c>
      <c r="K67">
        <f ca="1">Params!$B$6*J67</f>
        <v>5.1669464321051246E-4</v>
      </c>
      <c r="L67">
        <f t="shared" ref="L67:L98" ca="1" si="8">L66 + K67</f>
        <v>-8.0898202740449753E-3</v>
      </c>
      <c r="M67">
        <f t="shared" ref="M67:M130" ca="1" si="9">E67+I67-L67</f>
        <v>0.23888959132542703</v>
      </c>
      <c r="N67">
        <f t="shared" ref="N67:N130" ca="1" si="10">C67-K67</f>
        <v>1.462526944289652E-2</v>
      </c>
      <c r="O67">
        <f t="shared" ca="1" si="4"/>
        <v>5.9562016389654193E-2</v>
      </c>
    </row>
    <row r="68" spans="1:15" x14ac:dyDescent="0.25">
      <c r="A68">
        <v>66</v>
      </c>
      <c r="B68">
        <f ca="1">IF(ROW()-1 &lt;= Params!$B$11, _xlfn.NORM.INV(RAND(), 0, Params!$B$10), "")</f>
        <v>-7.2725591935682538E-2</v>
      </c>
      <c r="C68">
        <f ca="1">Params!$B$1*C67 + (1-Params!$B$1)*(Params!$B$8 + Params!$B$3*K67 + Params!$B$2*J67)</f>
        <v>1.5911949731262108E-2</v>
      </c>
      <c r="D68">
        <v>0.02</v>
      </c>
      <c r="E68">
        <f ca="1">(C68 - D68)/Params!$B$12 + Params!$B$9</f>
        <v>0.19421862719725336</v>
      </c>
      <c r="F68">
        <f ca="1">Params!$B$6*F67 + B68</f>
        <v>-7.0799643360067749E-2</v>
      </c>
      <c r="G68">
        <f ca="1">H68 + Params!$B$5*(E68 + I68 - L67) - Params!$B$6*(C68 - Params!$B$8)</f>
        <v>2.0639649774003625E-2</v>
      </c>
      <c r="H68">
        <v>0</v>
      </c>
      <c r="I68">
        <v>0</v>
      </c>
      <c r="J68">
        <f t="shared" ca="1" si="7"/>
        <v>9.143929313407137E-2</v>
      </c>
      <c r="K68">
        <f ca="1">Params!$B$6*J68</f>
        <v>9.1439293134071373E-3</v>
      </c>
      <c r="L68">
        <f t="shared" ca="1" si="8"/>
        <v>1.0541090393621621E-3</v>
      </c>
      <c r="M68">
        <f t="shared" ca="1" si="9"/>
        <v>0.19316451815789121</v>
      </c>
      <c r="N68">
        <f t="shared" ca="1" si="10"/>
        <v>6.7680204178549707E-3</v>
      </c>
      <c r="O68">
        <f t="shared" ref="O68:O131" ca="1" si="11">E68-E67</f>
        <v>-3.6581143854128695E-2</v>
      </c>
    </row>
    <row r="69" spans="1:15" x14ac:dyDescent="0.25">
      <c r="A69">
        <v>67</v>
      </c>
      <c r="B69">
        <f ca="1">IF(ROW()-1 &lt;= Params!$B$11, _xlfn.NORM.INV(RAND(), 0, Params!$B$10), "")</f>
        <v>5.3295967218360031E-2</v>
      </c>
      <c r="C69">
        <f ca="1">Params!$B$1*C68 + (1-Params!$B$1)*(Params!$B$8 + Params!$B$3*K68 + Params!$B$2*J68)</f>
        <v>2.1349915880509822E-2</v>
      </c>
      <c r="D69">
        <v>0.02</v>
      </c>
      <c r="E69">
        <f ca="1">(C69 - D69)/Params!$B$12 + Params!$B$9</f>
        <v>-6.4132970954227458E-2</v>
      </c>
      <c r="F69">
        <f ca="1">Params!$B$6*F68 + B69</f>
        <v>4.6216002882353252E-2</v>
      </c>
      <c r="G69">
        <f ca="1">H69 + Params!$B$5*(E69 + I69 - L68) - Params!$B$6*(C69 - Params!$B$8)</f>
        <v>-6.6536995874099444E-3</v>
      </c>
      <c r="H69">
        <v>0</v>
      </c>
      <c r="I69">
        <v>0</v>
      </c>
      <c r="J69">
        <f t="shared" ca="1" si="7"/>
        <v>-5.2869702469763198E-2</v>
      </c>
      <c r="K69">
        <f ca="1">Params!$B$6*J69</f>
        <v>-5.2869702469763198E-3</v>
      </c>
      <c r="L69">
        <f t="shared" ca="1" si="8"/>
        <v>-4.2328612076141577E-3</v>
      </c>
      <c r="M69">
        <f t="shared" ca="1" si="9"/>
        <v>-5.9900109746613299E-2</v>
      </c>
      <c r="N69">
        <f t="shared" ca="1" si="10"/>
        <v>2.6636886127486142E-2</v>
      </c>
      <c r="O69">
        <f t="shared" ca="1" si="11"/>
        <v>-0.25835159815148079</v>
      </c>
    </row>
    <row r="70" spans="1:15" x14ac:dyDescent="0.25">
      <c r="A70">
        <v>68</v>
      </c>
      <c r="B70">
        <f ca="1">IF(ROW()-1 &lt;= Params!$B$11, _xlfn.NORM.INV(RAND(), 0, Params!$B$10), "")</f>
        <v>-8.6442554308529176E-3</v>
      </c>
      <c r="C70">
        <f ca="1">Params!$B$1*C69 + (1-Params!$B$1)*(Params!$B$8 + Params!$B$3*K69 + Params!$B$2*J69)</f>
        <v>1.8307090656621863E-2</v>
      </c>
      <c r="D70">
        <v>0.02</v>
      </c>
      <c r="E70">
        <f ca="1">(C70 - D70)/Params!$B$12 + Params!$B$9</f>
        <v>8.0428200982424453E-2</v>
      </c>
      <c r="F70">
        <f ca="1">Params!$B$6*F69 + B70</f>
        <v>-4.0226551426175922E-3</v>
      </c>
      <c r="G70">
        <f ca="1">H70 + Params!$B$5*(E70 + I70 - L69) - Params!$B$6*(C70 - Params!$B$8)</f>
        <v>8.6353971533416757E-3</v>
      </c>
      <c r="H70">
        <v>0</v>
      </c>
      <c r="I70">
        <v>0</v>
      </c>
      <c r="J70">
        <f t="shared" ca="1" si="7"/>
        <v>1.2658052295959267E-2</v>
      </c>
      <c r="K70">
        <f ca="1">Params!$B$6*J70</f>
        <v>1.2658052295959267E-3</v>
      </c>
      <c r="L70">
        <f t="shared" ca="1" si="8"/>
        <v>-2.9670559780182312E-3</v>
      </c>
      <c r="M70">
        <f t="shared" ca="1" si="9"/>
        <v>8.3395256960442685E-2</v>
      </c>
      <c r="N70">
        <f t="shared" ca="1" si="10"/>
        <v>1.7041285427025935E-2</v>
      </c>
      <c r="O70">
        <f t="shared" ca="1" si="11"/>
        <v>0.14456117193665191</v>
      </c>
    </row>
    <row r="71" spans="1:15" x14ac:dyDescent="0.25">
      <c r="A71">
        <v>69</v>
      </c>
      <c r="B71">
        <f ca="1">IF(ROW()-1 &lt;= Params!$B$11, _xlfn.NORM.INV(RAND(), 0, Params!$B$10), "")</f>
        <v>-6.5211731117717664E-2</v>
      </c>
      <c r="C71">
        <f ca="1">Params!$B$1*C70 + (1-Params!$B$1)*(Params!$B$8 + Params!$B$3*K70 + Params!$B$2*J70)</f>
        <v>1.9172574467237434E-2</v>
      </c>
      <c r="D71">
        <v>0.02</v>
      </c>
      <c r="E71">
        <f ca="1">(C71 - D71)/Params!$B$12 + Params!$B$9</f>
        <v>3.931004770416268E-2</v>
      </c>
      <c r="F71">
        <f ca="1">Params!$B$6*F70 + B71</f>
        <v>-6.5613996631979421E-2</v>
      </c>
      <c r="G71">
        <f ca="1">H71 + Params!$B$5*(E71 + I71 - L70) - Params!$B$6*(C71 - Params!$B$8)</f>
        <v>4.310452921494348E-3</v>
      </c>
      <c r="H71">
        <v>0</v>
      </c>
      <c r="I71">
        <v>0</v>
      </c>
      <c r="J71">
        <f t="shared" ca="1" si="7"/>
        <v>6.9924449553473766E-2</v>
      </c>
      <c r="K71">
        <f ca="1">Params!$B$6*J71</f>
        <v>6.9924449553473772E-3</v>
      </c>
      <c r="L71">
        <f t="shared" ca="1" si="8"/>
        <v>4.025388977329146E-3</v>
      </c>
      <c r="M71">
        <f t="shared" ca="1" si="9"/>
        <v>3.5284658726833534E-2</v>
      </c>
      <c r="N71">
        <f t="shared" ca="1" si="10"/>
        <v>1.2180129511890056E-2</v>
      </c>
      <c r="O71">
        <f t="shared" ca="1" si="11"/>
        <v>-4.1118153278261772E-2</v>
      </c>
    </row>
    <row r="72" spans="1:15" x14ac:dyDescent="0.25">
      <c r="A72">
        <v>70</v>
      </c>
      <c r="B72">
        <f ca="1">IF(ROW()-1 &lt;= Params!$B$11, _xlfn.NORM.INV(RAND(), 0, Params!$B$10), "")</f>
        <v>-1.5909617532187056E-2</v>
      </c>
      <c r="C72">
        <f ca="1">Params!$B$1*C71 + (1-Params!$B$1)*(Params!$B$8 + Params!$B$3*K71 + Params!$B$2*J71)</f>
        <v>2.3101161745954748E-2</v>
      </c>
      <c r="D72">
        <v>0.02</v>
      </c>
      <c r="E72">
        <f ca="1">(C72 - D72)/Params!$B$12 + Params!$B$9</f>
        <v>-0.14733267387191842</v>
      </c>
      <c r="F72">
        <f ca="1">Params!$B$6*F71 + B72</f>
        <v>-2.2471017195384999E-2</v>
      </c>
      <c r="G72">
        <f ca="1">H72 + Params!$B$5*(E72 + I72 - L71) - Params!$B$6*(C72 - Params!$B$8)</f>
        <v>-1.5445922459520233E-2</v>
      </c>
      <c r="H72">
        <v>0</v>
      </c>
      <c r="I72">
        <v>0</v>
      </c>
      <c r="J72">
        <f t="shared" ca="1" si="7"/>
        <v>7.0250947358647658E-3</v>
      </c>
      <c r="K72">
        <f ca="1">Params!$B$6*J72</f>
        <v>7.025094735864766E-4</v>
      </c>
      <c r="L72">
        <f t="shared" ca="1" si="8"/>
        <v>4.7278984509156229E-3</v>
      </c>
      <c r="M72">
        <f t="shared" ca="1" si="9"/>
        <v>-0.15206057232283404</v>
      </c>
      <c r="N72">
        <f t="shared" ca="1" si="10"/>
        <v>2.2398652272368272E-2</v>
      </c>
      <c r="O72">
        <f t="shared" ca="1" si="11"/>
        <v>-0.18664272157608111</v>
      </c>
    </row>
    <row r="73" spans="1:15" x14ac:dyDescent="0.25">
      <c r="A73">
        <v>71</v>
      </c>
      <c r="B73">
        <f ca="1">IF(ROW()-1 &lt;= Params!$B$11, _xlfn.NORM.INV(RAND(), 0, Params!$B$10), "")</f>
        <v>3.3526056441610774E-2</v>
      </c>
      <c r="C73">
        <f ca="1">Params!$B$1*C72 + (1-Params!$B$1)*(Params!$B$8 + Params!$B$3*K72 + Params!$B$2*J72)</f>
        <v>2.3177425781831837E-2</v>
      </c>
      <c r="D73">
        <v>0.02</v>
      </c>
      <c r="E73">
        <f ca="1">(C73 - D73)/Params!$B$12 + Params!$B$9</f>
        <v>-0.15095589163561368</v>
      </c>
      <c r="F73">
        <f ca="1">Params!$B$6*F72 + B73</f>
        <v>3.1278954722072275E-2</v>
      </c>
      <c r="G73">
        <f ca="1">H73 + Params!$B$5*(E73 + I73 - L72) - Params!$B$6*(C73 - Params!$B$8)</f>
        <v>-1.5886121586836114E-2</v>
      </c>
      <c r="H73">
        <v>0</v>
      </c>
      <c r="I73">
        <v>0</v>
      </c>
      <c r="J73">
        <f t="shared" ca="1" si="7"/>
        <v>-4.7165076308908385E-2</v>
      </c>
      <c r="K73">
        <f ca="1">Params!$B$6*J73</f>
        <v>-4.7165076308908387E-3</v>
      </c>
      <c r="L73">
        <f t="shared" ca="1" si="8"/>
        <v>1.1390820024784198E-5</v>
      </c>
      <c r="M73">
        <f t="shared" ca="1" si="9"/>
        <v>-0.15096728245563845</v>
      </c>
      <c r="N73">
        <f t="shared" ca="1" si="10"/>
        <v>2.7893933412722675E-2</v>
      </c>
      <c r="O73">
        <f t="shared" ca="1" si="11"/>
        <v>-3.6232177636952578E-3</v>
      </c>
    </row>
    <row r="74" spans="1:15" x14ac:dyDescent="0.25">
      <c r="A74">
        <v>72</v>
      </c>
      <c r="B74">
        <f ca="1">IF(ROW()-1 &lt;= Params!$B$11, _xlfn.NORM.INV(RAND(), 0, Params!$B$10), "")</f>
        <v>-8.9329637464730716E-2</v>
      </c>
      <c r="C74">
        <f ca="1">Params!$B$1*C73 + (1-Params!$B$1)*(Params!$B$8 + Params!$B$3*K73 + Params!$B$2*J73)</f>
        <v>2.0265604006658694E-2</v>
      </c>
      <c r="D74">
        <v>0.02</v>
      </c>
      <c r="E74">
        <f ca="1">(C74 - D74)/Params!$B$12 + Params!$B$9</f>
        <v>-1.2618544822167161E-2</v>
      </c>
      <c r="F74">
        <f ca="1">Params!$B$6*F73 + B74</f>
        <v>-8.6201741992523492E-2</v>
      </c>
      <c r="G74">
        <f ca="1">H74 + Params!$B$5*(E74 + I74 - L73) - Params!$B$6*(C74 - Params!$B$8)</f>
        <v>-1.2895539648850639E-3</v>
      </c>
      <c r="H74">
        <v>0</v>
      </c>
      <c r="I74">
        <v>0</v>
      </c>
      <c r="J74">
        <f t="shared" ca="1" si="7"/>
        <v>8.4912188027638433E-2</v>
      </c>
      <c r="K74">
        <f ca="1">Params!$B$6*J74</f>
        <v>8.4912188027638433E-3</v>
      </c>
      <c r="L74">
        <f t="shared" ca="1" si="8"/>
        <v>8.5026096227886275E-3</v>
      </c>
      <c r="M74">
        <f t="shared" ca="1" si="9"/>
        <v>-2.1121154444955791E-2</v>
      </c>
      <c r="N74">
        <f t="shared" ca="1" si="10"/>
        <v>1.1774385203894851E-2</v>
      </c>
      <c r="O74">
        <f t="shared" ca="1" si="11"/>
        <v>0.13833734681344653</v>
      </c>
    </row>
    <row r="75" spans="1:15" x14ac:dyDescent="0.25">
      <c r="A75">
        <v>73</v>
      </c>
      <c r="B75">
        <f ca="1">IF(ROW()-1 &lt;= Params!$B$11, _xlfn.NORM.INV(RAND(), 0, Params!$B$10), "")</f>
        <v>1.0126304219808376E-2</v>
      </c>
      <c r="C75">
        <f ca="1">Params!$B$1*C74 + (1-Params!$B$1)*(Params!$B$8 + Params!$B$3*K74 + Params!$B$2*J74)</f>
        <v>2.4909213947512936E-2</v>
      </c>
      <c r="D75">
        <v>0.02</v>
      </c>
      <c r="E75">
        <f ca="1">(C75 - D75)/Params!$B$12 + Params!$B$9</f>
        <v>-0.23323118132740919</v>
      </c>
      <c r="F75">
        <f ca="1">Params!$B$6*F74 + B75</f>
        <v>1.5061300205560253E-3</v>
      </c>
      <c r="G75">
        <f ca="1">H75 + Params!$B$5*(E75 + I75 - L74) - Params!$B$6*(C75 - Params!$B$8)</f>
        <v>-2.4664300489771075E-2</v>
      </c>
      <c r="H75">
        <v>0</v>
      </c>
      <c r="I75">
        <v>0</v>
      </c>
      <c r="J75">
        <f t="shared" ca="1" si="7"/>
        <v>-2.6170430510327101E-2</v>
      </c>
      <c r="K75">
        <f ca="1">Params!$B$6*J75</f>
        <v>-2.6170430510327105E-3</v>
      </c>
      <c r="L75">
        <f t="shared" ca="1" si="8"/>
        <v>5.885566571755917E-3</v>
      </c>
      <c r="M75">
        <f t="shared" ca="1" si="9"/>
        <v>-0.23911674789916512</v>
      </c>
      <c r="N75">
        <f t="shared" ca="1" si="10"/>
        <v>2.7526256998545648E-2</v>
      </c>
      <c r="O75">
        <f t="shared" ca="1" si="11"/>
        <v>-0.22061263650524204</v>
      </c>
    </row>
    <row r="76" spans="1:15" x14ac:dyDescent="0.25">
      <c r="A76">
        <v>74</v>
      </c>
      <c r="B76">
        <f ca="1">IF(ROW()-1 &lt;= Params!$B$11, _xlfn.NORM.INV(RAND(), 0, Params!$B$10), "")</f>
        <v>-1.9994963986377269E-4</v>
      </c>
      <c r="C76">
        <f ca="1">Params!$B$1*C75 + (1-Params!$B$1)*(Params!$B$8 + Params!$B$3*K75 + Params!$B$2*J75)</f>
        <v>2.2978918874693652E-2</v>
      </c>
      <c r="D76">
        <v>0.02</v>
      </c>
      <c r="E76">
        <f ca="1">(C76 - D76)/Params!$B$12 + Params!$B$9</f>
        <v>-0.14152505383785499</v>
      </c>
      <c r="F76">
        <f ca="1">Params!$B$6*F75 + B76</f>
        <v>-4.933663780817016E-5</v>
      </c>
      <c r="G76">
        <f ca="1">H76 + Params!$B$5*(E76 + I76 - L75) - Params!$B$6*(C76 - Params!$B$8)</f>
        <v>-1.5038953928430458E-2</v>
      </c>
      <c r="H76">
        <v>0</v>
      </c>
      <c r="I76">
        <v>0</v>
      </c>
      <c r="J76">
        <f t="shared" ca="1" si="7"/>
        <v>-1.4989617290622289E-2</v>
      </c>
      <c r="K76">
        <f ca="1">Params!$B$6*J76</f>
        <v>-1.498961729062229E-3</v>
      </c>
      <c r="L76">
        <f t="shared" ca="1" si="8"/>
        <v>4.3866048426936879E-3</v>
      </c>
      <c r="M76">
        <f t="shared" ca="1" si="9"/>
        <v>-0.14591165868054867</v>
      </c>
      <c r="N76">
        <f t="shared" ca="1" si="10"/>
        <v>2.4477880603755879E-2</v>
      </c>
      <c r="O76">
        <f t="shared" ca="1" si="11"/>
        <v>9.1706127489554201E-2</v>
      </c>
    </row>
    <row r="77" spans="1:15" x14ac:dyDescent="0.25">
      <c r="A77">
        <v>75</v>
      </c>
      <c r="B77">
        <f ca="1">IF(ROW()-1 &lt;= Params!$B$11, _xlfn.NORM.INV(RAND(), 0, Params!$B$10), "")</f>
        <v>4.7285342226301055E-2</v>
      </c>
      <c r="C77">
        <f ca="1">Params!$B$1*C76 + (1-Params!$B$1)*(Params!$B$8 + Params!$B$3*K76 + Params!$B$2*J76)</f>
        <v>2.1856598036240061E-2</v>
      </c>
      <c r="D77">
        <v>0.02</v>
      </c>
      <c r="E77">
        <f ca="1">(C77 - D77)/Params!$B$12 + Params!$B$9</f>
        <v>-8.8204864948244643E-2</v>
      </c>
      <c r="F77">
        <f ca="1">Params!$B$6*F76 + B77</f>
        <v>4.7280408562520242E-2</v>
      </c>
      <c r="G77">
        <f ca="1">H77 + Params!$B$5*(E77 + I77 - L76) - Params!$B$6*(C77 - Params!$B$8)</f>
        <v>-9.4448067827178385E-3</v>
      </c>
      <c r="H77">
        <v>0</v>
      </c>
      <c r="I77">
        <v>0</v>
      </c>
      <c r="J77">
        <f t="shared" ca="1" si="7"/>
        <v>-5.6725215345238084E-2</v>
      </c>
      <c r="K77">
        <f ca="1">Params!$B$6*J77</f>
        <v>-5.6725215345238087E-3</v>
      </c>
      <c r="L77">
        <f t="shared" ca="1" si="8"/>
        <v>-1.2859166918301208E-3</v>
      </c>
      <c r="M77">
        <f t="shared" ca="1" si="9"/>
        <v>-8.6918948256414524E-2</v>
      </c>
      <c r="N77">
        <f t="shared" ca="1" si="10"/>
        <v>2.7529119570763871E-2</v>
      </c>
      <c r="O77">
        <f t="shared" ca="1" si="11"/>
        <v>5.3320188889610348E-2</v>
      </c>
    </row>
    <row r="78" spans="1:15" x14ac:dyDescent="0.25">
      <c r="A78">
        <v>76</v>
      </c>
      <c r="B78">
        <f ca="1">IF(ROW()-1 &lt;= Params!$B$11, _xlfn.NORM.INV(RAND(), 0, Params!$B$10), "")</f>
        <v>-4.2746471208385775E-2</v>
      </c>
      <c r="C78">
        <f ca="1">Params!$B$1*C77 + (1-Params!$B$1)*(Params!$B$8 + Params!$B$3*K77 + Params!$B$2*J77)</f>
        <v>1.8551051388627959E-2</v>
      </c>
      <c r="D78">
        <v>0.02</v>
      </c>
      <c r="E78">
        <f ca="1">(C78 - D78)/Params!$B$12 + Params!$B$9</f>
        <v>6.8837903567884787E-2</v>
      </c>
      <c r="F78">
        <f ca="1">Params!$B$6*F77 + B78</f>
        <v>-3.8018430352133752E-2</v>
      </c>
      <c r="G78">
        <f ca="1">H78 + Params!$B$5*(E78 + I78 - L77) - Params!$B$6*(C78 - Params!$B$8)</f>
        <v>7.1572768871086953E-3</v>
      </c>
      <c r="H78">
        <v>0</v>
      </c>
      <c r="I78">
        <v>0</v>
      </c>
      <c r="J78">
        <f t="shared" ca="1" si="7"/>
        <v>4.5175707239242448E-2</v>
      </c>
      <c r="K78">
        <f ca="1">Params!$B$6*J78</f>
        <v>4.5175707239242446E-3</v>
      </c>
      <c r="L78">
        <f t="shared" ca="1" si="8"/>
        <v>3.2316540320941238E-3</v>
      </c>
      <c r="M78">
        <f t="shared" ca="1" si="9"/>
        <v>6.5606249535790667E-2</v>
      </c>
      <c r="N78">
        <f t="shared" ca="1" si="10"/>
        <v>1.4033480664703713E-2</v>
      </c>
      <c r="O78">
        <f t="shared" ca="1" si="11"/>
        <v>0.15704276851612942</v>
      </c>
    </row>
    <row r="79" spans="1:15" x14ac:dyDescent="0.25">
      <c r="A79">
        <v>77</v>
      </c>
      <c r="B79">
        <f ca="1">IF(ROW()-1 &lt;= Params!$B$11, _xlfn.NORM.INV(RAND(), 0, Params!$B$10), "")</f>
        <v>-2.0255803837419501E-2</v>
      </c>
      <c r="C79">
        <f ca="1">Params!$B$1*C78 + (1-Params!$B$1)*(Params!$B$8 + Params!$B$3*K78 + Params!$B$2*J78)</f>
        <v>2.1180610147923495E-2</v>
      </c>
      <c r="D79">
        <v>0.02</v>
      </c>
      <c r="E79">
        <f ca="1">(C79 - D79)/Params!$B$12 + Params!$B$9</f>
        <v>-5.6089447807998294E-2</v>
      </c>
      <c r="F79">
        <f ca="1">Params!$B$6*F78 + B79</f>
        <v>-2.4057646872632878E-2</v>
      </c>
      <c r="G79">
        <f ca="1">H79 + Params!$B$5*(E79 + I79 - L78) - Params!$B$6*(C79 - Params!$B$8)</f>
        <v>-6.0501711988015924E-3</v>
      </c>
      <c r="H79">
        <v>0</v>
      </c>
      <c r="I79">
        <v>0</v>
      </c>
      <c r="J79">
        <f t="shared" ca="1" si="7"/>
        <v>1.8007475673831284E-2</v>
      </c>
      <c r="K79">
        <f ca="1">Params!$B$6*J79</f>
        <v>1.8007475673831284E-3</v>
      </c>
      <c r="L79">
        <f t="shared" ca="1" si="8"/>
        <v>5.0324015994772523E-3</v>
      </c>
      <c r="M79">
        <f t="shared" ca="1" si="9"/>
        <v>-6.1121849407475545E-2</v>
      </c>
      <c r="N79">
        <f t="shared" ca="1" si="10"/>
        <v>1.9379862580540367E-2</v>
      </c>
      <c r="O79">
        <f t="shared" ca="1" si="11"/>
        <v>-0.12492735137588308</v>
      </c>
    </row>
    <row r="80" spans="1:15" x14ac:dyDescent="0.25">
      <c r="A80">
        <v>78</v>
      </c>
      <c r="B80">
        <f ca="1">IF(ROW()-1 &lt;= Params!$B$11, _xlfn.NORM.INV(RAND(), 0, Params!$B$10), "")</f>
        <v>1.7286759709121715E-2</v>
      </c>
      <c r="C80">
        <f ca="1">Params!$B$1*C79 + (1-Params!$B$1)*(Params!$B$8 + Params!$B$3*K79 + Params!$B$2*J79)</f>
        <v>2.2052960295191867E-2</v>
      </c>
      <c r="D80">
        <v>0.02</v>
      </c>
      <c r="E80">
        <f ca="1">(C80 - D80)/Params!$B$12 + Params!$B$9</f>
        <v>-9.7533812945438794E-2</v>
      </c>
      <c r="F80">
        <f ca="1">Params!$B$6*F79 + B80</f>
        <v>1.4880995021858428E-2</v>
      </c>
      <c r="G80">
        <f ca="1">H80 + Params!$B$5*(E80 + I80 - L79) - Params!$B$6*(C80 - Params!$B$8)</f>
        <v>-1.0461917484010791E-2</v>
      </c>
      <c r="H80">
        <v>0</v>
      </c>
      <c r="I80">
        <v>0</v>
      </c>
      <c r="J80">
        <f t="shared" ca="1" si="7"/>
        <v>-2.5342912505869217E-2</v>
      </c>
      <c r="K80">
        <f ca="1">Params!$B$6*J80</f>
        <v>-2.534291250586922E-3</v>
      </c>
      <c r="L80">
        <f t="shared" ca="1" si="8"/>
        <v>2.4981103488903303E-3</v>
      </c>
      <c r="M80">
        <f t="shared" ca="1" si="9"/>
        <v>-0.10003192329432913</v>
      </c>
      <c r="N80">
        <f t="shared" ca="1" si="10"/>
        <v>2.4587251545778788E-2</v>
      </c>
      <c r="O80">
        <f t="shared" ca="1" si="11"/>
        <v>-4.14443651374405E-2</v>
      </c>
    </row>
    <row r="81" spans="1:15" x14ac:dyDescent="0.25">
      <c r="A81">
        <v>79</v>
      </c>
      <c r="B81">
        <f ca="1">IF(ROW()-1 &lt;= Params!$B$11, _xlfn.NORM.INV(RAND(), 0, Params!$B$10), "")</f>
        <v>6.6629539656512058E-3</v>
      </c>
      <c r="C81">
        <f ca="1">Params!$B$1*C80 + (1-Params!$B$1)*(Params!$B$8 + Params!$B$3*K80 + Params!$B$2*J80)</f>
        <v>2.0453804077849875E-2</v>
      </c>
      <c r="D81">
        <v>0.02</v>
      </c>
      <c r="E81">
        <f ca="1">(C81 - D81)/Params!$B$12 + Params!$B$9</f>
        <v>-2.1559716545200114E-2</v>
      </c>
      <c r="F81">
        <f ca="1">Params!$B$6*F80 + B81</f>
        <v>8.1510534678370487E-3</v>
      </c>
      <c r="G81">
        <f ca="1">H81 + Params!$B$5*(E81 + I81 - L80) - Params!$B$6*(C81 - Params!$B$8)</f>
        <v>-2.451163097194032E-3</v>
      </c>
      <c r="H81">
        <v>0</v>
      </c>
      <c r="I81">
        <v>0</v>
      </c>
      <c r="J81">
        <f t="shared" ca="1" si="7"/>
        <v>-1.060221656503108E-2</v>
      </c>
      <c r="K81">
        <f ca="1">Params!$B$6*J81</f>
        <v>-1.060221656503108E-3</v>
      </c>
      <c r="L81">
        <f t="shared" ca="1" si="8"/>
        <v>1.4378886923872222E-3</v>
      </c>
      <c r="M81">
        <f t="shared" ca="1" si="9"/>
        <v>-2.2997605237587336E-2</v>
      </c>
      <c r="N81">
        <f t="shared" ca="1" si="10"/>
        <v>2.1514025734352984E-2</v>
      </c>
      <c r="O81">
        <f t="shared" ca="1" si="11"/>
        <v>7.597409640023868E-2</v>
      </c>
    </row>
    <row r="82" spans="1:15" x14ac:dyDescent="0.25">
      <c r="A82">
        <v>80</v>
      </c>
      <c r="B82">
        <f ca="1">IF(ROW()-1 &lt;= Params!$B$11, _xlfn.NORM.INV(RAND(), 0, Params!$B$10), "")</f>
        <v>-6.2819462929353731E-3</v>
      </c>
      <c r="C82">
        <f ca="1">Params!$B$1*C81 + (1-Params!$B$1)*(Params!$B$8 + Params!$B$3*K81 + Params!$B$2*J81)</f>
        <v>1.9825301758988178E-2</v>
      </c>
      <c r="D82">
        <v>0.02</v>
      </c>
      <c r="E82">
        <f ca="1">(C82 - D82)/Params!$B$12 + Params!$B$9</f>
        <v>8.2997150995323277E-3</v>
      </c>
      <c r="F82">
        <f ca="1">Params!$B$6*F81 + B82</f>
        <v>-5.466840946151668E-3</v>
      </c>
      <c r="G82">
        <f ca="1">H82 + Params!$B$5*(E82 + I82 - L81) - Params!$B$6*(C82 - Params!$B$8)</f>
        <v>7.036524648156928E-4</v>
      </c>
      <c r="H82">
        <v>0</v>
      </c>
      <c r="I82">
        <v>0</v>
      </c>
      <c r="J82">
        <f t="shared" ca="1" si="7"/>
        <v>6.1704934109673608E-3</v>
      </c>
      <c r="K82">
        <f ca="1">Params!$B$6*J82</f>
        <v>6.1704934109673608E-4</v>
      </c>
      <c r="L82">
        <f t="shared" ca="1" si="8"/>
        <v>2.0549380334839583E-3</v>
      </c>
      <c r="M82">
        <f t="shared" ca="1" si="9"/>
        <v>6.2447770660483699E-3</v>
      </c>
      <c r="N82">
        <f t="shared" ca="1" si="10"/>
        <v>1.9208252417891442E-2</v>
      </c>
      <c r="O82">
        <f t="shared" ca="1" si="11"/>
        <v>2.985943164473244E-2</v>
      </c>
    </row>
    <row r="83" spans="1:15" x14ac:dyDescent="0.25">
      <c r="A83">
        <v>81</v>
      </c>
      <c r="B83">
        <f ca="1">IF(ROW()-1 &lt;= Params!$B$11, _xlfn.NORM.INV(RAND(), 0, Params!$B$10), "")</f>
        <v>-4.7982062081673174E-2</v>
      </c>
      <c r="C83">
        <f ca="1">Params!$B$1*C82 + (1-Params!$B$1)*(Params!$B$8 + Params!$B$3*K82 + Params!$B$2*J82)</f>
        <v>2.0182148720692565E-2</v>
      </c>
      <c r="D83">
        <v>0.02</v>
      </c>
      <c r="E83">
        <f ca="1">(C83 - D83)/Params!$B$12 + Params!$B$9</f>
        <v>-8.6536789308042737E-3</v>
      </c>
      <c r="F83">
        <f ca="1">Params!$B$6*F82 + B83</f>
        <v>-4.8528746176288343E-2</v>
      </c>
      <c r="G83">
        <f ca="1">H83 + Params!$B$5*(E83 + I83 - L82) - Params!$B$6*(C83 - Params!$B$8)</f>
        <v>-1.0890765684980798E-3</v>
      </c>
      <c r="H83">
        <v>0</v>
      </c>
      <c r="I83">
        <v>0</v>
      </c>
      <c r="J83">
        <f t="shared" ca="1" si="7"/>
        <v>4.7439669607790266E-2</v>
      </c>
      <c r="K83">
        <f ca="1">Params!$B$6*J83</f>
        <v>4.7439669607790272E-3</v>
      </c>
      <c r="L83">
        <f t="shared" ca="1" si="8"/>
        <v>6.7989049942629859E-3</v>
      </c>
      <c r="M83">
        <f t="shared" ca="1" si="9"/>
        <v>-1.545258392506726E-2</v>
      </c>
      <c r="N83">
        <f t="shared" ca="1" si="10"/>
        <v>1.5438181759913537E-2</v>
      </c>
      <c r="O83">
        <f t="shared" ca="1" si="11"/>
        <v>-1.6953394030336601E-2</v>
      </c>
    </row>
    <row r="84" spans="1:15" x14ac:dyDescent="0.25">
      <c r="A84">
        <v>82</v>
      </c>
      <c r="B84">
        <f ca="1">IF(ROW()-1 &lt;= Params!$B$11, _xlfn.NORM.INV(RAND(), 0, Params!$B$10), "")</f>
        <v>-7.296488856923386E-2</v>
      </c>
      <c r="C84">
        <f ca="1">Params!$B$1*C83 + (1-Params!$B$1)*(Params!$B$8 + Params!$B$3*K83 + Params!$B$2*J83)</f>
        <v>2.2773115677051772E-2</v>
      </c>
      <c r="D84">
        <v>0.02</v>
      </c>
      <c r="E84">
        <f ca="1">(C84 - D84)/Params!$B$12 + Params!$B$9</f>
        <v>-0.1317475775615784</v>
      </c>
      <c r="F84">
        <f ca="1">Params!$B$6*F83 + B84</f>
        <v>-7.781776318686269E-2</v>
      </c>
      <c r="G84">
        <f ca="1">H84 + Params!$B$5*(E84 + I84 - L83) - Params!$B$6*(C84 - Params!$B$8)</f>
        <v>-1.4131959823289318E-2</v>
      </c>
      <c r="H84">
        <v>0</v>
      </c>
      <c r="I84">
        <v>0</v>
      </c>
      <c r="J84">
        <f t="shared" ca="1" si="7"/>
        <v>6.3685803363573379E-2</v>
      </c>
      <c r="K84">
        <f ca="1">Params!$B$6*J84</f>
        <v>6.3685803363573382E-3</v>
      </c>
      <c r="L84">
        <f t="shared" ca="1" si="8"/>
        <v>1.3167485330620324E-2</v>
      </c>
      <c r="M84">
        <f t="shared" ca="1" si="9"/>
        <v>-0.14491506289219871</v>
      </c>
      <c r="N84">
        <f t="shared" ca="1" si="10"/>
        <v>1.6404535340694436E-2</v>
      </c>
      <c r="O84">
        <f t="shared" ca="1" si="11"/>
        <v>-0.12309389863077412</v>
      </c>
    </row>
    <row r="85" spans="1:15" x14ac:dyDescent="0.25">
      <c r="A85">
        <v>83</v>
      </c>
      <c r="B85">
        <f ca="1">IF(ROW()-1 &lt;= Params!$B$11, _xlfn.NORM.INV(RAND(), 0, Params!$B$10), "")</f>
        <v>2.8136941930880229E-2</v>
      </c>
      <c r="C85">
        <f ca="1">Params!$B$1*C84 + (1-Params!$B$1)*(Params!$B$8 + Params!$B$3*K84 + Params!$B$2*J84)</f>
        <v>2.5998523294343132E-2</v>
      </c>
      <c r="D85">
        <v>0.02</v>
      </c>
      <c r="E85">
        <f ca="1">(C85 - D85)/Params!$B$12 + Params!$B$9</f>
        <v>-0.28498303172718764</v>
      </c>
      <c r="F85">
        <f ca="1">Params!$B$6*F84 + B85</f>
        <v>2.035516561219396E-2</v>
      </c>
      <c r="G85">
        <f ca="1">H85 + Params!$B$5*(E85 + I85 - L84) - Params!$B$6*(C85 - Params!$B$8)</f>
        <v>-3.0414904035215115E-2</v>
      </c>
      <c r="H85">
        <v>0</v>
      </c>
      <c r="I85">
        <v>0</v>
      </c>
      <c r="J85">
        <f t="shared" ca="1" si="7"/>
        <v>-5.0770069647409072E-2</v>
      </c>
      <c r="K85">
        <f ca="1">Params!$B$6*J85</f>
        <v>-5.0770069647409072E-3</v>
      </c>
      <c r="L85">
        <f t="shared" ca="1" si="8"/>
        <v>8.0904783658794169E-3</v>
      </c>
      <c r="M85">
        <f t="shared" ca="1" si="9"/>
        <v>-0.29307351009306704</v>
      </c>
      <c r="N85">
        <f t="shared" ca="1" si="10"/>
        <v>3.1075530259084039E-2</v>
      </c>
      <c r="O85">
        <f t="shared" ca="1" si="11"/>
        <v>-0.15323545416560924</v>
      </c>
    </row>
    <row r="86" spans="1:15" x14ac:dyDescent="0.25">
      <c r="A86">
        <v>84</v>
      </c>
      <c r="B86">
        <f ca="1">IF(ROW()-1 &lt;= Params!$B$11, _xlfn.NORM.INV(RAND(), 0, Params!$B$10), "")</f>
        <v>5.919532039697626E-2</v>
      </c>
      <c r="C86">
        <f ca="1">Params!$B$1*C85 + (1-Params!$B$1)*(Params!$B$8 + Params!$B$3*K85 + Params!$B$2*J85)</f>
        <v>2.2606317134301321E-2</v>
      </c>
      <c r="D86">
        <v>0.02</v>
      </c>
      <c r="E86">
        <f ca="1">(C86 - D86)/Params!$B$12 + Params!$B$9</f>
        <v>-0.12382316815809606</v>
      </c>
      <c r="F86">
        <f ca="1">Params!$B$6*F85 + B86</f>
        <v>6.1230836958195659E-2</v>
      </c>
      <c r="G86">
        <f ca="1">H86 + Params!$B$5*(E86 + I86 - L85) - Params!$B$6*(C86 - Params!$B$8)</f>
        <v>-1.345199636582768E-2</v>
      </c>
      <c r="H86">
        <v>0</v>
      </c>
      <c r="I86">
        <v>0</v>
      </c>
      <c r="J86">
        <f t="shared" ca="1" si="7"/>
        <v>-7.468283332402334E-2</v>
      </c>
      <c r="K86">
        <f ca="1">Params!$B$6*J86</f>
        <v>-7.468283332402334E-3</v>
      </c>
      <c r="L86">
        <f t="shared" ca="1" si="8"/>
        <v>6.2219503347708295E-4</v>
      </c>
      <c r="M86">
        <f t="shared" ca="1" si="9"/>
        <v>-0.12444536319157315</v>
      </c>
      <c r="N86">
        <f t="shared" ca="1" si="10"/>
        <v>3.0074600466703655E-2</v>
      </c>
      <c r="O86">
        <f t="shared" ca="1" si="11"/>
        <v>0.16115986356909157</v>
      </c>
    </row>
    <row r="87" spans="1:15" x14ac:dyDescent="0.25">
      <c r="A87">
        <v>85</v>
      </c>
      <c r="B87">
        <f ca="1">IF(ROW()-1 &lt;= Params!$B$11, _xlfn.NORM.INV(RAND(), 0, Params!$B$10), "")</f>
        <v>2.1400054422084196E-2</v>
      </c>
      <c r="C87">
        <f ca="1">Params!$B$1*C86 + (1-Params!$B$1)*(Params!$B$8 + Params!$B$3*K86 + Params!$B$2*J86)</f>
        <v>1.8238129588049906E-2</v>
      </c>
      <c r="D87">
        <v>0.02</v>
      </c>
      <c r="E87">
        <f ca="1">(C87 - D87)/Params!$B$12 + Params!$B$9</f>
        <v>8.3704463060345541E-2</v>
      </c>
      <c r="F87">
        <f ca="1">Params!$B$6*F86 + B87</f>
        <v>2.7523138117903762E-2</v>
      </c>
      <c r="G87">
        <f ca="1">H87 + Params!$B$5*(E87 + I87 - L86) - Params!$B$6*(C87 - Params!$B$8)</f>
        <v>8.4844138438818547E-3</v>
      </c>
      <c r="H87">
        <v>0</v>
      </c>
      <c r="I87">
        <v>0</v>
      </c>
      <c r="J87">
        <f t="shared" ca="1" si="7"/>
        <v>-1.9038724274021909E-2</v>
      </c>
      <c r="K87">
        <f ca="1">Params!$B$6*J87</f>
        <v>-1.9038724274021909E-3</v>
      </c>
      <c r="L87">
        <f t="shared" ca="1" si="8"/>
        <v>-1.281677393925108E-3</v>
      </c>
      <c r="M87">
        <f t="shared" ca="1" si="9"/>
        <v>8.4986140454270651E-2</v>
      </c>
      <c r="N87">
        <f t="shared" ca="1" si="10"/>
        <v>2.0142002015452097E-2</v>
      </c>
      <c r="O87">
        <f t="shared" ca="1" si="11"/>
        <v>0.20752763121844159</v>
      </c>
    </row>
    <row r="88" spans="1:15" x14ac:dyDescent="0.25">
      <c r="A88">
        <v>86</v>
      </c>
      <c r="B88">
        <f ca="1">IF(ROW()-1 &lt;= Params!$B$11, _xlfn.NORM.INV(RAND(), 0, Params!$B$10), "")</f>
        <v>-6.0962728893127968E-3</v>
      </c>
      <c r="C88">
        <f ca="1">Params!$B$1*C87 + (1-Params!$B$1)*(Params!$B$8 + Params!$B$3*K87 + Params!$B$2*J87)</f>
        <v>1.7367186794173709E-2</v>
      </c>
      <c r="D88">
        <v>0.02</v>
      </c>
      <c r="E88">
        <f ca="1">(C88 - D88)/Params!$B$12 + Params!$B$9</f>
        <v>0.12508196643586011</v>
      </c>
      <c r="F88">
        <f ca="1">Params!$B$6*F87 + B88</f>
        <v>-3.3439590775224204E-3</v>
      </c>
      <c r="G88">
        <f ca="1">H88 + Params!$B$5*(E88 + I88 - L87) - Params!$B$6*(C88 - Params!$B$8)</f>
        <v>1.289964570356115E-2</v>
      </c>
      <c r="H88">
        <v>0</v>
      </c>
      <c r="I88">
        <v>0</v>
      </c>
      <c r="J88">
        <f t="shared" ca="1" si="7"/>
        <v>1.6243604781083571E-2</v>
      </c>
      <c r="K88">
        <f ca="1">Params!$B$6*J88</f>
        <v>1.6243604781083572E-3</v>
      </c>
      <c r="L88">
        <f t="shared" ca="1" si="8"/>
        <v>3.4268308418324922E-4</v>
      </c>
      <c r="M88">
        <f t="shared" ca="1" si="9"/>
        <v>0.12473928335167686</v>
      </c>
      <c r="N88">
        <f t="shared" ca="1" si="10"/>
        <v>1.5742826316065352E-2</v>
      </c>
      <c r="O88">
        <f t="shared" ca="1" si="11"/>
        <v>4.1377503375514574E-2</v>
      </c>
    </row>
    <row r="89" spans="1:15" x14ac:dyDescent="0.25">
      <c r="A89">
        <v>87</v>
      </c>
      <c r="B89">
        <f ca="1">IF(ROW()-1 &lt;= Params!$B$11, _xlfn.NORM.INV(RAND(), 0, Params!$B$10), "")</f>
        <v>5.8440266315537115E-2</v>
      </c>
      <c r="C89">
        <f ca="1">Params!$B$1*C88 + (1-Params!$B$1)*(Params!$B$8 + Params!$B$3*K88 + Params!$B$2*J88)</f>
        <v>1.8523866377715935E-2</v>
      </c>
      <c r="D89">
        <v>0.02</v>
      </c>
      <c r="E89">
        <f ca="1">(C89 - D89)/Params!$B$12 + Params!$B$9</f>
        <v>7.0129432573790493E-2</v>
      </c>
      <c r="F89">
        <f ca="1">Params!$B$6*F88 + B89</f>
        <v>5.8105870407784872E-2</v>
      </c>
      <c r="G89">
        <f ca="1">H89 + Params!$B$5*(E89 + I89 - L88) - Params!$B$6*(C89 - Params!$B$8)</f>
        <v>7.1262883111891306E-3</v>
      </c>
      <c r="H89">
        <v>0</v>
      </c>
      <c r="I89">
        <v>0</v>
      </c>
      <c r="J89">
        <f t="shared" ca="1" si="7"/>
        <v>-5.0979582096595741E-2</v>
      </c>
      <c r="K89">
        <f ca="1">Params!$B$6*J89</f>
        <v>-5.0979582096595741E-3</v>
      </c>
      <c r="L89">
        <f t="shared" ca="1" si="8"/>
        <v>-4.7552751254763253E-3</v>
      </c>
      <c r="M89">
        <f t="shared" ca="1" si="9"/>
        <v>7.488470769926682E-2</v>
      </c>
      <c r="N89">
        <f t="shared" ca="1" si="10"/>
        <v>2.3621824587375509E-2</v>
      </c>
      <c r="O89">
        <f t="shared" ca="1" si="11"/>
        <v>-5.4952533862069622E-2</v>
      </c>
    </row>
    <row r="90" spans="1:15" x14ac:dyDescent="0.25">
      <c r="A90">
        <v>88</v>
      </c>
      <c r="B90">
        <f ca="1">IF(ROW()-1 &lt;= Params!$B$11, _xlfn.NORM.INV(RAND(), 0, Params!$B$10), "")</f>
        <v>-6.1390637392641431E-3</v>
      </c>
      <c r="C90">
        <f ca="1">Params!$B$1*C89 + (1-Params!$B$1)*(Params!$B$8 + Params!$B$3*K89 + Params!$B$2*J89)</f>
        <v>1.5867602724631575E-2</v>
      </c>
      <c r="D90">
        <v>0.02</v>
      </c>
      <c r="E90">
        <f ca="1">(C90 - D90)/Params!$B$12 + Params!$B$9</f>
        <v>0.19632550313612207</v>
      </c>
      <c r="F90">
        <f ca="1">Params!$B$6*F89 + B90</f>
        <v>-3.2847669848565589E-4</v>
      </c>
      <c r="G90">
        <f ca="1">H90 + Params!$B$5*(E90 + I90 - L89) - Params!$B$6*(C90 - Params!$B$8)</f>
        <v>2.0521317553696683E-2</v>
      </c>
      <c r="H90">
        <v>0</v>
      </c>
      <c r="I90">
        <v>0</v>
      </c>
      <c r="J90">
        <f t="shared" ca="1" si="7"/>
        <v>2.0849794252182339E-2</v>
      </c>
      <c r="K90">
        <f ca="1">Params!$B$6*J90</f>
        <v>2.0849794252182341E-3</v>
      </c>
      <c r="L90">
        <f t="shared" ca="1" si="8"/>
        <v>-2.6702957002580911E-3</v>
      </c>
      <c r="M90">
        <f t="shared" ca="1" si="9"/>
        <v>0.19899579883638016</v>
      </c>
      <c r="N90">
        <f t="shared" ca="1" si="10"/>
        <v>1.378262329941334E-2</v>
      </c>
      <c r="O90">
        <f t="shared" ca="1" si="11"/>
        <v>0.12619607056233156</v>
      </c>
    </row>
    <row r="91" spans="1:15" x14ac:dyDescent="0.25">
      <c r="A91">
        <v>89</v>
      </c>
      <c r="B91">
        <f ca="1">IF(ROW()-1 &lt;= Params!$B$11, _xlfn.NORM.INV(RAND(), 0, Params!$B$10), "")</f>
        <v>5.9860703075211075E-2</v>
      </c>
      <c r="C91">
        <f ca="1">Params!$B$1*C90 + (1-Params!$B$1)*(Params!$B$8 + Params!$B$3*K90 + Params!$B$2*J90)</f>
        <v>1.7427581136038445E-2</v>
      </c>
      <c r="D91">
        <v>0.02</v>
      </c>
      <c r="E91">
        <f ca="1">(C91 - D91)/Params!$B$12 + Params!$B$9</f>
        <v>0.12221269981818908</v>
      </c>
      <c r="F91">
        <f ca="1">Params!$B$6*F90 + B91</f>
        <v>5.9827855405362507E-2</v>
      </c>
      <c r="G91">
        <f ca="1">H91 + Params!$B$5*(E91 + I91 - L90) - Params!$B$6*(C91 - Params!$B$8)</f>
        <v>1.2745541438240873E-2</v>
      </c>
      <c r="H91">
        <v>0</v>
      </c>
      <c r="I91">
        <v>0</v>
      </c>
      <c r="J91">
        <f t="shared" ca="1" si="7"/>
        <v>-4.7082313967121633E-2</v>
      </c>
      <c r="K91">
        <f ca="1">Params!$B$6*J91</f>
        <v>-4.7082313967121633E-3</v>
      </c>
      <c r="L91">
        <f t="shared" ca="1" si="8"/>
        <v>-7.3785270969702541E-3</v>
      </c>
      <c r="M91">
        <f t="shared" ca="1" si="9"/>
        <v>0.12959122691515934</v>
      </c>
      <c r="N91">
        <f t="shared" ca="1" si="10"/>
        <v>2.2135812532750609E-2</v>
      </c>
      <c r="O91">
        <f t="shared" ca="1" si="11"/>
        <v>-7.411280331793299E-2</v>
      </c>
    </row>
    <row r="92" spans="1:15" x14ac:dyDescent="0.25">
      <c r="A92">
        <v>90</v>
      </c>
      <c r="B92">
        <f ca="1">IF(ROW()-1 &lt;= Params!$B$11, _xlfn.NORM.INV(RAND(), 0, Params!$B$10), "")</f>
        <v>-1.0074629835158204E-3</v>
      </c>
      <c r="C92">
        <f ca="1">Params!$B$1*C91 + (1-Params!$B$1)*(Params!$B$8 + Params!$B$3*K91 + Params!$B$2*J91)</f>
        <v>1.5095295754242909E-2</v>
      </c>
      <c r="D92">
        <v>0.02</v>
      </c>
      <c r="E92">
        <f ca="1">(C92 - D92)/Params!$B$12 + Params!$B$9</f>
        <v>0.23301693051675088</v>
      </c>
      <c r="F92">
        <f ca="1">Params!$B$6*F91 + B92</f>
        <v>4.9753225570204306E-3</v>
      </c>
      <c r="G92">
        <f ca="1">H92 + Params!$B$5*(E92 + I92 - L91) - Params!$B$6*(C92 - Params!$B$8)</f>
        <v>2.4530016185947821E-2</v>
      </c>
      <c r="H92">
        <v>0</v>
      </c>
      <c r="I92">
        <v>0</v>
      </c>
      <c r="J92">
        <f t="shared" ca="1" si="7"/>
        <v>1.9554693628927391E-2</v>
      </c>
      <c r="K92">
        <f ca="1">Params!$B$6*J92</f>
        <v>1.9554693628927393E-3</v>
      </c>
      <c r="L92">
        <f t="shared" ca="1" si="8"/>
        <v>-5.4230577340775143E-3</v>
      </c>
      <c r="M92">
        <f t="shared" ca="1" si="9"/>
        <v>0.23843998825082838</v>
      </c>
      <c r="N92">
        <f t="shared" ca="1" si="10"/>
        <v>1.313982639135017E-2</v>
      </c>
      <c r="O92">
        <f t="shared" ca="1" si="11"/>
        <v>0.1108042306985618</v>
      </c>
    </row>
    <row r="93" spans="1:15" x14ac:dyDescent="0.25">
      <c r="A93">
        <v>91</v>
      </c>
      <c r="B93">
        <f ca="1">IF(ROW()-1 &lt;= Params!$B$11, _xlfn.NORM.INV(RAND(), 0, Params!$B$10), "")</f>
        <v>7.4014182709865664E-3</v>
      </c>
      <c r="C93">
        <f ca="1">Params!$B$1*C92 + (1-Params!$B$1)*(Params!$B$8 + Params!$B$3*K92 + Params!$B$2*J92)</f>
        <v>1.6661274328409626E-2</v>
      </c>
      <c r="D93">
        <v>0.02</v>
      </c>
      <c r="E93">
        <f ca="1">(C93 - D93)/Params!$B$12 + Params!$B$9</f>
        <v>0.15861906627794589</v>
      </c>
      <c r="F93">
        <f ca="1">Params!$B$6*F92 + B93</f>
        <v>7.8989505266886095E-3</v>
      </c>
      <c r="G93">
        <f ca="1">H93 + Params!$B$5*(E93 + I93 - L92) - Params!$B$6*(C93 - Params!$B$8)</f>
        <v>1.6738084968361377E-2</v>
      </c>
      <c r="H93">
        <v>0</v>
      </c>
      <c r="I93">
        <v>0</v>
      </c>
      <c r="J93">
        <f t="shared" ca="1" si="7"/>
        <v>8.839134441672768E-3</v>
      </c>
      <c r="K93">
        <f ca="1">Params!$B$6*J93</f>
        <v>8.839134441672768E-4</v>
      </c>
      <c r="L93">
        <f t="shared" ca="1" si="8"/>
        <v>-4.5391442899102375E-3</v>
      </c>
      <c r="M93">
        <f t="shared" ca="1" si="9"/>
        <v>0.16315821056785612</v>
      </c>
      <c r="N93">
        <f t="shared" ca="1" si="10"/>
        <v>1.577736088424235E-2</v>
      </c>
      <c r="O93">
        <f t="shared" ca="1" si="11"/>
        <v>-7.4397864238804984E-2</v>
      </c>
    </row>
    <row r="94" spans="1:15" x14ac:dyDescent="0.25">
      <c r="A94">
        <v>92</v>
      </c>
      <c r="B94">
        <f ca="1">IF(ROW()-1 &lt;= Params!$B$11, _xlfn.NORM.INV(RAND(), 0, Params!$B$10), "")</f>
        <v>1.4718683083402608E-2</v>
      </c>
      <c r="C94">
        <f ca="1">Params!$B$1*C93 + (1-Params!$B$1)*(Params!$B$8 + Params!$B$3*K93 + Params!$B$2*J93)</f>
        <v>1.7481299289860665E-2</v>
      </c>
      <c r="D94">
        <v>0.02</v>
      </c>
      <c r="E94">
        <f ca="1">(C94 - D94)/Params!$B$12 + Params!$B$9</f>
        <v>0.11966061131509358</v>
      </c>
      <c r="F94">
        <f ca="1">Params!$B$6*F93 + B94</f>
        <v>1.5508578136071469E-2</v>
      </c>
      <c r="G94">
        <f ca="1">H94 + Params!$B$5*(E94 + I94 - L93) - Params!$B$6*(C94 - Params!$B$8)</f>
        <v>1.2671845631514316E-2</v>
      </c>
      <c r="H94">
        <v>0</v>
      </c>
      <c r="I94">
        <v>0</v>
      </c>
      <c r="J94">
        <f t="shared" ca="1" si="7"/>
        <v>-2.8367325045571528E-3</v>
      </c>
      <c r="K94">
        <f ca="1">Params!$B$6*J94</f>
        <v>-2.8367325045571527E-4</v>
      </c>
      <c r="L94">
        <f t="shared" ca="1" si="8"/>
        <v>-4.8228175403659526E-3</v>
      </c>
      <c r="M94">
        <f t="shared" ca="1" si="9"/>
        <v>0.12448342885545953</v>
      </c>
      <c r="N94">
        <f t="shared" ca="1" si="10"/>
        <v>1.7764972540316382E-2</v>
      </c>
      <c r="O94">
        <f t="shared" ca="1" si="11"/>
        <v>-3.8958454962852315E-2</v>
      </c>
    </row>
    <row r="95" spans="1:15" x14ac:dyDescent="0.25">
      <c r="A95">
        <v>93</v>
      </c>
      <c r="B95">
        <f ca="1">IF(ROW()-1 &lt;= Params!$B$11, _xlfn.NORM.INV(RAND(), 0, Params!$B$10), "")</f>
        <v>4.8360623211640398E-2</v>
      </c>
      <c r="C95">
        <f ca="1">Params!$B$1*C94 + (1-Params!$B$1)*(Params!$B$8 + Params!$B$3*K94 + Params!$B$2*J94)</f>
        <v>1.7577149073123955E-2</v>
      </c>
      <c r="D95">
        <v>0.02</v>
      </c>
      <c r="E95">
        <f ca="1">(C95 - D95)/Params!$B$12 + Params!$B$9</f>
        <v>0.11510689692833344</v>
      </c>
      <c r="F95">
        <f ca="1">Params!$B$6*F94 + B95</f>
        <v>4.9911481025247548E-2</v>
      </c>
      <c r="G95">
        <f ca="1">H95 + Params!$B$5*(E95 + I95 - L94) - Params!$B$6*(C95 - Params!$B$8)</f>
        <v>1.2235256539557544E-2</v>
      </c>
      <c r="H95">
        <v>0</v>
      </c>
      <c r="I95">
        <v>0</v>
      </c>
      <c r="J95">
        <f t="shared" ca="1" si="7"/>
        <v>-3.7676224485690003E-2</v>
      </c>
      <c r="K95">
        <f ca="1">Params!$B$6*J95</f>
        <v>-3.7676224485690005E-3</v>
      </c>
      <c r="L95">
        <f t="shared" ca="1" si="8"/>
        <v>-8.5904399889349531E-3</v>
      </c>
      <c r="M95">
        <f t="shared" ca="1" si="9"/>
        <v>0.12369733691726839</v>
      </c>
      <c r="N95">
        <f t="shared" ca="1" si="10"/>
        <v>2.1344771521692955E-2</v>
      </c>
      <c r="O95">
        <f t="shared" ca="1" si="11"/>
        <v>-4.5537143867601382E-3</v>
      </c>
    </row>
    <row r="96" spans="1:15" x14ac:dyDescent="0.25">
      <c r="A96">
        <v>94</v>
      </c>
      <c r="B96">
        <f ca="1">IF(ROW()-1 &lt;= Params!$B$11, _xlfn.NORM.INV(RAND(), 0, Params!$B$10), "")</f>
        <v>-1.8206571946079452E-2</v>
      </c>
      <c r="C96">
        <f ca="1">Params!$B$1*C95 + (1-Params!$B$1)*(Params!$B$8 + Params!$B$3*K95 + Params!$B$2*J95)</f>
        <v>1.574724181909861E-2</v>
      </c>
      <c r="D96">
        <v>0.02</v>
      </c>
      <c r="E96">
        <f ca="1">(C96 - D96)/Params!$B$12 + Params!$B$9</f>
        <v>0.20204371311499486</v>
      </c>
      <c r="F96">
        <f ca="1">Params!$B$6*F95 + B96</f>
        <v>-1.3215423843554697E-2</v>
      </c>
      <c r="G96">
        <f ca="1">H96 + Params!$B$5*(E96 + I96 - L95) - Params!$B$6*(C96 - Params!$B$8)</f>
        <v>2.1488691128483121E-2</v>
      </c>
      <c r="H96">
        <v>0</v>
      </c>
      <c r="I96">
        <v>0</v>
      </c>
      <c r="J96">
        <f t="shared" ca="1" si="7"/>
        <v>3.4704114972037819E-2</v>
      </c>
      <c r="K96">
        <f ca="1">Params!$B$6*J96</f>
        <v>3.4704114972037821E-3</v>
      </c>
      <c r="L96">
        <f t="shared" ca="1" si="8"/>
        <v>-5.120028491731171E-3</v>
      </c>
      <c r="M96">
        <f t="shared" ca="1" si="9"/>
        <v>0.20716374160672604</v>
      </c>
      <c r="N96">
        <f t="shared" ca="1" si="10"/>
        <v>1.2276830321894829E-2</v>
      </c>
      <c r="O96">
        <f t="shared" ca="1" si="11"/>
        <v>8.6936816186661423E-2</v>
      </c>
    </row>
    <row r="97" spans="1:15" x14ac:dyDescent="0.25">
      <c r="A97">
        <v>95</v>
      </c>
      <c r="B97">
        <f ca="1">IF(ROW()-1 &lt;= Params!$B$11, _xlfn.NORM.INV(RAND(), 0, Params!$B$10), "")</f>
        <v>-3.2899399245537309E-2</v>
      </c>
      <c r="C97">
        <f ca="1">Params!$B$1*C96 + (1-Params!$B$1)*(Params!$B$8 + Params!$B$3*K96 + Params!$B$2*J96)</f>
        <v>1.808124396065083E-2</v>
      </c>
      <c r="D97">
        <v>0.02</v>
      </c>
      <c r="E97">
        <f ca="1">(C97 - D97)/Params!$B$12 + Params!$B$9</f>
        <v>9.115792110939136E-2</v>
      </c>
      <c r="F97">
        <f ca="1">Params!$B$6*F96 + B97</f>
        <v>-3.4220941629892782E-2</v>
      </c>
      <c r="G97">
        <f ca="1">H97 + Params!$B$5*(E97 + I97 - L96) - Params!$B$6*(C97 - Params!$B$8)</f>
        <v>9.8196705640471709E-3</v>
      </c>
      <c r="H97">
        <v>0</v>
      </c>
      <c r="I97">
        <v>0</v>
      </c>
      <c r="J97">
        <f t="shared" ca="1" si="7"/>
        <v>4.4040612193939954E-2</v>
      </c>
      <c r="K97">
        <f ca="1">Params!$B$6*J97</f>
        <v>4.4040612193939959E-3</v>
      </c>
      <c r="L97">
        <f t="shared" ca="1" si="8"/>
        <v>-7.1596727233717503E-4</v>
      </c>
      <c r="M97">
        <f t="shared" ca="1" si="9"/>
        <v>9.1873888381728538E-2</v>
      </c>
      <c r="N97">
        <f t="shared" ca="1" si="10"/>
        <v>1.3677182741256833E-2</v>
      </c>
      <c r="O97">
        <f t="shared" ca="1" si="11"/>
        <v>-0.1108857920056035</v>
      </c>
    </row>
    <row r="98" spans="1:15" x14ac:dyDescent="0.25">
      <c r="A98">
        <v>96</v>
      </c>
      <c r="B98">
        <f ca="1">IF(ROW()-1 &lt;= Params!$B$11, _xlfn.NORM.INV(RAND(), 0, Params!$B$10), "")</f>
        <v>-1.2145154620800574E-2</v>
      </c>
      <c r="C98">
        <f ca="1">Params!$B$1*C97 + (1-Params!$B$1)*(Params!$B$8 + Params!$B$3*K97 + Params!$B$2*J97)</f>
        <v>2.0695353235252446E-2</v>
      </c>
      <c r="D98">
        <v>0.02</v>
      </c>
      <c r="E98">
        <f ca="1">(C98 - D98)/Params!$B$12 + Params!$B$9</f>
        <v>-3.3035442788132093E-2</v>
      </c>
      <c r="F98">
        <f ca="1">Params!$B$6*F97 + B98</f>
        <v>-1.5567248783789853E-2</v>
      </c>
      <c r="G98">
        <f ca="1">H98 + Params!$B$5*(E98 + I98 - L97) - Params!$B$6*(C98 - Params!$B$8)</f>
        <v>-3.3014828751047371E-3</v>
      </c>
      <c r="H98">
        <v>0</v>
      </c>
      <c r="I98">
        <v>0</v>
      </c>
      <c r="J98">
        <f t="shared" ca="1" si="7"/>
        <v>1.2265765908685116E-2</v>
      </c>
      <c r="K98">
        <f ca="1">Params!$B$6*J98</f>
        <v>1.2265765908685117E-3</v>
      </c>
      <c r="L98">
        <f t="shared" ca="1" si="8"/>
        <v>5.106093185313367E-4</v>
      </c>
      <c r="M98">
        <f t="shared" ca="1" si="9"/>
        <v>-3.3546052106663428E-2</v>
      </c>
      <c r="N98">
        <f t="shared" ca="1" si="10"/>
        <v>1.9468776644383935E-2</v>
      </c>
      <c r="O98">
        <f t="shared" ca="1" si="11"/>
        <v>-0.12419336389752345</v>
      </c>
    </row>
    <row r="99" spans="1:15" x14ac:dyDescent="0.25">
      <c r="A99">
        <v>97</v>
      </c>
      <c r="B99">
        <f ca="1">IF(ROW()-1 &lt;= Params!$B$11, _xlfn.NORM.INV(RAND(), 0, Params!$B$10), "")</f>
        <v>-6.8761915353712719E-2</v>
      </c>
      <c r="C99">
        <f ca="1">Params!$B$1*C98 + (1-Params!$B$1)*(Params!$B$8 + Params!$B$3*K98 + Params!$B$2*J98)</f>
        <v>2.1300435036704882E-2</v>
      </c>
      <c r="D99">
        <v>0.02</v>
      </c>
      <c r="E99">
        <f ca="1">(C99 - D99)/Params!$B$12 + Params!$B$9</f>
        <v>-6.1782192239531242E-2</v>
      </c>
      <c r="F99">
        <f ca="1">Params!$B$6*F98 + B99</f>
        <v>-7.0318640232091709E-2</v>
      </c>
      <c r="G99">
        <f ca="1">H99 + Params!$B$5*(E99 + I99 - L98) - Params!$B$6*(C99 - Params!$B$8)</f>
        <v>-6.3593236594767458E-3</v>
      </c>
      <c r="H99">
        <v>0</v>
      </c>
      <c r="I99">
        <v>0</v>
      </c>
      <c r="J99">
        <f t="shared" ca="1" si="7"/>
        <v>6.3959316572614958E-2</v>
      </c>
      <c r="K99">
        <f ca="1">Params!$B$6*J99</f>
        <v>6.3959316572614958E-3</v>
      </c>
      <c r="L99">
        <f t="shared" ref="L99:L130" ca="1" si="12">L98 + K99</f>
        <v>6.9065409757928329E-3</v>
      </c>
      <c r="M99">
        <f t="shared" ca="1" si="9"/>
        <v>-6.868873321532408E-2</v>
      </c>
      <c r="N99">
        <f t="shared" ca="1" si="10"/>
        <v>1.4904503379443386E-2</v>
      </c>
      <c r="O99">
        <f t="shared" ca="1" si="11"/>
        <v>-2.8746749451399149E-2</v>
      </c>
    </row>
    <row r="100" spans="1:15" x14ac:dyDescent="0.25">
      <c r="A100">
        <v>98</v>
      </c>
      <c r="B100">
        <f ca="1">IF(ROW()-1 &lt;= Params!$B$11, _xlfn.NORM.INV(RAND(), 0, Params!$B$10), "")</f>
        <v>1.1680903312052333E-2</v>
      </c>
      <c r="C100">
        <f ca="1">Params!$B$1*C99 + (1-Params!$B$1)*(Params!$B$8 + Params!$B$3*K99 + Params!$B$2*J99)</f>
        <v>2.4688153944528213E-2</v>
      </c>
      <c r="D100">
        <v>0.02</v>
      </c>
      <c r="E100">
        <f ca="1">(C100 - D100)/Params!$B$12 + Params!$B$9</f>
        <v>-0.22272887154999824</v>
      </c>
      <c r="F100">
        <f ca="1">Params!$B$6*F99 + B100</f>
        <v>4.6490392888431618E-3</v>
      </c>
      <c r="G100">
        <f ca="1">H100 + Params!$B$5*(E100 + I100 - L99) - Params!$B$6*(C100 - Params!$B$8)</f>
        <v>-2.3432356647031929E-2</v>
      </c>
      <c r="H100">
        <v>0</v>
      </c>
      <c r="I100">
        <v>0</v>
      </c>
      <c r="J100">
        <f t="shared" ca="1" si="7"/>
        <v>-2.8081395935875091E-2</v>
      </c>
      <c r="K100">
        <f ca="1">Params!$B$6*J100</f>
        <v>-2.8081395935875093E-3</v>
      </c>
      <c r="L100">
        <f t="shared" ca="1" si="12"/>
        <v>4.0984013822053236E-3</v>
      </c>
      <c r="M100">
        <f t="shared" ca="1" si="9"/>
        <v>-0.22682727293220356</v>
      </c>
      <c r="N100">
        <f t="shared" ca="1" si="10"/>
        <v>2.7496293538115724E-2</v>
      </c>
      <c r="O100">
        <f t="shared" ca="1" si="11"/>
        <v>-0.16094667931046699</v>
      </c>
    </row>
    <row r="101" spans="1:15" x14ac:dyDescent="0.25">
      <c r="A101">
        <v>99</v>
      </c>
      <c r="B101">
        <f ca="1">IF(ROW()-1 &lt;= Params!$B$11, _xlfn.NORM.INV(RAND(), 0, Params!$B$10), "")</f>
        <v>-2.3659979241628354E-2</v>
      </c>
      <c r="C101">
        <f ca="1">Params!$B$1*C100 + (1-Params!$B$1)*(Params!$B$8 + Params!$B$3*K100 + Params!$B$2*J100)</f>
        <v>2.2674861773602263E-2</v>
      </c>
      <c r="D101">
        <v>0.02</v>
      </c>
      <c r="E101">
        <f ca="1">(C101 - D101)/Params!$B$12 + Params!$B$9</f>
        <v>-0.12707964615411393</v>
      </c>
      <c r="F101">
        <f ca="1">Params!$B$6*F100 + B101</f>
        <v>-2.3195075312744038E-2</v>
      </c>
      <c r="G101">
        <f ca="1">H101 + Params!$B$5*(E101 + I101 - L100) - Params!$B$6*(C101 - Params!$B$8)</f>
        <v>-1.3385290930992153E-2</v>
      </c>
      <c r="H101">
        <v>0</v>
      </c>
      <c r="I101">
        <v>0</v>
      </c>
      <c r="J101">
        <f t="shared" ca="1" si="7"/>
        <v>9.8097843817518855E-3</v>
      </c>
      <c r="K101">
        <f ca="1">Params!$B$6*J101</f>
        <v>9.809784381751886E-4</v>
      </c>
      <c r="L101">
        <f t="shared" ca="1" si="12"/>
        <v>5.079379820380512E-3</v>
      </c>
      <c r="M101">
        <f t="shared" ca="1" si="9"/>
        <v>-0.13215902597449444</v>
      </c>
      <c r="N101">
        <f t="shared" ca="1" si="10"/>
        <v>2.1693883335427076E-2</v>
      </c>
      <c r="O101">
        <f t="shared" ca="1" si="11"/>
        <v>9.5649225395884302E-2</v>
      </c>
    </row>
    <row r="102" spans="1:15" x14ac:dyDescent="0.25">
      <c r="A102">
        <v>100</v>
      </c>
      <c r="B102">
        <f ca="1">IF(ROW()-1 &lt;= Params!$B$11, _xlfn.NORM.INV(RAND(), 0, Params!$B$10), "")</f>
        <v>-3.8268263986636047E-2</v>
      </c>
      <c r="C102">
        <f ca="1">Params!$B$1*C101 + (1-Params!$B$1)*(Params!$B$8 + Params!$B$3*K101 + Params!$B$2*J101)</f>
        <v>2.2946913737238391E-2</v>
      </c>
      <c r="D102">
        <v>0.02</v>
      </c>
      <c r="E102">
        <f ca="1">(C102 - D102)/Params!$B$12 + Params!$B$9</f>
        <v>-0.14000452609206013</v>
      </c>
      <c r="F102">
        <f ca="1">Params!$B$6*F101 + B102</f>
        <v>-4.0587771517910452E-2</v>
      </c>
      <c r="G102">
        <f ca="1">H102 + Params!$B$5*(E102 + I102 - L101) - Params!$B$6*(C102 - Params!$B$8)</f>
        <v>-1.4803081964967903E-2</v>
      </c>
      <c r="H102">
        <v>0</v>
      </c>
      <c r="I102">
        <v>0</v>
      </c>
      <c r="J102">
        <f t="shared" ref="J102:J165" ca="1" si="13">G102 - F102</f>
        <v>2.5784689552942549E-2</v>
      </c>
      <c r="K102">
        <f ca="1">Params!$B$6*J102</f>
        <v>2.5784689552942552E-3</v>
      </c>
      <c r="L102">
        <f t="shared" ref="L102:L165" ca="1" si="14">L101 + K102</f>
        <v>7.6578487756747676E-3</v>
      </c>
      <c r="M102">
        <f t="shared" ca="1" si="9"/>
        <v>-0.1476623748677349</v>
      </c>
      <c r="N102">
        <f t="shared" ca="1" si="10"/>
        <v>2.0368444781944137E-2</v>
      </c>
      <c r="O102">
        <f t="shared" ca="1" si="11"/>
        <v>-1.2924879937946193E-2</v>
      </c>
    </row>
    <row r="103" spans="1:15" x14ac:dyDescent="0.25">
      <c r="A103">
        <v>101</v>
      </c>
      <c r="B103">
        <f ca="1">IF(ROW()-1 &lt;= Params!$B$11, _xlfn.NORM.INV(RAND(), 0, Params!$B$10), "")</f>
        <v>-6.5485609430201805E-2</v>
      </c>
      <c r="C103">
        <f ca="1">Params!$B$1*C102 + (1-Params!$B$1)*(Params!$B$8 + Params!$B$3*K102 + Params!$B$2*J102)</f>
        <v>2.4070380288926392E-2</v>
      </c>
      <c r="D103">
        <v>0.02</v>
      </c>
      <c r="E103">
        <f ca="1">(C103 - D103)/Params!$B$12 + Params!$B$9</f>
        <v>-0.19337914651673513</v>
      </c>
      <c r="F103">
        <f ca="1">Params!$B$6*F102 + B103</f>
        <v>-6.9544386581992856E-2</v>
      </c>
      <c r="G103">
        <f ca="1">H103 + Params!$B$5*(E103 + I103 - L102) - Params!$B$6*(C103 - Params!$B$8)</f>
        <v>-2.0510737558133631E-2</v>
      </c>
      <c r="H103">
        <v>0</v>
      </c>
      <c r="I103">
        <v>0</v>
      </c>
      <c r="J103">
        <f t="shared" ca="1" si="13"/>
        <v>4.9033649023859226E-2</v>
      </c>
      <c r="K103">
        <f ca="1">Params!$B$6*J103</f>
        <v>4.9033649023859233E-3</v>
      </c>
      <c r="L103">
        <f t="shared" ca="1" si="14"/>
        <v>1.2561213678060691E-2</v>
      </c>
      <c r="M103">
        <f t="shared" ca="1" si="9"/>
        <v>-0.20594036019479581</v>
      </c>
      <c r="N103">
        <f t="shared" ca="1" si="10"/>
        <v>1.9167015386540469E-2</v>
      </c>
      <c r="O103">
        <f t="shared" ca="1" si="11"/>
        <v>-5.3374620424675001E-2</v>
      </c>
    </row>
    <row r="104" spans="1:15" x14ac:dyDescent="0.25">
      <c r="A104">
        <v>102</v>
      </c>
      <c r="B104">
        <f ca="1">IF(ROW()-1 &lt;= Params!$B$11, _xlfn.NORM.INV(RAND(), 0, Params!$B$10), "")</f>
        <v>-7.4776961104530831E-3</v>
      </c>
      <c r="C104">
        <f ca="1">Params!$B$1*C103 + (1-Params!$B$1)*(Params!$B$8 + Params!$B$3*K103 + Params!$B$2*J103)</f>
        <v>2.636019295634601E-2</v>
      </c>
      <c r="D104">
        <v>0.02</v>
      </c>
      <c r="E104">
        <f ca="1">(C104 - D104)/Params!$B$12 + Params!$B$9</f>
        <v>-0.30216554677360358</v>
      </c>
      <c r="F104">
        <f ca="1">Params!$B$6*F103 + B104</f>
        <v>-1.443213476865237E-2</v>
      </c>
      <c r="G104">
        <f ca="1">H104 + Params!$B$5*(E104 + I104 - L103) - Params!$B$6*(C104 - Params!$B$8)</f>
        <v>-3.2108695340801026E-2</v>
      </c>
      <c r="H104">
        <v>0</v>
      </c>
      <c r="I104">
        <v>0</v>
      </c>
      <c r="J104">
        <f t="shared" ca="1" si="13"/>
        <v>-1.7676560572148656E-2</v>
      </c>
      <c r="K104">
        <f ca="1">Params!$B$6*J104</f>
        <v>-1.7676560572148657E-3</v>
      </c>
      <c r="L104">
        <f t="shared" ca="1" si="14"/>
        <v>1.0793557620845825E-2</v>
      </c>
      <c r="M104">
        <f t="shared" ca="1" si="9"/>
        <v>-0.31295910439444941</v>
      </c>
      <c r="N104">
        <f t="shared" ca="1" si="10"/>
        <v>2.8127849013560875E-2</v>
      </c>
      <c r="O104">
        <f t="shared" ca="1" si="11"/>
        <v>-0.10878640025686845</v>
      </c>
    </row>
    <row r="105" spans="1:15" x14ac:dyDescent="0.25">
      <c r="A105">
        <v>103</v>
      </c>
      <c r="B105">
        <f ca="1">IF(ROW()-1 &lt;= Params!$B$11, _xlfn.NORM.INV(RAND(), 0, Params!$B$10), "")</f>
        <v>-8.9078436551696921E-2</v>
      </c>
      <c r="C105">
        <f ca="1">Params!$B$1*C104 + (1-Params!$B$1)*(Params!$B$8 + Params!$B$3*K104 + Params!$B$2*J104)</f>
        <v>2.4751962829243235E-2</v>
      </c>
      <c r="D105">
        <v>0.02</v>
      </c>
      <c r="E105">
        <f ca="1">(C105 - D105)/Params!$B$12 + Params!$B$9</f>
        <v>-0.2257603592220335</v>
      </c>
      <c r="F105">
        <f ca="1">Params!$B$6*F104 + B105</f>
        <v>-9.0521650028562162E-2</v>
      </c>
      <c r="G105">
        <f ca="1">H105 + Params!$B$5*(E105 + I105 - L104) - Params!$B$6*(C105 - Params!$B$8)</f>
        <v>-2.4130587967212257E-2</v>
      </c>
      <c r="H105">
        <v>0</v>
      </c>
      <c r="I105">
        <v>0</v>
      </c>
      <c r="J105">
        <f t="shared" ca="1" si="13"/>
        <v>6.6391062061349898E-2</v>
      </c>
      <c r="K105">
        <f ca="1">Params!$B$6*J105</f>
        <v>6.6391062061349898E-3</v>
      </c>
      <c r="L105">
        <f t="shared" ca="1" si="14"/>
        <v>1.7432663826980815E-2</v>
      </c>
      <c r="M105">
        <f t="shared" ca="1" si="9"/>
        <v>-0.2431930230490143</v>
      </c>
      <c r="N105">
        <f t="shared" ca="1" si="10"/>
        <v>1.8112856623108246E-2</v>
      </c>
      <c r="O105">
        <f t="shared" ca="1" si="11"/>
        <v>7.6405187551570081E-2</v>
      </c>
    </row>
    <row r="106" spans="1:15" x14ac:dyDescent="0.25">
      <c r="A106">
        <v>104</v>
      </c>
      <c r="B106">
        <f ca="1">IF(ROW()-1 &lt;= Params!$B$11, _xlfn.NORM.INV(RAND(), 0, Params!$B$10), "")</f>
        <v>-7.3390374863451322E-3</v>
      </c>
      <c r="C106">
        <f ca="1">Params!$B$1*C105 + (1-Params!$B$1)*(Params!$B$8 + Params!$B$3*K105 + Params!$B$2*J105)</f>
        <v>2.7928274959693158E-2</v>
      </c>
      <c r="D106">
        <v>0.02</v>
      </c>
      <c r="E106">
        <f ca="1">(C106 - D106)/Params!$B$12 + Params!$B$9</f>
        <v>-0.37666334254479555</v>
      </c>
      <c r="F106">
        <f ca="1">Params!$B$6*F105 + B106</f>
        <v>-1.6391202489201347E-2</v>
      </c>
      <c r="G106">
        <f ca="1">H106 + Params!$B$5*(E106 + I106 - L105) - Params!$B$6*(C106 - Params!$B$8)</f>
        <v>-4.0202428133146957E-2</v>
      </c>
      <c r="H106">
        <v>0</v>
      </c>
      <c r="I106">
        <v>0</v>
      </c>
      <c r="J106">
        <f t="shared" ca="1" si="13"/>
        <v>-2.381122564394561E-2</v>
      </c>
      <c r="K106">
        <f ca="1">Params!$B$6*J106</f>
        <v>-2.3811225643945613E-3</v>
      </c>
      <c r="L106">
        <f t="shared" ca="1" si="14"/>
        <v>1.5051541262586253E-2</v>
      </c>
      <c r="M106">
        <f t="shared" ca="1" si="9"/>
        <v>-0.39171488380738179</v>
      </c>
      <c r="N106">
        <f t="shared" ca="1" si="10"/>
        <v>3.0309397524087719E-2</v>
      </c>
      <c r="O106">
        <f t="shared" ca="1" si="11"/>
        <v>-0.15090298332276206</v>
      </c>
    </row>
    <row r="107" spans="1:15" x14ac:dyDescent="0.25">
      <c r="A107">
        <v>105</v>
      </c>
      <c r="B107">
        <f ca="1">IF(ROW()-1 &lt;= Params!$B$11, _xlfn.NORM.INV(RAND(), 0, Params!$B$10), "")</f>
        <v>6.6374268706881664E-2</v>
      </c>
      <c r="C107">
        <f ca="1">Params!$B$1*C106 + (1-Params!$B$1)*(Params!$B$8 + Params!$B$3*K106 + Params!$B$2*J106)</f>
        <v>2.5825830053306832E-2</v>
      </c>
      <c r="D107">
        <v>0.02</v>
      </c>
      <c r="E107">
        <f ca="1">(C107 - D107)/Params!$B$12 + Params!$B$9</f>
        <v>-0.27677857190026151</v>
      </c>
      <c r="F107">
        <f ca="1">Params!$B$6*F106 + B107</f>
        <v>6.4735148457961536E-2</v>
      </c>
      <c r="G107">
        <f ca="1">H107 + Params!$B$5*(E107 + I107 - L106) - Params!$B$6*(C107 - Params!$B$8)</f>
        <v>-2.9765594321615456E-2</v>
      </c>
      <c r="H107">
        <v>0</v>
      </c>
      <c r="I107">
        <v>0</v>
      </c>
      <c r="J107">
        <f t="shared" ca="1" si="13"/>
        <v>-9.4500742779576985E-2</v>
      </c>
      <c r="K107">
        <f ca="1">Params!$B$6*J107</f>
        <v>-9.4500742779576995E-3</v>
      </c>
      <c r="L107">
        <f t="shared" ca="1" si="14"/>
        <v>5.6014669846285534E-3</v>
      </c>
      <c r="M107">
        <f t="shared" ca="1" si="9"/>
        <v>-0.28238003888489005</v>
      </c>
      <c r="N107">
        <f t="shared" ca="1" si="10"/>
        <v>3.5275904331264533E-2</v>
      </c>
      <c r="O107">
        <f t="shared" ca="1" si="11"/>
        <v>9.9884770644534049E-2</v>
      </c>
    </row>
    <row r="108" spans="1:15" x14ac:dyDescent="0.25">
      <c r="A108">
        <v>106</v>
      </c>
      <c r="B108">
        <f ca="1">IF(ROW()-1 &lt;= Params!$B$11, _xlfn.NORM.INV(RAND(), 0, Params!$B$10), "")</f>
        <v>6.0880709261292012E-3</v>
      </c>
      <c r="C108">
        <f ca="1">Params!$B$1*C107 + (1-Params!$B$1)*(Params!$B$8 + Params!$B$3*K107 + Params!$B$2*J107)</f>
        <v>2.0045706195099416E-2</v>
      </c>
      <c r="D108">
        <v>0.02</v>
      </c>
      <c r="E108">
        <f ca="1">(C108 - D108)/Params!$B$12 + Params!$B$9</f>
        <v>-2.1714494399695515E-3</v>
      </c>
      <c r="F108">
        <f ca="1">Params!$B$6*F107 + B108</f>
        <v>1.2561585771925355E-2</v>
      </c>
      <c r="G108">
        <f ca="1">H108 + Params!$B$5*(E108 + I108 - L107) - Params!$B$6*(C108 - Params!$B$8)</f>
        <v>-7.8186226196975202E-4</v>
      </c>
      <c r="H108">
        <v>0</v>
      </c>
      <c r="I108">
        <v>0</v>
      </c>
      <c r="J108">
        <f t="shared" ca="1" si="13"/>
        <v>-1.3343448033895108E-2</v>
      </c>
      <c r="K108">
        <f ca="1">Params!$B$6*J108</f>
        <v>-1.3343448033895108E-3</v>
      </c>
      <c r="L108">
        <f t="shared" ca="1" si="14"/>
        <v>4.2671221812390428E-3</v>
      </c>
      <c r="M108">
        <f t="shared" ca="1" si="9"/>
        <v>-6.4385716212085938E-3</v>
      </c>
      <c r="N108">
        <f t="shared" ca="1" si="10"/>
        <v>2.1380050998488928E-2</v>
      </c>
      <c r="O108">
        <f t="shared" ca="1" si="11"/>
        <v>0.27460712246029195</v>
      </c>
    </row>
    <row r="109" spans="1:15" x14ac:dyDescent="0.25">
      <c r="A109">
        <v>107</v>
      </c>
      <c r="B109">
        <f ca="1">IF(ROW()-1 &lt;= Params!$B$11, _xlfn.NORM.INV(RAND(), 0, Params!$B$10), "")</f>
        <v>6.6112616321056236E-2</v>
      </c>
      <c r="C109">
        <f ca="1">Params!$B$1*C108 + (1-Params!$B$1)*(Params!$B$8 + Params!$B$3*K108 + Params!$B$2*J108)</f>
        <v>1.9307245933725244E-2</v>
      </c>
      <c r="D109">
        <v>0.02</v>
      </c>
      <c r="E109">
        <f ca="1">(C109 - D109)/Params!$B$12 + Params!$B$9</f>
        <v>3.2911959220779538E-2</v>
      </c>
      <c r="F109">
        <f ca="1">Params!$B$6*F108 + B109</f>
        <v>6.7368774898248773E-2</v>
      </c>
      <c r="G109">
        <f ca="1">H109 + Params!$B$5*(E109 + I109 - L108) - Params!$B$6*(C109 - Params!$B$8)</f>
        <v>2.9337591105815255E-3</v>
      </c>
      <c r="H109">
        <v>0</v>
      </c>
      <c r="I109">
        <v>0</v>
      </c>
      <c r="J109">
        <f t="shared" ca="1" si="13"/>
        <v>-6.4435015787667249E-2</v>
      </c>
      <c r="K109">
        <f ca="1">Params!$B$6*J109</f>
        <v>-6.4435015787667254E-3</v>
      </c>
      <c r="L109">
        <f t="shared" ca="1" si="14"/>
        <v>-2.1763793975276826E-3</v>
      </c>
      <c r="M109">
        <f t="shared" ca="1" si="9"/>
        <v>3.5088338618307222E-2</v>
      </c>
      <c r="N109">
        <f t="shared" ca="1" si="10"/>
        <v>2.575074751249197E-2</v>
      </c>
      <c r="O109">
        <f t="shared" ca="1" si="11"/>
        <v>3.5083408660749091E-2</v>
      </c>
    </row>
    <row r="110" spans="1:15" x14ac:dyDescent="0.25">
      <c r="A110">
        <v>108</v>
      </c>
      <c r="B110">
        <f ca="1">IF(ROW()-1 &lt;= Params!$B$11, _xlfn.NORM.INV(RAND(), 0, Params!$B$10), "")</f>
        <v>-4.2079569132119542E-2</v>
      </c>
      <c r="C110">
        <f ca="1">Params!$B$1*C109 + (1-Params!$B$1)*(Params!$B$8 + Params!$B$3*K109 + Params!$B$2*J109)</f>
        <v>1.5832595472031023E-2</v>
      </c>
      <c r="D110">
        <v>0.02</v>
      </c>
      <c r="E110">
        <f ca="1">(C110 - D110)/Params!$B$12 + Params!$B$9</f>
        <v>0.19798865796423668</v>
      </c>
      <c r="F110">
        <f ca="1">Params!$B$6*F109 + B110</f>
        <v>-3.5342691642294664E-2</v>
      </c>
      <c r="G110">
        <f ca="1">H110 + Params!$B$5*(E110 + I110 - L109) - Params!$B$6*(C110 - Params!$B$8)</f>
        <v>2.0433244188973333E-2</v>
      </c>
      <c r="H110">
        <v>0</v>
      </c>
      <c r="I110">
        <v>0</v>
      </c>
      <c r="J110">
        <f t="shared" ca="1" si="13"/>
        <v>5.5775935831267998E-2</v>
      </c>
      <c r="K110">
        <f ca="1">Params!$B$6*J110</f>
        <v>5.5775935831267999E-3</v>
      </c>
      <c r="L110">
        <f t="shared" ca="1" si="14"/>
        <v>3.4012141855991173E-3</v>
      </c>
      <c r="M110">
        <f t="shared" ca="1" si="9"/>
        <v>0.19458744377863757</v>
      </c>
      <c r="N110">
        <f t="shared" ca="1" si="10"/>
        <v>1.0255001888904224E-2</v>
      </c>
      <c r="O110">
        <f t="shared" ca="1" si="11"/>
        <v>0.16507669874345715</v>
      </c>
    </row>
    <row r="111" spans="1:15" x14ac:dyDescent="0.25">
      <c r="A111">
        <v>109</v>
      </c>
      <c r="B111">
        <f ca="1">IF(ROW()-1 &lt;= Params!$B$11, _xlfn.NORM.INV(RAND(), 0, Params!$B$10), "")</f>
        <v>5.9241813416053973E-3</v>
      </c>
      <c r="C111">
        <f ca="1">Params!$B$1*C110 + (1-Params!$B$1)*(Params!$B$8 + Params!$B$3*K110 + Params!$B$2*J110)</f>
        <v>1.9317012395547659E-2</v>
      </c>
      <c r="D111">
        <v>0.02</v>
      </c>
      <c r="E111">
        <f ca="1">(C111 - D111)/Params!$B$12 + Params!$B$9</f>
        <v>3.2447965707238562E-2</v>
      </c>
      <c r="F111">
        <f ca="1">Params!$B$6*F110 + B111</f>
        <v>2.3899121773759309E-3</v>
      </c>
      <c r="G111">
        <f ca="1">H111 + Params!$B$5*(E111 + I111 - L110) - Params!$B$6*(C111 - Params!$B$8)</f>
        <v>2.9729739126091786E-3</v>
      </c>
      <c r="H111">
        <v>0</v>
      </c>
      <c r="I111">
        <v>0</v>
      </c>
      <c r="J111">
        <f t="shared" ca="1" si="13"/>
        <v>5.8306173523324772E-4</v>
      </c>
      <c r="K111">
        <f ca="1">Params!$B$6*J111</f>
        <v>5.8306173523324772E-5</v>
      </c>
      <c r="L111">
        <f t="shared" ca="1" si="14"/>
        <v>3.4595203591224421E-3</v>
      </c>
      <c r="M111">
        <f t="shared" ca="1" si="9"/>
        <v>2.8988445348116121E-2</v>
      </c>
      <c r="N111">
        <f t="shared" ca="1" si="10"/>
        <v>1.9258706222024333E-2</v>
      </c>
      <c r="O111">
        <f t="shared" ca="1" si="11"/>
        <v>-0.16554069225699811</v>
      </c>
    </row>
    <row r="112" spans="1:15" x14ac:dyDescent="0.25">
      <c r="A112">
        <v>110</v>
      </c>
      <c r="B112">
        <f ca="1">IF(ROW()-1 &lt;= Params!$B$11, _xlfn.NORM.INV(RAND(), 0, Params!$B$10), "")</f>
        <v>-2.6802012973739849E-2</v>
      </c>
      <c r="C112">
        <f ca="1">Params!$B$1*C111 + (1-Params!$B$1)*(Params!$B$8 + Params!$B$3*K111 + Params!$B$2*J111)</f>
        <v>1.9417379551430723E-2</v>
      </c>
      <c r="D112">
        <v>0.02</v>
      </c>
      <c r="E112">
        <f ca="1">(C112 - D112)/Params!$B$12 + Params!$B$9</f>
        <v>2.7679636075783332E-2</v>
      </c>
      <c r="F112">
        <f ca="1">Params!$B$6*F111 + B112</f>
        <v>-2.6563021756002256E-2</v>
      </c>
      <c r="G112">
        <f ca="1">H112 + Params!$B$5*(E112 + I112 - L111) - Params!$B$6*(C112 - Params!$B$8)</f>
        <v>2.4802736165230174E-3</v>
      </c>
      <c r="H112">
        <v>0</v>
      </c>
      <c r="I112">
        <v>0</v>
      </c>
      <c r="J112">
        <f t="shared" ca="1" si="13"/>
        <v>2.9043295372525275E-2</v>
      </c>
      <c r="K112">
        <f ca="1">Params!$B$6*J112</f>
        <v>2.9043295372525278E-3</v>
      </c>
      <c r="L112">
        <f t="shared" ca="1" si="14"/>
        <v>6.3638498963749703E-3</v>
      </c>
      <c r="M112">
        <f t="shared" ca="1" si="9"/>
        <v>2.1315786179408359E-2</v>
      </c>
      <c r="N112">
        <f t="shared" ca="1" si="10"/>
        <v>1.6513050014178195E-2</v>
      </c>
      <c r="O112">
        <f t="shared" ca="1" si="11"/>
        <v>-4.7683296314552301E-3</v>
      </c>
    </row>
    <row r="113" spans="1:15" x14ac:dyDescent="0.25">
      <c r="A113">
        <v>111</v>
      </c>
      <c r="B113">
        <f ca="1">IF(ROW()-1 &lt;= Params!$B$11, _xlfn.NORM.INV(RAND(), 0, Params!$B$10), "")</f>
        <v>3.2068633048923031E-2</v>
      </c>
      <c r="C113">
        <f ca="1">Params!$B$1*C112 + (1-Params!$B$1)*(Params!$B$8 + Params!$B$3*K112 + Params!$B$2*J112)</f>
        <v>2.1073022841776541E-2</v>
      </c>
      <c r="D113">
        <v>0.02</v>
      </c>
      <c r="E113">
        <f ca="1">(C113 - D113)/Params!$B$12 + Params!$B$9</f>
        <v>-5.0978097034378E-2</v>
      </c>
      <c r="F113">
        <f ca="1">Params!$B$6*F112 + B113</f>
        <v>2.9412330873322807E-2</v>
      </c>
      <c r="G113">
        <f ca="1">H113 + Params!$B$5*(E113 + I113 - L112) - Params!$B$6*(C113 - Params!$B$8)</f>
        <v>-5.8414969772529511E-3</v>
      </c>
      <c r="H113">
        <v>0</v>
      </c>
      <c r="I113">
        <v>0</v>
      </c>
      <c r="J113">
        <f t="shared" ca="1" si="13"/>
        <v>-3.5253827850575757E-2</v>
      </c>
      <c r="K113">
        <f ca="1">Params!$B$6*J113</f>
        <v>-3.5253827850575759E-3</v>
      </c>
      <c r="L113">
        <f t="shared" ca="1" si="14"/>
        <v>2.8384671113173944E-3</v>
      </c>
      <c r="M113">
        <f t="shared" ca="1" si="9"/>
        <v>-5.3816564145695397E-2</v>
      </c>
      <c r="N113">
        <f t="shared" ca="1" si="10"/>
        <v>2.4598405626834116E-2</v>
      </c>
      <c r="O113">
        <f t="shared" ca="1" si="11"/>
        <v>-7.8657733110161332E-2</v>
      </c>
    </row>
    <row r="114" spans="1:15" x14ac:dyDescent="0.25">
      <c r="A114">
        <v>112</v>
      </c>
      <c r="B114">
        <f ca="1">IF(ROW()-1 &lt;= Params!$B$11, _xlfn.NORM.INV(RAND(), 0, Params!$B$10), "")</f>
        <v>-2.3607619992064073E-2</v>
      </c>
      <c r="C114">
        <f ca="1">Params!$B$1*C113 + (1-Params!$B$1)*(Params!$B$8 + Params!$B$3*K113 + Params!$B$2*J113)</f>
        <v>1.9026760025817224E-2</v>
      </c>
      <c r="D114">
        <v>0.02</v>
      </c>
      <c r="E114">
        <f ca="1">(C114 - D114)/Params!$B$12 + Params!$B$9</f>
        <v>4.6237526276218209E-2</v>
      </c>
      <c r="F114">
        <f ca="1">Params!$B$6*F113 + B114</f>
        <v>-2.0666386904731791E-2</v>
      </c>
      <c r="G114">
        <f ca="1">H114 + Params!$B$5*(E114 + I114 - L113) - Params!$B$6*(C114 - Params!$B$8)</f>
        <v>4.4372299139083596E-3</v>
      </c>
      <c r="H114">
        <v>0</v>
      </c>
      <c r="I114">
        <v>0</v>
      </c>
      <c r="J114">
        <f t="shared" ca="1" si="13"/>
        <v>2.5103616818640151E-2</v>
      </c>
      <c r="K114">
        <f ca="1">Params!$B$6*J114</f>
        <v>2.5103616818640154E-3</v>
      </c>
      <c r="L114">
        <f t="shared" ca="1" si="14"/>
        <v>5.3488287931814094E-3</v>
      </c>
      <c r="M114">
        <f t="shared" ca="1" si="9"/>
        <v>4.08886974830368E-2</v>
      </c>
      <c r="N114">
        <f t="shared" ca="1" si="10"/>
        <v>1.6516398343953208E-2</v>
      </c>
      <c r="O114">
        <f t="shared" ca="1" si="11"/>
        <v>9.7215623310596216E-2</v>
      </c>
    </row>
    <row r="115" spans="1:15" x14ac:dyDescent="0.25">
      <c r="A115">
        <v>113</v>
      </c>
      <c r="B115">
        <f ca="1">IF(ROW()-1 &lt;= Params!$B$11, _xlfn.NORM.INV(RAND(), 0, Params!$B$10), "")</f>
        <v>-6.9188444129691135E-2</v>
      </c>
      <c r="C115">
        <f ca="1">Params!$B$1*C114 + (1-Params!$B$1)*(Params!$B$8 + Params!$B$3*K114 + Params!$B$2*J114)</f>
        <v>2.0504782948260709E-2</v>
      </c>
      <c r="D115">
        <v>0.02</v>
      </c>
      <c r="E115">
        <f ca="1">(C115 - D115)/Params!$B$12 + Params!$B$9</f>
        <v>-2.398166480326681E-2</v>
      </c>
      <c r="F115">
        <f ca="1">Params!$B$6*F114 + B115</f>
        <v>-7.1255082820164309E-2</v>
      </c>
      <c r="G115">
        <f ca="1">H115 + Params!$B$5*(E115 + I115 - L114) - Params!$B$6*(C115 - Params!$B$8)</f>
        <v>-2.983527654470893E-3</v>
      </c>
      <c r="H115">
        <v>0</v>
      </c>
      <c r="I115">
        <v>0</v>
      </c>
      <c r="J115">
        <f t="shared" ca="1" si="13"/>
        <v>6.8271555165693415E-2</v>
      </c>
      <c r="K115">
        <f ca="1">Params!$B$6*J115</f>
        <v>6.8271555165693417E-3</v>
      </c>
      <c r="L115">
        <f t="shared" ca="1" si="14"/>
        <v>1.217598430975075E-2</v>
      </c>
      <c r="M115">
        <f t="shared" ca="1" si="9"/>
        <v>-3.6157649113017561E-2</v>
      </c>
      <c r="N115">
        <f t="shared" ca="1" si="10"/>
        <v>1.3677627431691368E-2</v>
      </c>
      <c r="O115">
        <f t="shared" ca="1" si="11"/>
        <v>-7.0219191079485016E-2</v>
      </c>
    </row>
    <row r="116" spans="1:15" x14ac:dyDescent="0.25">
      <c r="A116">
        <v>114</v>
      </c>
      <c r="B116">
        <f ca="1">IF(ROW()-1 &lt;= Params!$B$11, _xlfn.NORM.INV(RAND(), 0, Params!$B$10), "")</f>
        <v>6.1790517641531206E-2</v>
      </c>
      <c r="C116">
        <f ca="1">Params!$B$1*C115 + (1-Params!$B$1)*(Params!$B$8 + Params!$B$3*K115 + Params!$B$2*J115)</f>
        <v>2.4209240187547776E-2</v>
      </c>
      <c r="D116">
        <v>0.02</v>
      </c>
      <c r="E116">
        <f ca="1">(C116 - D116)/Params!$B$12 + Params!$B$9</f>
        <v>-0.19997622265575266</v>
      </c>
      <c r="F116">
        <f ca="1">Params!$B$6*F115 + B116</f>
        <v>5.4665009359514773E-2</v>
      </c>
      <c r="G116">
        <f ca="1">H116 + Params!$B$5*(E116 + I116 - L115) - Params!$B$6*(C116 - Params!$B$8)</f>
        <v>-2.163614471530512E-2</v>
      </c>
      <c r="H116">
        <v>0</v>
      </c>
      <c r="I116">
        <v>0</v>
      </c>
      <c r="J116">
        <f t="shared" ca="1" si="13"/>
        <v>-7.6301154074819896E-2</v>
      </c>
      <c r="K116">
        <f ca="1">Params!$B$6*J116</f>
        <v>-7.6301154074819898E-3</v>
      </c>
      <c r="L116">
        <f t="shared" ca="1" si="14"/>
        <v>4.5458689022687604E-3</v>
      </c>
      <c r="M116">
        <f t="shared" ca="1" si="9"/>
        <v>-0.20452209155802142</v>
      </c>
      <c r="N116">
        <f t="shared" ca="1" si="10"/>
        <v>3.1839355595029768E-2</v>
      </c>
      <c r="O116">
        <f t="shared" ca="1" si="11"/>
        <v>-0.17599455785248586</v>
      </c>
    </row>
    <row r="117" spans="1:15" x14ac:dyDescent="0.25">
      <c r="A117">
        <v>115</v>
      </c>
      <c r="B117">
        <f ca="1">IF(ROW()-1 &lt;= Params!$B$11, _xlfn.NORM.INV(RAND(), 0, Params!$B$10), "")</f>
        <v>2.0615857006373774E-2</v>
      </c>
      <c r="C117">
        <f ca="1">Params!$B$1*C116 + (1-Params!$B$1)*(Params!$B$8 + Params!$B$3*K116 + Params!$B$2*J116)</f>
        <v>1.9591752694677906E-2</v>
      </c>
      <c r="D117">
        <v>0.02</v>
      </c>
      <c r="E117">
        <f ca="1">(C117 - D117)/Params!$B$12 + Params!$B$9</f>
        <v>1.9395366001972909E-2</v>
      </c>
      <c r="F117">
        <f ca="1">Params!$B$6*F116 + B117</f>
        <v>2.6082357942325253E-2</v>
      </c>
      <c r="G117">
        <f ca="1">H117 + Params!$B$5*(E117 + I117 - L116) - Params!$B$6*(C117 - Params!$B$8)</f>
        <v>1.5257744405026243E-3</v>
      </c>
      <c r="H117">
        <v>0</v>
      </c>
      <c r="I117">
        <v>0</v>
      </c>
      <c r="J117">
        <f t="shared" ca="1" si="13"/>
        <v>-2.4556583501822628E-2</v>
      </c>
      <c r="K117">
        <f ca="1">Params!$B$6*J117</f>
        <v>-2.4556583501822628E-3</v>
      </c>
      <c r="L117">
        <f t="shared" ca="1" si="14"/>
        <v>2.0902105520864975E-3</v>
      </c>
      <c r="M117">
        <f t="shared" ca="1" si="9"/>
        <v>1.7305155449886412E-2</v>
      </c>
      <c r="N117">
        <f t="shared" ca="1" si="10"/>
        <v>2.2047411044860167E-2</v>
      </c>
      <c r="O117">
        <f t="shared" ca="1" si="11"/>
        <v>0.21937158865772557</v>
      </c>
    </row>
    <row r="118" spans="1:15" x14ac:dyDescent="0.25">
      <c r="A118">
        <v>116</v>
      </c>
      <c r="B118">
        <f ca="1">IF(ROW()-1 &lt;= Params!$B$11, _xlfn.NORM.INV(RAND(), 0, Params!$B$10), "")</f>
        <v>4.0925176161946374E-2</v>
      </c>
      <c r="C118">
        <f ca="1">Params!$B$1*C117 + (1-Params!$B$1)*(Params!$B$8 + Params!$B$3*K117 + Params!$B$2*J117)</f>
        <v>1.8281965332609871E-2</v>
      </c>
      <c r="D118">
        <v>0.02</v>
      </c>
      <c r="E118">
        <f ca="1">(C118 - D118)/Params!$B$12 + Params!$B$9</f>
        <v>8.1621876602025328E-2</v>
      </c>
      <c r="F118">
        <f ca="1">Params!$B$6*F117 + B118</f>
        <v>4.3533411956178901E-2</v>
      </c>
      <c r="G118">
        <f ca="1">H118 + Params!$B$5*(E118 + I118 - L117) - Params!$B$6*(C118 - Params!$B$8)</f>
        <v>8.1249700717328979E-3</v>
      </c>
      <c r="H118">
        <v>0</v>
      </c>
      <c r="I118">
        <v>0</v>
      </c>
      <c r="J118">
        <f t="shared" ca="1" si="13"/>
        <v>-3.5408441884446001E-2</v>
      </c>
      <c r="K118">
        <f ca="1">Params!$B$6*J118</f>
        <v>-3.5408441884446002E-3</v>
      </c>
      <c r="L118">
        <f t="shared" ca="1" si="14"/>
        <v>-1.4506336363581027E-3</v>
      </c>
      <c r="M118">
        <f t="shared" ca="1" si="9"/>
        <v>8.3072510238383426E-2</v>
      </c>
      <c r="N118">
        <f t="shared" ca="1" si="10"/>
        <v>2.1822809521054472E-2</v>
      </c>
      <c r="O118">
        <f t="shared" ca="1" si="11"/>
        <v>6.2226510600052423E-2</v>
      </c>
    </row>
    <row r="119" spans="1:15" x14ac:dyDescent="0.25">
      <c r="A119">
        <v>117</v>
      </c>
      <c r="B119">
        <f ca="1">IF(ROW()-1 &lt;= Params!$B$11, _xlfn.NORM.INV(RAND(), 0, Params!$B$10), "")</f>
        <v>5.133155309515515E-2</v>
      </c>
      <c r="C119">
        <f ca="1">Params!$B$1*C118 + (1-Params!$B$1)*(Params!$B$8 + Params!$B$3*K118 + Params!$B$2*J118)</f>
        <v>1.6506304495704352E-2</v>
      </c>
      <c r="D119">
        <v>0.02</v>
      </c>
      <c r="E119">
        <f ca="1">(C119 - D119)/Params!$B$12 + Params!$B$9</f>
        <v>0.16598150709604731</v>
      </c>
      <c r="F119">
        <f ca="1">Params!$B$6*F118 + B119</f>
        <v>5.5684894290773043E-2</v>
      </c>
      <c r="G119">
        <f ca="1">H119 + Params!$B$5*(E119 + I119 - L118) - Params!$B$6*(C119 - Params!$B$8)</f>
        <v>1.7092583623670107E-2</v>
      </c>
      <c r="H119">
        <v>0</v>
      </c>
      <c r="I119">
        <v>0</v>
      </c>
      <c r="J119">
        <f t="shared" ca="1" si="13"/>
        <v>-3.8592310667102933E-2</v>
      </c>
      <c r="K119">
        <f ca="1">Params!$B$6*J119</f>
        <v>-3.8592310667102934E-3</v>
      </c>
      <c r="L119">
        <f t="shared" ca="1" si="14"/>
        <v>-5.3098647030683961E-3</v>
      </c>
      <c r="M119">
        <f t="shared" ca="1" si="9"/>
        <v>0.17129137179911572</v>
      </c>
      <c r="N119">
        <f t="shared" ca="1" si="10"/>
        <v>2.0365535562414647E-2</v>
      </c>
      <c r="O119">
        <f t="shared" ca="1" si="11"/>
        <v>8.4359630494021981E-2</v>
      </c>
    </row>
    <row r="120" spans="1:15" x14ac:dyDescent="0.25">
      <c r="A120">
        <v>118</v>
      </c>
      <c r="B120">
        <f ca="1">IF(ROW()-1 &lt;= Params!$B$11, _xlfn.NORM.INV(RAND(), 0, Params!$B$10), "")</f>
        <v>-3.8687924692439569E-2</v>
      </c>
      <c r="C120">
        <f ca="1">Params!$B$1*C119 + (1-Params!$B$1)*(Params!$B$8 + Params!$B$3*K119 + Params!$B$2*J119)</f>
        <v>1.4733096959443255E-2</v>
      </c>
      <c r="D120">
        <v>0.02</v>
      </c>
      <c r="E120">
        <f ca="1">(C120 - D120)/Params!$B$12 + Params!$B$9</f>
        <v>0.25022458406162923</v>
      </c>
      <c r="F120">
        <f ca="1">Params!$B$6*F119 + B120</f>
        <v>-3.3119435263362265E-2</v>
      </c>
      <c r="G120">
        <f ca="1">H120 + Params!$B$5*(E120 + I120 - L119) - Params!$B$6*(C120 - Params!$B$8)</f>
        <v>2.6080135180525439E-2</v>
      </c>
      <c r="H120">
        <v>0</v>
      </c>
      <c r="I120">
        <v>0</v>
      </c>
      <c r="J120">
        <f t="shared" ca="1" si="13"/>
        <v>5.9199570443887704E-2</v>
      </c>
      <c r="K120">
        <f ca="1">Params!$B$6*J120</f>
        <v>5.9199570443887704E-3</v>
      </c>
      <c r="L120">
        <f t="shared" ca="1" si="14"/>
        <v>6.1009234132037432E-4</v>
      </c>
      <c r="M120">
        <f t="shared" ca="1" si="9"/>
        <v>0.24961449172030886</v>
      </c>
      <c r="N120">
        <f t="shared" ca="1" si="10"/>
        <v>8.8131399150544847E-3</v>
      </c>
      <c r="O120">
        <f t="shared" ca="1" si="11"/>
        <v>8.424307696558192E-2</v>
      </c>
    </row>
    <row r="121" spans="1:15" x14ac:dyDescent="0.25">
      <c r="A121">
        <v>119</v>
      </c>
      <c r="B121">
        <f ca="1">IF(ROW()-1 &lt;= Params!$B$11, _xlfn.NORM.INV(RAND(), 0, Params!$B$10), "")</f>
        <v>5.5472910162760345E-3</v>
      </c>
      <c r="C121">
        <f ca="1">Params!$B$1*C120 + (1-Params!$B$1)*(Params!$B$8 + Params!$B$3*K120 + Params!$B$2*J120)</f>
        <v>1.8515763637912751E-2</v>
      </c>
      <c r="D121">
        <v>0.02</v>
      </c>
      <c r="E121">
        <f ca="1">(C121 - D121)/Params!$B$12 + Params!$B$9</f>
        <v>7.0514384542983546E-2</v>
      </c>
      <c r="F121">
        <f ca="1">Params!$B$6*F120 + B121</f>
        <v>2.2353474899398078E-3</v>
      </c>
      <c r="G121">
        <f ca="1">H121 + Params!$B$5*(E121 + I121 - L120) - Params!$B$6*(C121 - Params!$B$8)</f>
        <v>7.1388528563750414E-3</v>
      </c>
      <c r="H121">
        <v>0</v>
      </c>
      <c r="I121">
        <v>0</v>
      </c>
      <c r="J121">
        <f t="shared" ca="1" si="13"/>
        <v>4.9035053664352336E-3</v>
      </c>
      <c r="K121">
        <f ca="1">Params!$B$6*J121</f>
        <v>4.9035053664352342E-4</v>
      </c>
      <c r="L121">
        <f t="shared" ca="1" si="14"/>
        <v>1.1004428779638979E-3</v>
      </c>
      <c r="M121">
        <f t="shared" ca="1" si="9"/>
        <v>6.9413941665019643E-2</v>
      </c>
      <c r="N121">
        <f t="shared" ca="1" si="10"/>
        <v>1.802541310126923E-2</v>
      </c>
      <c r="O121">
        <f t="shared" ca="1" si="11"/>
        <v>-0.1797101995186457</v>
      </c>
    </row>
    <row r="122" spans="1:15" x14ac:dyDescent="0.25">
      <c r="A122">
        <v>120</v>
      </c>
      <c r="B122">
        <f ca="1">IF(ROW()-1 &lt;= Params!$B$11, _xlfn.NORM.INV(RAND(), 0, Params!$B$10), "")</f>
        <v>-1.2121554184838167E-2</v>
      </c>
      <c r="C122">
        <f ca="1">Params!$B$1*C121 + (1-Params!$B$1)*(Params!$B$8 + Params!$B$3*K121 + Params!$B$2*J121)</f>
        <v>1.8933880069275412E-2</v>
      </c>
      <c r="D122">
        <v>0.02</v>
      </c>
      <c r="E122">
        <f ca="1">(C122 - D122)/Params!$B$12 + Params!$B$9</f>
        <v>5.0650147567017655E-2</v>
      </c>
      <c r="F122">
        <f ca="1">Params!$B$6*F121 + B122</f>
        <v>-1.1898019435844186E-2</v>
      </c>
      <c r="G122">
        <f ca="1">H122 + Params!$B$5*(E122 + I122 - L121) - Params!$B$6*(C122 - Params!$B$8)</f>
        <v>5.0615824619778347E-3</v>
      </c>
      <c r="H122">
        <v>0</v>
      </c>
      <c r="I122">
        <v>0</v>
      </c>
      <c r="J122">
        <f t="shared" ca="1" si="13"/>
        <v>1.6959601897822023E-2</v>
      </c>
      <c r="K122">
        <f ca="1">Params!$B$6*J122</f>
        <v>1.6959601897822024E-3</v>
      </c>
      <c r="L122">
        <f t="shared" ca="1" si="14"/>
        <v>2.7964030677461002E-3</v>
      </c>
      <c r="M122">
        <f t="shared" ca="1" si="9"/>
        <v>4.7853744499271551E-2</v>
      </c>
      <c r="N122">
        <f t="shared" ca="1" si="10"/>
        <v>1.7237919879493208E-2</v>
      </c>
      <c r="O122">
        <f t="shared" ca="1" si="11"/>
        <v>-1.9864236975965892E-2</v>
      </c>
    </row>
    <row r="123" spans="1:15" x14ac:dyDescent="0.25">
      <c r="A123">
        <v>121</v>
      </c>
      <c r="B123">
        <f ca="1">IF(ROW()-1 &lt;= Params!$B$11, _xlfn.NORM.INV(RAND(), 0, Params!$B$10), "")</f>
        <v>5.5404657457648936E-2</v>
      </c>
      <c r="C123">
        <f ca="1">Params!$B$1*C122 + (1-Params!$B$1)*(Params!$B$8 + Params!$B$3*K122 + Params!$B$2*J122)</f>
        <v>1.9973270166728081E-2</v>
      </c>
      <c r="D123">
        <v>0.02</v>
      </c>
      <c r="E123">
        <f ca="1">(C123 - D123)/Params!$B$12 + Params!$B$9</f>
        <v>1.2699040329771916E-3</v>
      </c>
      <c r="F123">
        <f ca="1">Params!$B$6*F122 + B123</f>
        <v>5.4214855514064519E-2</v>
      </c>
      <c r="G123">
        <f ca="1">H123 + Params!$B$5*(E123 + I123 - L122) - Params!$B$6*(C123 - Params!$B$8)</f>
        <v>-1.4997692014969891E-4</v>
      </c>
      <c r="H123">
        <v>0</v>
      </c>
      <c r="I123">
        <v>0</v>
      </c>
      <c r="J123">
        <f t="shared" ca="1" si="13"/>
        <v>-5.4364832434214215E-2</v>
      </c>
      <c r="K123">
        <f ca="1">Params!$B$6*J123</f>
        <v>-5.4364832434214217E-3</v>
      </c>
      <c r="L123">
        <f t="shared" ca="1" si="14"/>
        <v>-2.6400801756753215E-3</v>
      </c>
      <c r="M123">
        <f t="shared" ca="1" si="9"/>
        <v>3.9099842086525128E-3</v>
      </c>
      <c r="N123">
        <f t="shared" ca="1" si="10"/>
        <v>2.5409753410149501E-2</v>
      </c>
      <c r="O123">
        <f t="shared" ca="1" si="11"/>
        <v>-4.9380243534040462E-2</v>
      </c>
    </row>
    <row r="124" spans="1:15" x14ac:dyDescent="0.25">
      <c r="A124">
        <v>122</v>
      </c>
      <c r="B124">
        <f ca="1">IF(ROW()-1 &lt;= Params!$B$11, _xlfn.NORM.INV(RAND(), 0, Params!$B$10), "")</f>
        <v>1.0228979555152961E-2</v>
      </c>
      <c r="C124">
        <f ca="1">Params!$B$1*C123 + (1-Params!$B$1)*(Params!$B$8 + Params!$B$3*K123 + Params!$B$2*J123)</f>
        <v>1.6985877366173491E-2</v>
      </c>
      <c r="D124">
        <v>0.02</v>
      </c>
      <c r="E124">
        <f ca="1">(C124 - D124)/Params!$B$12 + Params!$B$9</f>
        <v>0.14319754446823008</v>
      </c>
      <c r="F124">
        <f ca="1">Params!$B$6*F123 + B124</f>
        <v>1.5650465106559413E-2</v>
      </c>
      <c r="G124">
        <f ca="1">H124 + Params!$B$5*(E124 + I124 - L123) - Params!$B$6*(C124 - Params!$B$8)</f>
        <v>1.4885174727773192E-2</v>
      </c>
      <c r="H124">
        <v>0</v>
      </c>
      <c r="I124">
        <v>0</v>
      </c>
      <c r="J124">
        <f t="shared" ca="1" si="13"/>
        <v>-7.6529037878622121E-4</v>
      </c>
      <c r="K124">
        <f ca="1">Params!$B$6*J124</f>
        <v>-7.6529037878622126E-5</v>
      </c>
      <c r="L124">
        <f t="shared" ca="1" si="14"/>
        <v>-2.7166092135539437E-3</v>
      </c>
      <c r="M124">
        <f t="shared" ca="1" si="9"/>
        <v>0.14591415368178401</v>
      </c>
      <c r="N124">
        <f t="shared" ca="1" si="10"/>
        <v>1.7062406404052113E-2</v>
      </c>
      <c r="O124">
        <f t="shared" ca="1" si="11"/>
        <v>0.14192764043525288</v>
      </c>
    </row>
    <row r="125" spans="1:15" x14ac:dyDescent="0.25">
      <c r="A125">
        <v>123</v>
      </c>
      <c r="B125">
        <f ca="1">IF(ROW()-1 &lt;= Params!$B$11, _xlfn.NORM.INV(RAND(), 0, Params!$B$10), "")</f>
        <v>5.3721844653897469E-2</v>
      </c>
      <c r="C125">
        <f ca="1">Params!$B$1*C124 + (1-Params!$B$1)*(Params!$B$8 + Params!$B$3*K124 + Params!$B$2*J124)</f>
        <v>1.7245198658722899E-2</v>
      </c>
      <c r="D125">
        <v>0.02</v>
      </c>
      <c r="E125">
        <f ca="1">(C125 - D125)/Params!$B$12 + Params!$B$9</f>
        <v>0.13087748426077264</v>
      </c>
      <c r="F125">
        <f ca="1">Params!$B$6*F124 + B125</f>
        <v>5.528689116455341E-2</v>
      </c>
      <c r="G125">
        <f ca="1">H125 + Params!$B$5*(E125 + I125 - L124) - Params!$B$6*(C125 - Params!$B$8)</f>
        <v>1.3634889481560369E-2</v>
      </c>
      <c r="H125">
        <v>0</v>
      </c>
      <c r="I125">
        <v>0</v>
      </c>
      <c r="J125">
        <f t="shared" ca="1" si="13"/>
        <v>-4.1652001682993045E-2</v>
      </c>
      <c r="K125">
        <f ca="1">Params!$B$6*J125</f>
        <v>-4.165200168299305E-3</v>
      </c>
      <c r="L125">
        <f t="shared" ca="1" si="14"/>
        <v>-6.8818093818532487E-3</v>
      </c>
      <c r="M125">
        <f t="shared" ca="1" si="9"/>
        <v>0.1377592936426259</v>
      </c>
      <c r="N125">
        <f t="shared" ca="1" si="10"/>
        <v>2.1410398827022205E-2</v>
      </c>
      <c r="O125">
        <f t="shared" ca="1" si="11"/>
        <v>-1.2320060207457434E-2</v>
      </c>
    </row>
    <row r="126" spans="1:15" x14ac:dyDescent="0.25">
      <c r="A126">
        <v>124</v>
      </c>
      <c r="B126">
        <f ca="1">IF(ROW()-1 &lt;= Params!$B$11, _xlfn.NORM.INV(RAND(), 0, Params!$B$10), "")</f>
        <v>-5.5983814886238027E-2</v>
      </c>
      <c r="C126">
        <f ca="1">Params!$B$1*C125 + (1-Params!$B$1)*(Params!$B$8 + Params!$B$3*K125 + Params!$B$2*J125)</f>
        <v>1.5229818700285992E-2</v>
      </c>
      <c r="D126">
        <v>0.02</v>
      </c>
      <c r="E126">
        <f ca="1">(C126 - D126)/Params!$B$12 + Params!$B$9</f>
        <v>0.22662589807108482</v>
      </c>
      <c r="F126">
        <f ca="1">Params!$B$6*F125 + B126</f>
        <v>-5.0455125769782685E-2</v>
      </c>
      <c r="G126">
        <f ca="1">H126 + Params!$B$5*(E126 + I126 - L125) - Params!$B$6*(C126 - Params!$B$8)</f>
        <v>2.382778887526521E-2</v>
      </c>
      <c r="H126">
        <v>0</v>
      </c>
      <c r="I126">
        <v>0</v>
      </c>
      <c r="J126">
        <f t="shared" ca="1" si="13"/>
        <v>7.4282914645047896E-2</v>
      </c>
      <c r="K126">
        <f ca="1">Params!$B$6*J126</f>
        <v>7.4282914645047897E-3</v>
      </c>
      <c r="L126">
        <f t="shared" ca="1" si="14"/>
        <v>5.4648208265154104E-4</v>
      </c>
      <c r="M126">
        <f t="shared" ca="1" si="9"/>
        <v>0.22607941598843329</v>
      </c>
      <c r="N126">
        <f t="shared" ca="1" si="10"/>
        <v>7.8015272357812018E-3</v>
      </c>
      <c r="O126">
        <f t="shared" ca="1" si="11"/>
        <v>9.5748413810312183E-2</v>
      </c>
    </row>
    <row r="127" spans="1:15" x14ac:dyDescent="0.25">
      <c r="A127">
        <v>125</v>
      </c>
      <c r="B127">
        <f ca="1">IF(ROW()-1 &lt;= Params!$B$11, _xlfn.NORM.INV(RAND(), 0, Params!$B$10), "")</f>
        <v>-1.8024493919320685E-2</v>
      </c>
      <c r="C127">
        <f ca="1">Params!$B$1*C126 + (1-Params!$B$1)*(Params!$B$8 + Params!$B$3*K126 + Params!$B$2*J126)</f>
        <v>1.9792397135735024E-2</v>
      </c>
      <c r="D127">
        <v>0.02</v>
      </c>
      <c r="E127">
        <f ca="1">(C127 - D127)/Params!$B$12 + Params!$B$9</f>
        <v>9.8629763944193486E-3</v>
      </c>
      <c r="F127">
        <f ca="1">Params!$B$6*F126 + B127</f>
        <v>-2.3070006496298954E-2</v>
      </c>
      <c r="G127">
        <f ca="1">H127 + Params!$B$5*(E127 + I127 - L126) - Params!$B$6*(C127 - Params!$B$8)</f>
        <v>9.5240971760327843E-4</v>
      </c>
      <c r="H127">
        <v>0</v>
      </c>
      <c r="I127">
        <v>0</v>
      </c>
      <c r="J127">
        <f t="shared" ca="1" si="13"/>
        <v>2.4022416213902234E-2</v>
      </c>
      <c r="K127">
        <f ca="1">Params!$B$6*J127</f>
        <v>2.4022416213902234E-3</v>
      </c>
      <c r="L127">
        <f t="shared" ca="1" si="14"/>
        <v>2.9487237040417644E-3</v>
      </c>
      <c r="M127">
        <f t="shared" ca="1" si="9"/>
        <v>6.9142526903775842E-3</v>
      </c>
      <c r="N127">
        <f t="shared" ca="1" si="10"/>
        <v>1.73901555143448E-2</v>
      </c>
      <c r="O127">
        <f t="shared" ca="1" si="11"/>
        <v>-0.21676292167666547</v>
      </c>
    </row>
    <row r="128" spans="1:15" x14ac:dyDescent="0.25">
      <c r="A128">
        <v>126</v>
      </c>
      <c r="B128">
        <f ca="1">IF(ROW()-1 &lt;= Params!$B$11, _xlfn.NORM.INV(RAND(), 0, Params!$B$10), "")</f>
        <v>1.6405224088504009E-2</v>
      </c>
      <c r="C128">
        <f ca="1">Params!$B$1*C127 + (1-Params!$B$1)*(Params!$B$8 + Params!$B$3*K127 + Params!$B$2*J127)</f>
        <v>2.1134390313926141E-2</v>
      </c>
      <c r="D128">
        <v>0.02</v>
      </c>
      <c r="E128">
        <f ca="1">(C128 - D128)/Params!$B$12 + Params!$B$9</f>
        <v>-5.3893595967110235E-2</v>
      </c>
      <c r="F128">
        <f ca="1">Params!$B$6*F127 + B128</f>
        <v>1.4098223438874114E-2</v>
      </c>
      <c r="G128">
        <f ca="1">H128 + Params!$B$5*(E128 + I128 - L127) - Params!$B$6*(C128 - Params!$B$8)</f>
        <v>-5.7976709985078142E-3</v>
      </c>
      <c r="H128">
        <v>0</v>
      </c>
      <c r="I128">
        <v>0</v>
      </c>
      <c r="J128">
        <f t="shared" ca="1" si="13"/>
        <v>-1.9895894437381927E-2</v>
      </c>
      <c r="K128">
        <f ca="1">Params!$B$6*J128</f>
        <v>-1.9895894437381928E-3</v>
      </c>
      <c r="L128">
        <f t="shared" ca="1" si="14"/>
        <v>9.5913426030357161E-4</v>
      </c>
      <c r="M128">
        <f t="shared" ca="1" si="9"/>
        <v>-5.4852730227413805E-2</v>
      </c>
      <c r="N128">
        <f t="shared" ca="1" si="10"/>
        <v>2.3123979757664333E-2</v>
      </c>
      <c r="O128">
        <f t="shared" ca="1" si="11"/>
        <v>-6.3756572361529582E-2</v>
      </c>
    </row>
    <row r="129" spans="1:15" x14ac:dyDescent="0.25">
      <c r="A129">
        <v>127</v>
      </c>
      <c r="B129">
        <f ca="1">IF(ROW()-1 &lt;= Params!$B$11, _xlfn.NORM.INV(RAND(), 0, Params!$B$10), "")</f>
        <v>5.0715822933845078E-2</v>
      </c>
      <c r="C129">
        <f ca="1">Params!$B$1*C128 + (1-Params!$B$1)*(Params!$B$8 + Params!$B$3*K128 + Params!$B$2*J128)</f>
        <v>1.9926677088477524E-2</v>
      </c>
      <c r="D129">
        <v>0.02</v>
      </c>
      <c r="E129">
        <f ca="1">(C129 - D129)/Params!$B$12 + Params!$B$9</f>
        <v>3.4834882845991857E-3</v>
      </c>
      <c r="F129">
        <f ca="1">Params!$B$6*F128 + B129</f>
        <v>5.2125645277732488E-2</v>
      </c>
      <c r="G129">
        <f ca="1">H129 + Params!$B$5*(E129 + I129 - L128) - Params!$B$6*(C129 - Params!$B$8)</f>
        <v>2.5976769358180906E-4</v>
      </c>
      <c r="H129">
        <v>0</v>
      </c>
      <c r="I129">
        <v>0</v>
      </c>
      <c r="J129">
        <f t="shared" ca="1" si="13"/>
        <v>-5.1865877584150677E-2</v>
      </c>
      <c r="K129">
        <f ca="1">Params!$B$6*J129</f>
        <v>-5.186587758415068E-3</v>
      </c>
      <c r="L129">
        <f t="shared" ca="1" si="14"/>
        <v>-4.2274534981114964E-3</v>
      </c>
      <c r="M129">
        <f t="shared" ca="1" si="9"/>
        <v>7.7109417827106817E-3</v>
      </c>
      <c r="N129">
        <f t="shared" ca="1" si="10"/>
        <v>2.5113264846892594E-2</v>
      </c>
      <c r="O129">
        <f t="shared" ca="1" si="11"/>
        <v>5.7377084251709419E-2</v>
      </c>
    </row>
    <row r="130" spans="1:15" x14ac:dyDescent="0.25">
      <c r="A130">
        <v>128</v>
      </c>
      <c r="B130">
        <f ca="1">IF(ROW()-1 &lt;= Params!$B$11, _xlfn.NORM.INV(RAND(), 0, Params!$B$10), "")</f>
        <v>-4.479689890674559E-2</v>
      </c>
      <c r="C130">
        <f ca="1">Params!$B$1*C129 + (1-Params!$B$1)*(Params!$B$8 + Params!$B$3*K129 + Params!$B$2*J129)</f>
        <v>1.7081386112501484E-2</v>
      </c>
      <c r="D130">
        <v>0.02</v>
      </c>
      <c r="E130">
        <f ca="1">(C130 - D130)/Params!$B$12 + Params!$B$9</f>
        <v>0.13866003235909438</v>
      </c>
      <c r="F130">
        <f ca="1">Params!$B$6*F129 + B130</f>
        <v>-3.9584334378972338E-2</v>
      </c>
      <c r="G130">
        <f ca="1">H130 + Params!$B$5*(E130 + I130 - L129) - Params!$B$6*(C130 - Params!$B$8)</f>
        <v>1.4580609974470438E-2</v>
      </c>
      <c r="H130">
        <v>0</v>
      </c>
      <c r="I130">
        <v>0</v>
      </c>
      <c r="J130">
        <f t="shared" ca="1" si="13"/>
        <v>5.4164944353442775E-2</v>
      </c>
      <c r="K130">
        <f ca="1">Params!$B$6*J130</f>
        <v>5.416494435344278E-3</v>
      </c>
      <c r="L130">
        <f t="shared" ca="1" si="14"/>
        <v>1.1890409372327816E-3</v>
      </c>
      <c r="M130">
        <f t="shared" ca="1" si="9"/>
        <v>0.13747099142186159</v>
      </c>
      <c r="N130">
        <f t="shared" ca="1" si="10"/>
        <v>1.1664891677157205E-2</v>
      </c>
      <c r="O130">
        <f t="shared" ca="1" si="11"/>
        <v>0.1351765440744952</v>
      </c>
    </row>
    <row r="131" spans="1:15" x14ac:dyDescent="0.25">
      <c r="A131">
        <v>129</v>
      </c>
      <c r="B131">
        <f ca="1">IF(ROW()-1 &lt;= Params!$B$11, _xlfn.NORM.INV(RAND(), 0, Params!$B$10), "")</f>
        <v>9.7433132409969023E-2</v>
      </c>
      <c r="C131">
        <f ca="1">Params!$B$1*C130 + (1-Params!$B$1)*(Params!$B$8 + Params!$B$3*K130 + Params!$B$2*J130)</f>
        <v>2.0352319440690689E-2</v>
      </c>
      <c r="D131">
        <v>0.02</v>
      </c>
      <c r="E131">
        <f ca="1">(C131 - D131)/Params!$B$12 + Params!$B$9</f>
        <v>-1.6738296646967427E-2</v>
      </c>
      <c r="F131">
        <f ca="1">Params!$B$6*F130 + B131</f>
        <v>9.3474698972071793E-2</v>
      </c>
      <c r="G131">
        <f ca="1">H131 + Params!$B$5*(E131 + I131 - L130) - Params!$B$6*(C131 - Params!$B$8)</f>
        <v>-1.8279657024890901E-3</v>
      </c>
      <c r="H131">
        <v>0</v>
      </c>
      <c r="I131">
        <v>0</v>
      </c>
      <c r="J131">
        <f t="shared" ca="1" si="13"/>
        <v>-9.5302664674560889E-2</v>
      </c>
      <c r="K131">
        <f ca="1">Params!$B$6*J131</f>
        <v>-9.5302664674560902E-3</v>
      </c>
      <c r="L131">
        <f t="shared" ca="1" si="14"/>
        <v>-8.3412255302233087E-3</v>
      </c>
      <c r="M131">
        <f t="shared" ref="M131:M194" ca="1" si="15">E131+I131-L131</f>
        <v>-8.3970711167441186E-3</v>
      </c>
      <c r="N131">
        <f t="shared" ref="N131:N194" ca="1" si="16">C131-K131</f>
        <v>2.988258590814678E-2</v>
      </c>
      <c r="O131">
        <f t="shared" ca="1" si="11"/>
        <v>-0.15539832900606182</v>
      </c>
    </row>
    <row r="132" spans="1:15" x14ac:dyDescent="0.25">
      <c r="A132">
        <v>130</v>
      </c>
      <c r="B132">
        <f ca="1">IF(ROW()-1 &lt;= Params!$B$11, _xlfn.NORM.INV(RAND(), 0, Params!$B$10), "")</f>
        <v>-1.3644452264398588E-2</v>
      </c>
      <c r="C132">
        <f ca="1">Params!$B$1*C131 + (1-Params!$B$1)*(Params!$B$8 + Params!$B$3*K131 + Params!$B$2*J131)</f>
        <v>1.5075440939520773E-2</v>
      </c>
      <c r="D132">
        <v>0.02</v>
      </c>
      <c r="E132">
        <f ca="1">(C132 - D132)/Params!$B$12 + Params!$B$9</f>
        <v>0.23396021022348004</v>
      </c>
      <c r="F132">
        <f ca="1">Params!$B$6*F131 + B132</f>
        <v>-4.2969823671914088E-3</v>
      </c>
      <c r="G132">
        <f ca="1">H132 + Params!$B$5*(E132 + I132 - L131) - Params!$B$6*(C132 - Params!$B$8)</f>
        <v>2.4722599481418261E-2</v>
      </c>
      <c r="H132">
        <v>0</v>
      </c>
      <c r="I132">
        <v>0</v>
      </c>
      <c r="J132">
        <f t="shared" ca="1" si="13"/>
        <v>2.9019581848609671E-2</v>
      </c>
      <c r="K132">
        <f ca="1">Params!$B$6*J132</f>
        <v>2.9019581848609673E-3</v>
      </c>
      <c r="L132">
        <f t="shared" ca="1" si="14"/>
        <v>-5.4392673453623414E-3</v>
      </c>
      <c r="M132">
        <f t="shared" ca="1" si="15"/>
        <v>0.23939947756884239</v>
      </c>
      <c r="N132">
        <f t="shared" ca="1" si="16"/>
        <v>1.2173482754659806E-2</v>
      </c>
      <c r="O132">
        <f t="shared" ref="O132:O195" ca="1" si="17">E132-E131</f>
        <v>0.25069850687044748</v>
      </c>
    </row>
    <row r="133" spans="1:15" x14ac:dyDescent="0.25">
      <c r="A133">
        <v>131</v>
      </c>
      <c r="B133">
        <f ca="1">IF(ROW()-1 &lt;= Params!$B$11, _xlfn.NORM.INV(RAND(), 0, Params!$B$10), "")</f>
        <v>-6.159098091003911E-2</v>
      </c>
      <c r="C133">
        <f ca="1">Params!$B$1*C132 + (1-Params!$B$1)*(Params!$B$8 + Params!$B$3*K132 + Params!$B$2*J132)</f>
        <v>1.7163973847242227E-2</v>
      </c>
      <c r="D133">
        <v>0.02</v>
      </c>
      <c r="E133">
        <f ca="1">(C133 - D133)/Params!$B$12 + Params!$B$9</f>
        <v>0.13473638284153844</v>
      </c>
      <c r="F133">
        <f ca="1">Params!$B$6*F132 + B133</f>
        <v>-6.2020679146758254E-2</v>
      </c>
      <c r="G133">
        <f ca="1">H133 + Params!$B$5*(E133 + I133 - L132) - Params!$B$6*(C133 - Params!$B$8)</f>
        <v>1.4301167633965857E-2</v>
      </c>
      <c r="H133">
        <v>0</v>
      </c>
      <c r="I133">
        <v>0</v>
      </c>
      <c r="J133">
        <f t="shared" ca="1" si="13"/>
        <v>7.6321846780724109E-2</v>
      </c>
      <c r="K133">
        <f ca="1">Params!$B$6*J133</f>
        <v>7.6321846780724109E-3</v>
      </c>
      <c r="L133">
        <f t="shared" ca="1" si="14"/>
        <v>2.1929173327100695E-3</v>
      </c>
      <c r="M133">
        <f t="shared" ca="1" si="15"/>
        <v>0.13254346550882837</v>
      </c>
      <c r="N133">
        <f t="shared" ca="1" si="16"/>
        <v>9.5317891691698159E-3</v>
      </c>
      <c r="O133">
        <f t="shared" ca="1" si="17"/>
        <v>-9.9223827381941604E-2</v>
      </c>
    </row>
    <row r="134" spans="1:15" x14ac:dyDescent="0.25">
      <c r="A134">
        <v>132</v>
      </c>
      <c r="B134">
        <f ca="1">IF(ROW()-1 &lt;= Params!$B$11, _xlfn.NORM.INV(RAND(), 0, Params!$B$10), "")</f>
        <v>-5.092701480978256E-2</v>
      </c>
      <c r="C134">
        <f ca="1">Params!$B$1*C133 + (1-Params!$B$1)*(Params!$B$8 + Params!$B$3*K133 + Params!$B$2*J133)</f>
        <v>2.1645278035457828E-2</v>
      </c>
      <c r="D134">
        <v>0.02</v>
      </c>
      <c r="E134">
        <f ca="1">(C134 - D134)/Params!$B$12 + Params!$B$9</f>
        <v>-7.8165291617870988E-2</v>
      </c>
      <c r="F134">
        <f ca="1">Params!$B$6*F133 + B134</f>
        <v>-5.7129082724458387E-2</v>
      </c>
      <c r="G134">
        <f ca="1">H134 + Params!$B$5*(E134 + I134 - L133) - Params!$B$6*(C134 - Params!$B$8)</f>
        <v>-8.2003486986038897E-3</v>
      </c>
      <c r="H134">
        <v>0</v>
      </c>
      <c r="I134">
        <v>0</v>
      </c>
      <c r="J134">
        <f t="shared" ca="1" si="13"/>
        <v>4.8928734025854501E-2</v>
      </c>
      <c r="K134">
        <f ca="1">Params!$B$6*J134</f>
        <v>4.8928734025854501E-3</v>
      </c>
      <c r="L134">
        <f t="shared" ca="1" si="14"/>
        <v>7.0857907352955196E-3</v>
      </c>
      <c r="M134">
        <f t="shared" ca="1" si="15"/>
        <v>-8.5251082353166502E-2</v>
      </c>
      <c r="N134">
        <f t="shared" ca="1" si="16"/>
        <v>1.6752404632872378E-2</v>
      </c>
      <c r="O134">
        <f t="shared" ca="1" si="17"/>
        <v>-0.21290167445940944</v>
      </c>
    </row>
    <row r="135" spans="1:15" x14ac:dyDescent="0.25">
      <c r="A135">
        <v>133</v>
      </c>
      <c r="B135">
        <f ca="1">IF(ROW()-1 &lt;= Params!$B$11, _xlfn.NORM.INV(RAND(), 0, Params!$B$10), "")</f>
        <v>1.5788972190022964E-2</v>
      </c>
      <c r="C135">
        <f ca="1">Params!$B$1*C134 + (1-Params!$B$1)*(Params!$B$8 + Params!$B$3*K134 + Params!$B$2*J134)</f>
        <v>2.4171830603334044E-2</v>
      </c>
      <c r="D135">
        <v>0.02</v>
      </c>
      <c r="E135">
        <f ca="1">(C135 - D135)/Params!$B$12 + Params!$B$9</f>
        <v>-0.1981989357800083</v>
      </c>
      <c r="F135">
        <f ca="1">Params!$B$6*F134 + B135</f>
        <v>1.0076063917577125E-2</v>
      </c>
      <c r="G135">
        <f ca="1">H135 + Params!$B$5*(E135 + I135 - L134) - Params!$B$6*(C135 - Params!$B$8)</f>
        <v>-2.0945655711863787E-2</v>
      </c>
      <c r="H135">
        <v>0</v>
      </c>
      <c r="I135">
        <v>0</v>
      </c>
      <c r="J135">
        <f t="shared" ca="1" si="13"/>
        <v>-3.1021719629440912E-2</v>
      </c>
      <c r="K135">
        <f ca="1">Params!$B$6*J135</f>
        <v>-3.1021719629440916E-3</v>
      </c>
      <c r="L135">
        <f t="shared" ca="1" si="14"/>
        <v>3.983618772351428E-3</v>
      </c>
      <c r="M135">
        <f t="shared" ca="1" si="15"/>
        <v>-0.20218255455235973</v>
      </c>
      <c r="N135">
        <f t="shared" ca="1" si="16"/>
        <v>2.7274002566278134E-2</v>
      </c>
      <c r="O135">
        <f t="shared" ca="1" si="17"/>
        <v>-0.12003364416213731</v>
      </c>
    </row>
    <row r="136" spans="1:15" x14ac:dyDescent="0.25">
      <c r="A136">
        <v>134</v>
      </c>
      <c r="B136">
        <f ca="1">IF(ROW()-1 &lt;= Params!$B$11, _xlfn.NORM.INV(RAND(), 0, Params!$B$10), "")</f>
        <v>-6.7597244763808295E-2</v>
      </c>
      <c r="C136">
        <f ca="1">Params!$B$1*C135 + (1-Params!$B$1)*(Params!$B$8 + Params!$B$3*K135 + Params!$B$2*J135)</f>
        <v>2.2048452963381388E-2</v>
      </c>
      <c r="D136">
        <v>0.02</v>
      </c>
      <c r="E136">
        <f ca="1">(C136 - D136)/Params!$B$12 + Params!$B$9</f>
        <v>-9.7319674728194208E-2</v>
      </c>
      <c r="F136">
        <f ca="1">Params!$B$6*F135 + B136</f>
        <v>-6.6589638372050577E-2</v>
      </c>
      <c r="G136">
        <f ca="1">H136 + Params!$B$5*(E136 + I136 - L135) - Params!$B$6*(C136 - Params!$B$8)</f>
        <v>-1.0335174646392702E-2</v>
      </c>
      <c r="H136">
        <v>0</v>
      </c>
      <c r="I136">
        <v>0</v>
      </c>
      <c r="J136">
        <f t="shared" ca="1" si="13"/>
        <v>5.6254463725657872E-2</v>
      </c>
      <c r="K136">
        <f ca="1">Params!$B$6*J136</f>
        <v>5.6254463725657873E-3</v>
      </c>
      <c r="L136">
        <f t="shared" ca="1" si="14"/>
        <v>9.6090651449172153E-3</v>
      </c>
      <c r="M136">
        <f t="shared" ca="1" si="15"/>
        <v>-0.10692873987311143</v>
      </c>
      <c r="N136">
        <f t="shared" ca="1" si="16"/>
        <v>1.6423006590815602E-2</v>
      </c>
      <c r="O136">
        <f t="shared" ca="1" si="17"/>
        <v>0.10087926105181409</v>
      </c>
    </row>
    <row r="137" spans="1:15" x14ac:dyDescent="0.25">
      <c r="A137">
        <v>135</v>
      </c>
      <c r="B137">
        <f ca="1">IF(ROW()-1 &lt;= Params!$B$11, _xlfn.NORM.INV(RAND(), 0, Params!$B$10), "")</f>
        <v>1.0211673161378908E-2</v>
      </c>
      <c r="C137">
        <f ca="1">Params!$B$1*C136 + (1-Params!$B$1)*(Params!$B$8 + Params!$B$3*K136 + Params!$B$2*J136)</f>
        <v>2.4937603171954432E-2</v>
      </c>
      <c r="D137">
        <v>0.02</v>
      </c>
      <c r="E137">
        <f ca="1">(C137 - D137)/Params!$B$12 + Params!$B$9</f>
        <v>-0.23457992115098394</v>
      </c>
      <c r="F137">
        <f ca="1">Params!$B$6*F136 + B137</f>
        <v>3.5527093241738495E-3</v>
      </c>
      <c r="G137">
        <f ca="1">H137 + Params!$B$5*(E137 + I137 - L136) - Params!$B$6*(C137 - Params!$B$8)</f>
        <v>-2.491265894678556E-2</v>
      </c>
      <c r="H137">
        <v>0</v>
      </c>
      <c r="I137">
        <v>0</v>
      </c>
      <c r="J137">
        <f t="shared" ca="1" si="13"/>
        <v>-2.8465368270959409E-2</v>
      </c>
      <c r="K137">
        <f ca="1">Params!$B$6*J137</f>
        <v>-2.846536827095941E-3</v>
      </c>
      <c r="L137">
        <f t="shared" ca="1" si="14"/>
        <v>6.7625283178212748E-3</v>
      </c>
      <c r="M137">
        <f t="shared" ca="1" si="15"/>
        <v>-0.24134244946880523</v>
      </c>
      <c r="N137">
        <f t="shared" ca="1" si="16"/>
        <v>2.7784139999050373E-2</v>
      </c>
      <c r="O137">
        <f t="shared" ca="1" si="17"/>
        <v>-0.13726024642278972</v>
      </c>
    </row>
    <row r="138" spans="1:15" x14ac:dyDescent="0.25">
      <c r="A138">
        <v>136</v>
      </c>
      <c r="B138">
        <f ca="1">IF(ROW()-1 &lt;= Params!$B$11, _xlfn.NORM.INV(RAND(), 0, Params!$B$10), "")</f>
        <v>5.9680585670971037E-2</v>
      </c>
      <c r="C138">
        <f ca="1">Params!$B$1*C137 + (1-Params!$B$1)*(Params!$B$8 + Params!$B$3*K137 + Params!$B$2*J137)</f>
        <v>2.2878247599856225E-2</v>
      </c>
      <c r="D138">
        <v>0.02</v>
      </c>
      <c r="E138">
        <f ca="1">(C138 - D138)/Params!$B$12 + Params!$B$9</f>
        <v>-0.13674227586013729</v>
      </c>
      <c r="F138">
        <f ca="1">Params!$B$6*F137 + B138</f>
        <v>6.0035856603388421E-2</v>
      </c>
      <c r="G138">
        <f ca="1">H138 + Params!$B$5*(E138 + I138 - L137) - Params!$B$6*(C138 - Params!$B$8)</f>
        <v>-1.4638305177781481E-2</v>
      </c>
      <c r="H138">
        <v>0</v>
      </c>
      <c r="I138">
        <v>0</v>
      </c>
      <c r="J138">
        <f t="shared" ca="1" si="13"/>
        <v>-7.4674161781169895E-2</v>
      </c>
      <c r="K138">
        <f ca="1">Params!$B$6*J138</f>
        <v>-7.4674161781169901E-3</v>
      </c>
      <c r="L138">
        <f t="shared" ca="1" si="14"/>
        <v>-7.0488786029571527E-4</v>
      </c>
      <c r="M138">
        <f t="shared" ca="1" si="15"/>
        <v>-0.13603738799984158</v>
      </c>
      <c r="N138">
        <f t="shared" ca="1" si="16"/>
        <v>3.0345663777973216E-2</v>
      </c>
      <c r="O138">
        <f t="shared" ca="1" si="17"/>
        <v>9.7837645290846653E-2</v>
      </c>
    </row>
    <row r="139" spans="1:15" x14ac:dyDescent="0.25">
      <c r="A139">
        <v>137</v>
      </c>
      <c r="B139">
        <f ca="1">IF(ROW()-1 &lt;= Params!$B$11, _xlfn.NORM.INV(RAND(), 0, Params!$B$10), "")</f>
        <v>-2.5802526085753133E-2</v>
      </c>
      <c r="C139">
        <f ca="1">Params!$B$1*C138 + (1-Params!$B$1)*(Params!$B$8 + Params!$B$3*K138 + Params!$B$2*J138)</f>
        <v>1.8483343941906261E-2</v>
      </c>
      <c r="D139">
        <v>0.02</v>
      </c>
      <c r="E139">
        <f ca="1">(C139 - D139)/Params!$B$12 + Params!$B$9</f>
        <v>7.2054607494908454E-2</v>
      </c>
      <c r="F139">
        <f ca="1">Params!$B$6*F138 + B139</f>
        <v>-1.9798940425414292E-2</v>
      </c>
      <c r="G139">
        <f ca="1">H139 + Params!$B$5*(E139 + I139 - L138) - Params!$B$6*(C139 - Params!$B$8)</f>
        <v>7.4276151413297901E-3</v>
      </c>
      <c r="H139">
        <v>0</v>
      </c>
      <c r="I139">
        <v>0</v>
      </c>
      <c r="J139">
        <f t="shared" ca="1" si="13"/>
        <v>2.7226555566744082E-2</v>
      </c>
      <c r="K139">
        <f ca="1">Params!$B$6*J139</f>
        <v>2.7226555566744084E-3</v>
      </c>
      <c r="L139">
        <f t="shared" ca="1" si="14"/>
        <v>2.0177676963786932E-3</v>
      </c>
      <c r="M139">
        <f t="shared" ca="1" si="15"/>
        <v>7.003683979852976E-2</v>
      </c>
      <c r="N139">
        <f t="shared" ca="1" si="16"/>
        <v>1.5760688385231852E-2</v>
      </c>
      <c r="O139">
        <f t="shared" ca="1" si="17"/>
        <v>0.20879688335504576</v>
      </c>
    </row>
    <row r="140" spans="1:15" x14ac:dyDescent="0.25">
      <c r="A140">
        <v>138</v>
      </c>
      <c r="B140">
        <f ca="1">IF(ROW()-1 &lt;= Params!$B$11, _xlfn.NORM.INV(RAND(), 0, Params!$B$10), "")</f>
        <v>5.7282504915204771E-2</v>
      </c>
      <c r="C140">
        <f ca="1">Params!$B$1*C139 + (1-Params!$B$1)*(Params!$B$8 + Params!$B$3*K139 + Params!$B$2*J139)</f>
        <v>2.0132470103886559E-2</v>
      </c>
      <c r="D140">
        <v>0.02</v>
      </c>
      <c r="E140">
        <f ca="1">(C140 - D140)/Params!$B$12 + Params!$B$9</f>
        <v>-6.2935042453545831E-3</v>
      </c>
      <c r="F140">
        <f ca="1">Params!$B$6*F139 + B140</f>
        <v>5.5302610872663339E-2</v>
      </c>
      <c r="G140">
        <f ca="1">H140 + Params!$B$5*(E140 + I140 - L139) - Params!$B$6*(C140 - Params!$B$8)</f>
        <v>-8.4437420456198351E-4</v>
      </c>
      <c r="H140">
        <v>0</v>
      </c>
      <c r="I140">
        <v>0</v>
      </c>
      <c r="J140">
        <f t="shared" ca="1" si="13"/>
        <v>-5.614698507722532E-2</v>
      </c>
      <c r="K140">
        <f ca="1">Params!$B$6*J140</f>
        <v>-5.614698507722532E-3</v>
      </c>
      <c r="L140">
        <f t="shared" ca="1" si="14"/>
        <v>-3.5969308113438388E-3</v>
      </c>
      <c r="M140">
        <f t="shared" ca="1" si="15"/>
        <v>-2.6965734340107443E-3</v>
      </c>
      <c r="N140">
        <f t="shared" ca="1" si="16"/>
        <v>2.5747168611609091E-2</v>
      </c>
      <c r="O140">
        <f t="shared" ca="1" si="17"/>
        <v>-7.8348111740263043E-2</v>
      </c>
    </row>
    <row r="141" spans="1:15" x14ac:dyDescent="0.25">
      <c r="A141">
        <v>139</v>
      </c>
      <c r="B141">
        <f ca="1">IF(ROW()-1 &lt;= Params!$B$11, _xlfn.NORM.INV(RAND(), 0, Params!$B$10), "")</f>
        <v>-1.5993364682909916E-2</v>
      </c>
      <c r="C141">
        <f ca="1">Params!$B$1*C140 + (1-Params!$B$1)*(Params!$B$8 + Params!$B$3*K140 + Params!$B$2*J140)</f>
        <v>1.7031138914250513E-2</v>
      </c>
      <c r="D141">
        <v>0.02</v>
      </c>
      <c r="E141">
        <f ca="1">(C141 - D141)/Params!$B$12 + Params!$B$9</f>
        <v>0.14104721970349676</v>
      </c>
      <c r="F141">
        <f ca="1">Params!$B$6*F140 + B141</f>
        <v>-1.0463103595643581E-2</v>
      </c>
      <c r="G141">
        <f ca="1">H141 + Params!$B$5*(E141 + I141 - L140) - Params!$B$6*(C141 - Params!$B$8)</f>
        <v>1.476130116005901E-2</v>
      </c>
      <c r="H141">
        <v>0</v>
      </c>
      <c r="I141">
        <v>0</v>
      </c>
      <c r="J141">
        <f t="shared" ca="1" si="13"/>
        <v>2.522440475570259E-2</v>
      </c>
      <c r="K141">
        <f ca="1">Params!$B$6*J141</f>
        <v>2.5224404755702593E-3</v>
      </c>
      <c r="L141">
        <f t="shared" ca="1" si="14"/>
        <v>-1.0744903357735795E-3</v>
      </c>
      <c r="M141">
        <f t="shared" ca="1" si="15"/>
        <v>0.14212171003927035</v>
      </c>
      <c r="N141">
        <f t="shared" ca="1" si="16"/>
        <v>1.4508698438680254E-2</v>
      </c>
      <c r="O141">
        <f t="shared" ca="1" si="17"/>
        <v>0.14734072394885134</v>
      </c>
    </row>
    <row r="142" spans="1:15" x14ac:dyDescent="0.25">
      <c r="A142">
        <v>140</v>
      </c>
      <c r="B142">
        <f ca="1">IF(ROW()-1 &lt;= Params!$B$11, _xlfn.NORM.INV(RAND(), 0, Params!$B$10), "")</f>
        <v>-7.5045978394582338E-3</v>
      </c>
      <c r="C142">
        <f ca="1">Params!$B$1*C141 + (1-Params!$B$1)*(Params!$B$8 + Params!$B$3*K141 + Params!$B$2*J141)</f>
        <v>1.8715367284389103E-2</v>
      </c>
      <c r="D142">
        <v>0.02</v>
      </c>
      <c r="E142">
        <f ca="1">(C142 - D142)/Params!$B$12 + Params!$B$9</f>
        <v>6.1031441904371785E-2</v>
      </c>
      <c r="F142">
        <f ca="1">Params!$B$6*F141 + B142</f>
        <v>-8.5509081990225912E-3</v>
      </c>
      <c r="G142">
        <f ca="1">H142 + Params!$B$5*(E142 + I142 - L141) - Params!$B$6*(C142 - Params!$B$8)</f>
        <v>6.3390564955756266E-3</v>
      </c>
      <c r="H142">
        <v>0</v>
      </c>
      <c r="I142">
        <v>0</v>
      </c>
      <c r="J142">
        <f t="shared" ca="1" si="13"/>
        <v>1.4889964694598218E-2</v>
      </c>
      <c r="K142">
        <f ca="1">Params!$B$6*J142</f>
        <v>1.488996469459822E-3</v>
      </c>
      <c r="L142">
        <f t="shared" ca="1" si="14"/>
        <v>4.1450613368624245E-4</v>
      </c>
      <c r="M142">
        <f t="shared" ca="1" si="15"/>
        <v>6.061693577068554E-2</v>
      </c>
      <c r="N142">
        <f t="shared" ca="1" si="16"/>
        <v>1.7226370814929282E-2</v>
      </c>
      <c r="O142">
        <f t="shared" ca="1" si="17"/>
        <v>-8.0015777799124971E-2</v>
      </c>
    </row>
    <row r="143" spans="1:15" x14ac:dyDescent="0.25">
      <c r="A143">
        <v>141</v>
      </c>
      <c r="B143">
        <f ca="1">IF(ROW()-1 &lt;= Params!$B$11, _xlfn.NORM.INV(RAND(), 0, Params!$B$10), "")</f>
        <v>3.7138698698709657E-2</v>
      </c>
      <c r="C143">
        <f ca="1">Params!$B$1*C142 + (1-Params!$B$1)*(Params!$B$8 + Params!$B$3*K142 + Params!$B$2*J142)</f>
        <v>1.9662778614153095E-2</v>
      </c>
      <c r="D143">
        <v>0.02</v>
      </c>
      <c r="E143">
        <f ca="1">(C143 - D143)/Params!$B$12 + Params!$B$9</f>
        <v>1.6021005201817502E-2</v>
      </c>
      <c r="F143">
        <f ca="1">Params!$B$6*F142 + B143</f>
        <v>3.6283607878807397E-2</v>
      </c>
      <c r="G143">
        <f ca="1">H143 + Params!$B$5*(E143 + I143 - L142) - Params!$B$6*(C143 - Params!$B$8)</f>
        <v>1.5943720453978165E-3</v>
      </c>
      <c r="H143">
        <v>0</v>
      </c>
      <c r="I143">
        <v>0</v>
      </c>
      <c r="J143">
        <f t="shared" ca="1" si="13"/>
        <v>-3.4689235833409583E-2</v>
      </c>
      <c r="K143">
        <f ca="1">Params!$B$6*J143</f>
        <v>-3.4689235833409585E-3</v>
      </c>
      <c r="L143">
        <f t="shared" ca="1" si="14"/>
        <v>-3.054417449654716E-3</v>
      </c>
      <c r="M143">
        <f t="shared" ca="1" si="15"/>
        <v>1.9075422651472218E-2</v>
      </c>
      <c r="N143">
        <f t="shared" ca="1" si="16"/>
        <v>2.3131702197494053E-2</v>
      </c>
      <c r="O143">
        <f t="shared" ca="1" si="17"/>
        <v>-4.501043670255428E-2</v>
      </c>
    </row>
    <row r="144" spans="1:15" x14ac:dyDescent="0.25">
      <c r="A144">
        <v>142</v>
      </c>
      <c r="B144">
        <f ca="1">IF(ROW()-1 &lt;= Params!$B$11, _xlfn.NORM.INV(RAND(), 0, Params!$B$10), "")</f>
        <v>1.1644001097747256E-2</v>
      </c>
      <c r="C144">
        <f ca="1">Params!$B$1*C143 + (1-Params!$B$1)*(Params!$B$8 + Params!$B$3*K143 + Params!$B$2*J143)</f>
        <v>1.7788592781900259E-2</v>
      </c>
      <c r="D144">
        <v>0.02</v>
      </c>
      <c r="E144">
        <f ca="1">(C144 - D144)/Params!$B$12 + Params!$B$9</f>
        <v>0.10506144637160436</v>
      </c>
      <c r="F144">
        <f ca="1">Params!$B$6*F143 + B144</f>
        <v>1.5272361885627996E-2</v>
      </c>
      <c r="G144">
        <f ca="1">H144 + Params!$B$5*(E144 + I144 - L143) - Params!$B$6*(C144 - Params!$B$8)</f>
        <v>1.1032727103935883E-2</v>
      </c>
      <c r="H144">
        <v>0</v>
      </c>
      <c r="I144">
        <v>0</v>
      </c>
      <c r="J144">
        <f t="shared" ca="1" si="13"/>
        <v>-4.2396347816921129E-3</v>
      </c>
      <c r="K144">
        <f ca="1">Params!$B$6*J144</f>
        <v>-4.2396347816921133E-4</v>
      </c>
      <c r="L144">
        <f t="shared" ca="1" si="14"/>
        <v>-3.4783809278239276E-3</v>
      </c>
      <c r="M144">
        <f t="shared" ca="1" si="15"/>
        <v>0.10853982729942829</v>
      </c>
      <c r="N144">
        <f t="shared" ca="1" si="16"/>
        <v>1.8212556260069471E-2</v>
      </c>
      <c r="O144">
        <f t="shared" ca="1" si="17"/>
        <v>8.9040441169786863E-2</v>
      </c>
    </row>
    <row r="145" spans="1:15" x14ac:dyDescent="0.25">
      <c r="A145">
        <v>143</v>
      </c>
      <c r="B145">
        <f ca="1">IF(ROW()-1 &lt;= Params!$B$11, _xlfn.NORM.INV(RAND(), 0, Params!$B$10), "")</f>
        <v>-0.10263621870318838</v>
      </c>
      <c r="C145">
        <f ca="1">Params!$B$1*C144 + (1-Params!$B$1)*(Params!$B$8 + Params!$B$3*K144 + Params!$B$2*J144)</f>
        <v>1.777655359071717E-2</v>
      </c>
      <c r="D145">
        <v>0.02</v>
      </c>
      <c r="E145">
        <f ca="1">(C145 - D145)/Params!$B$12 + Params!$B$9</f>
        <v>0.10563341467689299</v>
      </c>
      <c r="F145">
        <f ca="1">Params!$B$6*F144 + B145</f>
        <v>-0.10110898251462558</v>
      </c>
      <c r="G145">
        <f ca="1">H145 + Params!$B$5*(E145 + I145 - L144) - Params!$B$6*(C145 - Params!$B$8)</f>
        <v>1.1133524201399977E-2</v>
      </c>
      <c r="H145">
        <v>0</v>
      </c>
      <c r="I145">
        <v>0</v>
      </c>
      <c r="J145">
        <f t="shared" ca="1" si="13"/>
        <v>0.11224250671602555</v>
      </c>
      <c r="K145">
        <f ca="1">Params!$B$6*J145</f>
        <v>1.1224250671602556E-2</v>
      </c>
      <c r="L145">
        <f t="shared" ca="1" si="14"/>
        <v>7.7458697437786288E-3</v>
      </c>
      <c r="M145">
        <f t="shared" ca="1" si="15"/>
        <v>9.788754493311437E-2</v>
      </c>
      <c r="N145">
        <f t="shared" ca="1" si="16"/>
        <v>6.5523029191146137E-3</v>
      </c>
      <c r="O145">
        <f t="shared" ca="1" si="17"/>
        <v>5.7196830528863374E-4</v>
      </c>
    </row>
    <row r="146" spans="1:15" x14ac:dyDescent="0.25">
      <c r="A146">
        <v>144</v>
      </c>
      <c r="B146">
        <f ca="1">IF(ROW()-1 &lt;= Params!$B$11, _xlfn.NORM.INV(RAND(), 0, Params!$B$10), "")</f>
        <v>-3.8576601648471903E-2</v>
      </c>
      <c r="C146">
        <f ca="1">Params!$B$1*C145 + (1-Params!$B$1)*(Params!$B$8 + Params!$B$3*K145 + Params!$B$2*J145)</f>
        <v>2.417223610102686E-2</v>
      </c>
      <c r="D146">
        <v>0.02</v>
      </c>
      <c r="E146">
        <f ca="1">(C146 - D146)/Params!$B$12 + Params!$B$9</f>
        <v>-0.19821820051504169</v>
      </c>
      <c r="F146">
        <f ca="1">Params!$B$6*F145 + B146</f>
        <v>-4.8687499899934462E-2</v>
      </c>
      <c r="G146">
        <f ca="1">H146 + Params!$B$5*(E146 + I146 - L145) - Params!$B$6*(C146 - Params!$B$8)</f>
        <v>-2.1013630635984718E-2</v>
      </c>
      <c r="H146">
        <v>0</v>
      </c>
      <c r="I146">
        <v>0</v>
      </c>
      <c r="J146">
        <f t="shared" ca="1" si="13"/>
        <v>2.7673869263949744E-2</v>
      </c>
      <c r="K146">
        <f ca="1">Params!$B$6*J146</f>
        <v>2.7673869263949748E-3</v>
      </c>
      <c r="L146">
        <f t="shared" ca="1" si="14"/>
        <v>1.0513256670173603E-2</v>
      </c>
      <c r="M146">
        <f t="shared" ca="1" si="15"/>
        <v>-0.2087314571852153</v>
      </c>
      <c r="N146">
        <f t="shared" ca="1" si="16"/>
        <v>2.1404849174631885E-2</v>
      </c>
      <c r="O146">
        <f t="shared" ca="1" si="17"/>
        <v>-0.30385161519193471</v>
      </c>
    </row>
    <row r="147" spans="1:15" x14ac:dyDescent="0.25">
      <c r="A147">
        <v>145</v>
      </c>
      <c r="B147">
        <f ca="1">IF(ROW()-1 &lt;= Params!$B$11, _xlfn.NORM.INV(RAND(), 0, Params!$B$10), "")</f>
        <v>3.6179014223969408E-2</v>
      </c>
      <c r="C147">
        <f ca="1">Params!$B$1*C146 + (1-Params!$B$1)*(Params!$B$8 + Params!$B$3*K146 + Params!$B$2*J146)</f>
        <v>2.5277075300441407E-2</v>
      </c>
      <c r="D147">
        <v>0.02</v>
      </c>
      <c r="E147">
        <f ca="1">(C147 - D147)/Params!$B$12 + Params!$B$9</f>
        <v>-0.25070785658041422</v>
      </c>
      <c r="F147">
        <f ca="1">Params!$B$6*F146 + B147</f>
        <v>3.1310264233975961E-2</v>
      </c>
      <c r="G147">
        <f ca="1">H147 + Params!$B$5*(E147 + I147 - L146) - Params!$B$6*(C147 - Params!$B$8)</f>
        <v>-2.6649818855102925E-2</v>
      </c>
      <c r="H147">
        <v>0</v>
      </c>
      <c r="I147">
        <v>0</v>
      </c>
      <c r="J147">
        <f t="shared" ca="1" si="13"/>
        <v>-5.7960083089078886E-2</v>
      </c>
      <c r="K147">
        <f ca="1">Params!$B$6*J147</f>
        <v>-5.7960083089078889E-3</v>
      </c>
      <c r="L147">
        <f t="shared" ca="1" si="14"/>
        <v>4.7172483612657138E-3</v>
      </c>
      <c r="M147">
        <f t="shared" ca="1" si="15"/>
        <v>-0.25542510494167991</v>
      </c>
      <c r="N147">
        <f t="shared" ca="1" si="16"/>
        <v>3.1073083609349295E-2</v>
      </c>
      <c r="O147">
        <f t="shared" ca="1" si="17"/>
        <v>-5.2489656065372536E-2</v>
      </c>
    </row>
    <row r="148" spans="1:15" x14ac:dyDescent="0.25">
      <c r="A148">
        <v>146</v>
      </c>
      <c r="B148">
        <f ca="1">IF(ROW()-1 &lt;= Params!$B$11, _xlfn.NORM.INV(RAND(), 0, Params!$B$10), "")</f>
        <v>1.1022537907154882E-3</v>
      </c>
      <c r="C148">
        <f ca="1">Params!$B$1*C147 + (1-Params!$B$1)*(Params!$B$8 + Params!$B$3*K147 + Params!$B$2*J147)</f>
        <v>2.156156320049793E-2</v>
      </c>
      <c r="D148">
        <v>0.02</v>
      </c>
      <c r="E148">
        <f ca="1">(C148 - D148)/Params!$B$12 + Params!$B$9</f>
        <v>-7.4188094848474176E-2</v>
      </c>
      <c r="F148">
        <f ca="1">Params!$B$6*F147 + B148</f>
        <v>4.2332802141130848E-3</v>
      </c>
      <c r="G148">
        <f ca="1">H148 + Params!$B$5*(E148 + I148 - L147) - Params!$B$6*(C148 - Params!$B$8)</f>
        <v>-8.0466906410237831E-3</v>
      </c>
      <c r="H148">
        <v>0</v>
      </c>
      <c r="I148">
        <v>0</v>
      </c>
      <c r="J148">
        <f t="shared" ca="1" si="13"/>
        <v>-1.2279970855136869E-2</v>
      </c>
      <c r="K148">
        <f ca="1">Params!$B$6*J148</f>
        <v>-1.227997085513687E-3</v>
      </c>
      <c r="L148">
        <f t="shared" ca="1" si="14"/>
        <v>3.4892512757520268E-3</v>
      </c>
      <c r="M148">
        <f t="shared" ca="1" si="15"/>
        <v>-7.7677346124226207E-2</v>
      </c>
      <c r="N148">
        <f t="shared" ca="1" si="16"/>
        <v>2.2789560286011618E-2</v>
      </c>
      <c r="O148">
        <f t="shared" ca="1" si="17"/>
        <v>0.17651976173194006</v>
      </c>
    </row>
    <row r="149" spans="1:15" x14ac:dyDescent="0.25">
      <c r="A149">
        <v>147</v>
      </c>
      <c r="B149">
        <f ca="1">IF(ROW()-1 &lt;= Params!$B$11, _xlfn.NORM.INV(RAND(), 0, Params!$B$10), "")</f>
        <v>8.9010857089515866E-2</v>
      </c>
      <c r="C149">
        <f ca="1">Params!$B$1*C148 + (1-Params!$B$1)*(Params!$B$8 + Params!$B$3*K148 + Params!$B$2*J148)</f>
        <v>2.0730008483415611E-2</v>
      </c>
      <c r="D149">
        <v>0.02</v>
      </c>
      <c r="E149">
        <f ca="1">(C149 - D149)/Params!$B$12 + Params!$B$9</f>
        <v>-3.468187428504909E-2</v>
      </c>
      <c r="F149">
        <f ca="1">Params!$B$6*F148 + B149</f>
        <v>8.943418511092717E-2</v>
      </c>
      <c r="G149">
        <f ca="1">H149 + Params!$B$5*(E149 + I149 - L148) - Params!$B$6*(C149 - Params!$B$8)</f>
        <v>-3.890113404421673E-3</v>
      </c>
      <c r="H149">
        <v>0</v>
      </c>
      <c r="I149">
        <v>0</v>
      </c>
      <c r="J149">
        <f t="shared" ca="1" si="13"/>
        <v>-9.3324298515348847E-2</v>
      </c>
      <c r="K149">
        <f ca="1">Params!$B$6*J149</f>
        <v>-9.3324298515348857E-3</v>
      </c>
      <c r="L149">
        <f t="shared" ca="1" si="14"/>
        <v>-5.843178575782859E-3</v>
      </c>
      <c r="M149">
        <f t="shared" ca="1" si="15"/>
        <v>-2.883869570926623E-2</v>
      </c>
      <c r="N149">
        <f t="shared" ca="1" si="16"/>
        <v>3.0062438334950495E-2</v>
      </c>
      <c r="O149">
        <f t="shared" ca="1" si="17"/>
        <v>3.9506220563425086E-2</v>
      </c>
    </row>
    <row r="150" spans="1:15" x14ac:dyDescent="0.25">
      <c r="A150">
        <v>148</v>
      </c>
      <c r="B150">
        <f ca="1">IF(ROW()-1 &lt;= Params!$B$11, _xlfn.NORM.INV(RAND(), 0, Params!$B$10), "")</f>
        <v>1.9104014879158894E-2</v>
      </c>
      <c r="C150">
        <f ca="1">Params!$B$1*C149 + (1-Params!$B$1)*(Params!$B$8 + Params!$B$3*K149 + Params!$B$2*J149)</f>
        <v>1.5524171216729863E-2</v>
      </c>
      <c r="D150">
        <v>0.02</v>
      </c>
      <c r="E150">
        <f ca="1">(C150 - D150)/Params!$B$12 + Params!$B$9</f>
        <v>0.21264154418655312</v>
      </c>
      <c r="F150">
        <f ca="1">Params!$B$6*F149 + B150</f>
        <v>2.8047433390251612E-2</v>
      </c>
      <c r="G150">
        <f ca="1">H150 + Params!$B$5*(E150 + I150 - L149) - Params!$B$6*(C150 - Params!$B$8)</f>
        <v>2.2296055154560613E-2</v>
      </c>
      <c r="H150">
        <v>0</v>
      </c>
      <c r="I150">
        <v>0</v>
      </c>
      <c r="J150">
        <f t="shared" ca="1" si="13"/>
        <v>-5.7513782356909994E-3</v>
      </c>
      <c r="K150">
        <f ca="1">Params!$B$6*J150</f>
        <v>-5.7513782356909994E-4</v>
      </c>
      <c r="L150">
        <f t="shared" ca="1" si="14"/>
        <v>-6.4183163993519589E-3</v>
      </c>
      <c r="M150">
        <f t="shared" ca="1" si="15"/>
        <v>0.21905986058590507</v>
      </c>
      <c r="N150">
        <f t="shared" ca="1" si="16"/>
        <v>1.6099309040298965E-2</v>
      </c>
      <c r="O150">
        <f t="shared" ca="1" si="17"/>
        <v>0.24732341847160222</v>
      </c>
    </row>
    <row r="151" spans="1:15" x14ac:dyDescent="0.25">
      <c r="A151">
        <v>149</v>
      </c>
      <c r="B151">
        <f ca="1">IF(ROW()-1 &lt;= Params!$B$11, _xlfn.NORM.INV(RAND(), 0, Params!$B$10), "")</f>
        <v>3.56009508281179E-2</v>
      </c>
      <c r="C151">
        <f ca="1">Params!$B$1*C150 + (1-Params!$B$1)*(Params!$B$8 + Params!$B$3*K150 + Params!$B$2*J150)</f>
        <v>1.5655428292093872E-2</v>
      </c>
      <c r="D151">
        <v>0.02</v>
      </c>
      <c r="E151">
        <f ca="1">(C151 - D151)/Params!$B$12 + Params!$B$9</f>
        <v>0.20640566954918113</v>
      </c>
      <c r="F151">
        <f ca="1">Params!$B$6*F150 + B151</f>
        <v>3.840569416714306E-2</v>
      </c>
      <c r="G151">
        <f ca="1">H151 + Params!$B$5*(E151 + I151 - L150) - Params!$B$6*(C151 - Params!$B$8)</f>
        <v>2.1716855765643923E-2</v>
      </c>
      <c r="H151">
        <v>0</v>
      </c>
      <c r="I151">
        <v>0</v>
      </c>
      <c r="J151">
        <f t="shared" ca="1" si="13"/>
        <v>-1.6688838401499137E-2</v>
      </c>
      <c r="K151">
        <f ca="1">Params!$B$6*J151</f>
        <v>-1.6688838401499137E-3</v>
      </c>
      <c r="L151">
        <f t="shared" ca="1" si="14"/>
        <v>-8.0872002395018724E-3</v>
      </c>
      <c r="M151">
        <f t="shared" ca="1" si="15"/>
        <v>0.21449286978868301</v>
      </c>
      <c r="N151">
        <f t="shared" ca="1" si="16"/>
        <v>1.7324312132243787E-2</v>
      </c>
      <c r="O151">
        <f t="shared" ca="1" si="17"/>
        <v>-6.2358746373719909E-3</v>
      </c>
    </row>
    <row r="152" spans="1:15" x14ac:dyDescent="0.25">
      <c r="A152">
        <v>150</v>
      </c>
      <c r="B152">
        <f ca="1">IF(ROW()-1 &lt;= Params!$B$11, _xlfn.NORM.INV(RAND(), 0, Params!$B$10), "")</f>
        <v>3.8211675185384715E-2</v>
      </c>
      <c r="C152">
        <f ca="1">Params!$B$1*C151 + (1-Params!$B$1)*(Params!$B$8 + Params!$B$3*K151 + Params!$B$2*J151)</f>
        <v>1.5171999350802034E-2</v>
      </c>
      <c r="D152">
        <v>0.02</v>
      </c>
      <c r="E152">
        <f ca="1">(C152 - D152)/Params!$B$12 + Params!$B$9</f>
        <v>0.22937282972407536</v>
      </c>
      <c r="F152">
        <f ca="1">Params!$B$6*F151 + B152</f>
        <v>4.2052244602099019E-2</v>
      </c>
      <c r="G152">
        <f ca="1">H152 + Params!$B$5*(E152 + I152 - L151) - Params!$B$6*(C152 - Params!$B$8)</f>
        <v>2.4228803061277521E-2</v>
      </c>
      <c r="H152">
        <v>0</v>
      </c>
      <c r="I152">
        <v>0</v>
      </c>
      <c r="J152">
        <f t="shared" ca="1" si="13"/>
        <v>-1.7823441540821498E-2</v>
      </c>
      <c r="K152">
        <f ca="1">Params!$B$6*J152</f>
        <v>-1.7823441540821498E-3</v>
      </c>
      <c r="L152">
        <f t="shared" ca="1" si="14"/>
        <v>-9.8695443935840222E-3</v>
      </c>
      <c r="M152">
        <f t="shared" ca="1" si="15"/>
        <v>0.23924237411765939</v>
      </c>
      <c r="N152">
        <f t="shared" ca="1" si="16"/>
        <v>1.6954343504884183E-2</v>
      </c>
      <c r="O152">
        <f t="shared" ca="1" si="17"/>
        <v>2.2967160174894224E-2</v>
      </c>
    </row>
    <row r="153" spans="1:15" x14ac:dyDescent="0.25">
      <c r="A153">
        <v>151</v>
      </c>
      <c r="B153">
        <f ca="1">IF(ROW()-1 &lt;= Params!$B$11, _xlfn.NORM.INV(RAND(), 0, Params!$B$10), "")</f>
        <v>1.2496929044904459E-2</v>
      </c>
      <c r="C153">
        <f ca="1">Params!$B$1*C152 + (1-Params!$B$1)*(Params!$B$8 + Params!$B$3*K152 + Params!$B$2*J152)</f>
        <v>1.4674510130976648E-2</v>
      </c>
      <c r="D153">
        <v>0.02</v>
      </c>
      <c r="E153">
        <f ca="1">(C153 - D153)/Params!$B$12 + Params!$B$9</f>
        <v>0.25300797776978395</v>
      </c>
      <c r="F153">
        <f ca="1">Params!$B$6*F152 + B153</f>
        <v>1.6702153505114361E-2</v>
      </c>
      <c r="G153">
        <f ca="1">H153 + Params!$B$5*(E153 + I153 - L152) - Params!$B$6*(C153 - Params!$B$8)</f>
        <v>2.6820301203239132E-2</v>
      </c>
      <c r="H153">
        <v>0</v>
      </c>
      <c r="I153">
        <v>0</v>
      </c>
      <c r="J153">
        <f t="shared" ca="1" si="13"/>
        <v>1.0118147698124771E-2</v>
      </c>
      <c r="K153">
        <f ca="1">Params!$B$6*J153</f>
        <v>1.0118147698124772E-3</v>
      </c>
      <c r="L153">
        <f t="shared" ca="1" si="14"/>
        <v>-8.8577296237715448E-3</v>
      </c>
      <c r="M153">
        <f t="shared" ca="1" si="15"/>
        <v>0.26186570739355552</v>
      </c>
      <c r="N153">
        <f t="shared" ca="1" si="16"/>
        <v>1.366269536116417E-2</v>
      </c>
      <c r="O153">
        <f t="shared" ca="1" si="17"/>
        <v>2.3635148045708598E-2</v>
      </c>
    </row>
    <row r="154" spans="1:15" x14ac:dyDescent="0.25">
      <c r="A154">
        <v>152</v>
      </c>
      <c r="B154">
        <f ca="1">IF(ROW()-1 &lt;= Params!$B$11, _xlfn.NORM.INV(RAND(), 0, Params!$B$10), "")</f>
        <v>-4.0508341410506472E-2</v>
      </c>
      <c r="C154">
        <f ca="1">Params!$B$1*C153 + (1-Params!$B$1)*(Params!$B$8 + Params!$B$3*K153 + Params!$B$2*J153)</f>
        <v>1.5763557241275844E-2</v>
      </c>
      <c r="D154">
        <v>0.02</v>
      </c>
      <c r="E154">
        <f ca="1">(C154 - D154)/Params!$B$12 + Params!$B$9</f>
        <v>0.2012685859298822</v>
      </c>
      <c r="F154">
        <f ca="1">Params!$B$6*F153 + B154</f>
        <v>-3.8838126059995037E-2</v>
      </c>
      <c r="G154">
        <f ca="1">H154 + Params!$B$5*(E154 + I154 - L153) - Params!$B$6*(C154 - Params!$B$8)</f>
        <v>2.1436275831237792E-2</v>
      </c>
      <c r="H154">
        <v>0</v>
      </c>
      <c r="I154">
        <v>0</v>
      </c>
      <c r="J154">
        <f t="shared" ca="1" si="13"/>
        <v>6.0274401891232829E-2</v>
      </c>
      <c r="K154">
        <f ca="1">Params!$B$6*J154</f>
        <v>6.0274401891232832E-3</v>
      </c>
      <c r="L154">
        <f t="shared" ca="1" si="14"/>
        <v>-2.8302894346482615E-3</v>
      </c>
      <c r="M154">
        <f t="shared" ca="1" si="15"/>
        <v>0.20409887536453047</v>
      </c>
      <c r="N154">
        <f t="shared" ca="1" si="16"/>
        <v>9.7361170521525608E-3</v>
      </c>
      <c r="O154">
        <f t="shared" ca="1" si="17"/>
        <v>-5.1739391839901755E-2</v>
      </c>
    </row>
    <row r="155" spans="1:15" x14ac:dyDescent="0.25">
      <c r="A155">
        <v>153</v>
      </c>
      <c r="B155">
        <f ca="1">IF(ROW()-1 &lt;= Params!$B$11, _xlfn.NORM.INV(RAND(), 0, Params!$B$10), "")</f>
        <v>8.0412448024030789E-2</v>
      </c>
      <c r="C155">
        <f ca="1">Params!$B$1*C154 + (1-Params!$B$1)*(Params!$B$8 + Params!$B$3*K154 + Params!$B$2*J154)</f>
        <v>1.9502293621166063E-2</v>
      </c>
      <c r="D155">
        <v>0.02</v>
      </c>
      <c r="E155">
        <f ca="1">(C155 - D155)/Params!$B$12 + Params!$B$9</f>
        <v>2.364546502366921E-2</v>
      </c>
      <c r="F155">
        <f ca="1">Params!$B$6*F154 + B155</f>
        <v>7.6528635418031288E-2</v>
      </c>
      <c r="G155">
        <f ca="1">H155 + Params!$B$5*(E155 + I155 - L154) - Params!$B$6*(C155 - Params!$B$8)</f>
        <v>2.6973460837151414E-3</v>
      </c>
      <c r="H155">
        <v>0</v>
      </c>
      <c r="I155">
        <v>0</v>
      </c>
      <c r="J155">
        <f t="shared" ca="1" si="13"/>
        <v>-7.3831289334316152E-2</v>
      </c>
      <c r="K155">
        <f ca="1">Params!$B$6*J155</f>
        <v>-7.3831289334316159E-3</v>
      </c>
      <c r="L155">
        <f t="shared" ca="1" si="14"/>
        <v>-1.0213418368079877E-2</v>
      </c>
      <c r="M155">
        <f t="shared" ca="1" si="15"/>
        <v>3.3858883391749084E-2</v>
      </c>
      <c r="N155">
        <f t="shared" ca="1" si="16"/>
        <v>2.6885422554597679E-2</v>
      </c>
      <c r="O155">
        <f t="shared" ca="1" si="17"/>
        <v>-0.17762312090621299</v>
      </c>
    </row>
    <row r="156" spans="1:15" x14ac:dyDescent="0.25">
      <c r="A156">
        <v>154</v>
      </c>
      <c r="B156">
        <f ca="1">IF(ROW()-1 &lt;= Params!$B$11, _xlfn.NORM.INV(RAND(), 0, Params!$B$10), "")</f>
        <v>-1.7212042561117431E-2</v>
      </c>
      <c r="C156">
        <f ca="1">Params!$B$1*C155 + (1-Params!$B$1)*(Params!$B$8 + Params!$B$3*K155 + Params!$B$2*J155)</f>
        <v>1.549134334566207E-2</v>
      </c>
      <c r="D156">
        <v>0.02</v>
      </c>
      <c r="E156">
        <f ca="1">(C156 - D156)/Params!$B$12 + Params!$B$9</f>
        <v>0.21420115907224865</v>
      </c>
      <c r="F156">
        <f ca="1">Params!$B$6*F155 + B156</f>
        <v>-9.5591790193143011E-3</v>
      </c>
      <c r="G156">
        <f ca="1">H156 + Params!$B$5*(E156 + I156 - L155) - Params!$B$6*(C156 - Params!$B$8)</f>
        <v>2.2892323409466647E-2</v>
      </c>
      <c r="H156">
        <v>0</v>
      </c>
      <c r="I156">
        <v>0</v>
      </c>
      <c r="J156">
        <f t="shared" ca="1" si="13"/>
        <v>3.2451502428780948E-2</v>
      </c>
      <c r="K156">
        <f ca="1">Params!$B$6*J156</f>
        <v>3.2451502428780948E-3</v>
      </c>
      <c r="L156">
        <f t="shared" ca="1" si="14"/>
        <v>-6.9682681252017827E-3</v>
      </c>
      <c r="M156">
        <f t="shared" ca="1" si="15"/>
        <v>0.22116942719745045</v>
      </c>
      <c r="N156">
        <f t="shared" ca="1" si="16"/>
        <v>1.2246193102783975E-2</v>
      </c>
      <c r="O156">
        <f t="shared" ca="1" si="17"/>
        <v>0.19055569404857944</v>
      </c>
    </row>
    <row r="157" spans="1:15" x14ac:dyDescent="0.25">
      <c r="A157">
        <v>155</v>
      </c>
      <c r="B157">
        <f ca="1">IF(ROW()-1 &lt;= Params!$B$11, _xlfn.NORM.INV(RAND(), 0, Params!$B$10), "")</f>
        <v>-3.5219577260781697E-2</v>
      </c>
      <c r="C157">
        <f ca="1">Params!$B$1*C156 + (1-Params!$B$1)*(Params!$B$8 + Params!$B$3*K156 + Params!$B$2*J156)</f>
        <v>1.7727041644678813E-2</v>
      </c>
      <c r="D157">
        <v>0.02</v>
      </c>
      <c r="E157">
        <f ca="1">(C157 - D157)/Params!$B$12 + Params!$B$9</f>
        <v>0.1079856710233892</v>
      </c>
      <c r="F157">
        <f ca="1">Params!$B$6*F156 + B157</f>
        <v>-3.617549516271313E-2</v>
      </c>
      <c r="G157">
        <f ca="1">H157 + Params!$B$5*(E157 + I157 - L156) - Params!$B$6*(C157 - Params!$B$8)</f>
        <v>1.1722689750391216E-2</v>
      </c>
      <c r="H157">
        <v>0</v>
      </c>
      <c r="I157">
        <v>0</v>
      </c>
      <c r="J157">
        <f t="shared" ca="1" si="13"/>
        <v>4.7898184913104346E-2</v>
      </c>
      <c r="K157">
        <f ca="1">Params!$B$6*J157</f>
        <v>4.7898184913104346E-3</v>
      </c>
      <c r="L157">
        <f t="shared" ca="1" si="14"/>
        <v>-2.1784496338913481E-3</v>
      </c>
      <c r="M157">
        <f t="shared" ca="1" si="15"/>
        <v>0.11016412065728054</v>
      </c>
      <c r="N157">
        <f t="shared" ca="1" si="16"/>
        <v>1.2937223153368378E-2</v>
      </c>
      <c r="O157">
        <f t="shared" ca="1" si="17"/>
        <v>-0.10621548804885945</v>
      </c>
    </row>
    <row r="158" spans="1:15" x14ac:dyDescent="0.25">
      <c r="A158">
        <v>156</v>
      </c>
      <c r="B158">
        <f ca="1">IF(ROW()-1 &lt;= Params!$B$11, _xlfn.NORM.INV(RAND(), 0, Params!$B$10), "")</f>
        <v>-2.8428770297942024E-2</v>
      </c>
      <c r="C158">
        <f ca="1">Params!$B$1*C157 + (1-Params!$B$1)*(Params!$B$8 + Params!$B$3*K157 + Params!$B$2*J157)</f>
        <v>2.058873765043167E-2</v>
      </c>
      <c r="D158">
        <v>0.02</v>
      </c>
      <c r="E158">
        <f ca="1">(C158 - D158)/Params!$B$12 + Params!$B$9</f>
        <v>-2.7970257391545409E-2</v>
      </c>
      <c r="F158">
        <f ca="1">Params!$B$6*F157 + B158</f>
        <v>-3.2046319814213339E-2</v>
      </c>
      <c r="G158">
        <f ca="1">H158 + Params!$B$5*(E158 + I158 - L157) - Params!$B$6*(C158 - Params!$B$8)</f>
        <v>-2.6380545408085732E-3</v>
      </c>
      <c r="H158">
        <v>0</v>
      </c>
      <c r="I158">
        <v>0</v>
      </c>
      <c r="J158">
        <f t="shared" ca="1" si="13"/>
        <v>2.9408265273404767E-2</v>
      </c>
      <c r="K158">
        <f ca="1">Params!$B$6*J158</f>
        <v>2.940826527340477E-3</v>
      </c>
      <c r="L158">
        <f t="shared" ca="1" si="14"/>
        <v>7.6237689344912886E-4</v>
      </c>
      <c r="M158">
        <f t="shared" ca="1" si="15"/>
        <v>-2.8732634284994538E-2</v>
      </c>
      <c r="N158">
        <f t="shared" ca="1" si="16"/>
        <v>1.7647911123091192E-2</v>
      </c>
      <c r="O158">
        <f t="shared" ca="1" si="17"/>
        <v>-0.13595592841493462</v>
      </c>
    </row>
    <row r="159" spans="1:15" x14ac:dyDescent="0.25">
      <c r="A159">
        <v>157</v>
      </c>
      <c r="B159">
        <f ca="1">IF(ROW()-1 &lt;= Params!$B$11, _xlfn.NORM.INV(RAND(), 0, Params!$B$10), "")</f>
        <v>-2.9229534070950625E-2</v>
      </c>
      <c r="C159">
        <f ca="1">Params!$B$1*C158 + (1-Params!$B$1)*(Params!$B$8 + Params!$B$3*K158 + Params!$B$2*J158)</f>
        <v>2.2147318475425764E-2</v>
      </c>
      <c r="D159">
        <v>0.02</v>
      </c>
      <c r="E159">
        <f ca="1">(C159 - D159)/Params!$B$12 + Params!$B$9</f>
        <v>-0.10201666296565547</v>
      </c>
      <c r="F159">
        <f ca="1">Params!$B$6*F158 + B159</f>
        <v>-3.2434166052371961E-2</v>
      </c>
      <c r="G159">
        <f ca="1">H159 + Params!$B$5*(E159 + I159 - L158) - Params!$B$6*(C159 - Params!$B$8)</f>
        <v>-1.0492635833453038E-2</v>
      </c>
      <c r="H159">
        <v>0</v>
      </c>
      <c r="I159">
        <v>0</v>
      </c>
      <c r="J159">
        <f t="shared" ca="1" si="13"/>
        <v>2.1941530218918925E-2</v>
      </c>
      <c r="K159">
        <f ca="1">Params!$B$6*J159</f>
        <v>2.1941530218918927E-3</v>
      </c>
      <c r="L159">
        <f t="shared" ca="1" si="14"/>
        <v>2.9565299153410216E-3</v>
      </c>
      <c r="M159">
        <f t="shared" ca="1" si="15"/>
        <v>-0.10497319288099649</v>
      </c>
      <c r="N159">
        <f t="shared" ca="1" si="16"/>
        <v>1.9953165453533872E-2</v>
      </c>
      <c r="O159">
        <f t="shared" ca="1" si="17"/>
        <v>-7.4046405574110061E-2</v>
      </c>
    </row>
    <row r="160" spans="1:15" x14ac:dyDescent="0.25">
      <c r="A160">
        <v>158</v>
      </c>
      <c r="B160">
        <f ca="1">IF(ROW()-1 &lt;= Params!$B$11, _xlfn.NORM.INV(RAND(), 0, Params!$B$10), "")</f>
        <v>1.3185468563430806E-2</v>
      </c>
      <c r="C160">
        <f ca="1">Params!$B$1*C159 + (1-Params!$B$1)*(Params!$B$8 + Params!$B$3*K159 + Params!$B$2*J159)</f>
        <v>2.313937078992373E-2</v>
      </c>
      <c r="D160">
        <v>0.02</v>
      </c>
      <c r="E160">
        <f ca="1">(C160 - D160)/Params!$B$12 + Params!$B$9</f>
        <v>-0.14914794217302627</v>
      </c>
      <c r="F160">
        <f ca="1">Params!$B$6*F159 + B160</f>
        <v>9.9420519581936099E-3</v>
      </c>
      <c r="G160">
        <f ca="1">H160 + Params!$B$5*(E160 + I160 - L159) - Params!$B$6*(C160 - Params!$B$8)</f>
        <v>-1.5524384287829101E-2</v>
      </c>
      <c r="H160">
        <v>0</v>
      </c>
      <c r="I160">
        <v>0</v>
      </c>
      <c r="J160">
        <f t="shared" ca="1" si="13"/>
        <v>-2.5466436246022711E-2</v>
      </c>
      <c r="K160">
        <f ca="1">Params!$B$6*J160</f>
        <v>-2.5466436246022713E-3</v>
      </c>
      <c r="L160">
        <f t="shared" ca="1" si="14"/>
        <v>4.0988629073875028E-4</v>
      </c>
      <c r="M160">
        <f t="shared" ca="1" si="15"/>
        <v>-0.149557828463765</v>
      </c>
      <c r="N160">
        <f t="shared" ca="1" si="16"/>
        <v>2.5686014414526E-2</v>
      </c>
      <c r="O160">
        <f t="shared" ca="1" si="17"/>
        <v>-4.7131279207370799E-2</v>
      </c>
    </row>
    <row r="161" spans="1:15" x14ac:dyDescent="0.25">
      <c r="A161">
        <v>159</v>
      </c>
      <c r="B161">
        <f ca="1">IF(ROW()-1 &lt;= Params!$B$11, _xlfn.NORM.INV(RAND(), 0, Params!$B$10), "")</f>
        <v>1.7536247925032205E-2</v>
      </c>
      <c r="C161">
        <f ca="1">Params!$B$1*C160 + (1-Params!$B$1)*(Params!$B$8 + Params!$B$3*K160 + Params!$B$2*J160)</f>
        <v>2.1424779717400106E-2</v>
      </c>
      <c r="D161">
        <v>0.02</v>
      </c>
      <c r="E161">
        <f ca="1">(C161 - D161)/Params!$B$12 + Params!$B$9</f>
        <v>-6.7689666853673683E-2</v>
      </c>
      <c r="F161">
        <f ca="1">Params!$B$6*F160 + B161</f>
        <v>1.8530453120851567E-2</v>
      </c>
      <c r="G161">
        <f ca="1">H161 + Params!$B$5*(E161 + I161 - L160) - Params!$B$6*(C161 - Params!$B$8)</f>
        <v>-6.9524332861812541E-3</v>
      </c>
      <c r="H161">
        <v>0</v>
      </c>
      <c r="I161">
        <v>0</v>
      </c>
      <c r="J161">
        <f t="shared" ca="1" si="13"/>
        <v>-2.548288640703282E-2</v>
      </c>
      <c r="K161">
        <f ca="1">Params!$B$6*J161</f>
        <v>-2.5482886407032822E-3</v>
      </c>
      <c r="L161">
        <f t="shared" ca="1" si="14"/>
        <v>-2.1384023499645319E-3</v>
      </c>
      <c r="M161">
        <f t="shared" ca="1" si="15"/>
        <v>-6.5551264503709156E-2</v>
      </c>
      <c r="N161">
        <f t="shared" ca="1" si="16"/>
        <v>2.3973068358103387E-2</v>
      </c>
      <c r="O161">
        <f t="shared" ca="1" si="17"/>
        <v>8.1458275319352583E-2</v>
      </c>
    </row>
    <row r="162" spans="1:15" x14ac:dyDescent="0.25">
      <c r="A162">
        <v>160</v>
      </c>
      <c r="B162">
        <f ca="1">IF(ROW()-1 &lt;= Params!$B$11, _xlfn.NORM.INV(RAND(), 0, Params!$B$10), "")</f>
        <v>-9.8219002990754575E-2</v>
      </c>
      <c r="C162">
        <f ca="1">Params!$B$1*C161 + (1-Params!$B$1)*(Params!$B$8 + Params!$B$3*K161 + Params!$B$2*J161)</f>
        <v>1.988074299327329E-2</v>
      </c>
      <c r="D162">
        <v>0.02</v>
      </c>
      <c r="E162">
        <f ca="1">(C162 - D162)/Params!$B$12 + Params!$B$9</f>
        <v>5.6657649998188842E-3</v>
      </c>
      <c r="F162">
        <f ca="1">Params!$B$6*F161 + B162</f>
        <v>-9.6365957678669414E-2</v>
      </c>
      <c r="G162">
        <f ca="1">H162 + Params!$B$5*(E162 + I162 - L161) - Params!$B$6*(C162 - Params!$B$8)</f>
        <v>7.9234243565101269E-4</v>
      </c>
      <c r="H162">
        <v>0</v>
      </c>
      <c r="I162">
        <v>0</v>
      </c>
      <c r="J162">
        <f t="shared" ca="1" si="13"/>
        <v>9.7158300114320431E-2</v>
      </c>
      <c r="K162">
        <f ca="1">Params!$B$6*J162</f>
        <v>9.7158300114320445E-3</v>
      </c>
      <c r="L162">
        <f t="shared" ca="1" si="14"/>
        <v>7.5774276614675121E-3</v>
      </c>
      <c r="M162">
        <f t="shared" ca="1" si="15"/>
        <v>-1.911662661648628E-3</v>
      </c>
      <c r="N162">
        <f t="shared" ca="1" si="16"/>
        <v>1.0164912981841245E-2</v>
      </c>
      <c r="O162">
        <f t="shared" ca="1" si="17"/>
        <v>7.3355431853492567E-2</v>
      </c>
    </row>
    <row r="163" spans="1:15" x14ac:dyDescent="0.25">
      <c r="A163">
        <v>161</v>
      </c>
      <c r="B163">
        <f ca="1">IF(ROW()-1 &lt;= Params!$B$11, _xlfn.NORM.INV(RAND(), 0, Params!$B$10), "")</f>
        <v>-5.4028735996623473E-2</v>
      </c>
      <c r="C163">
        <f ca="1">Params!$B$1*C162 + (1-Params!$B$1)*(Params!$B$8 + Params!$B$3*K162 + Params!$B$2*J162)</f>
        <v>2.5236375200233582E-2</v>
      </c>
      <c r="D163">
        <v>0.02</v>
      </c>
      <c r="E163">
        <f ca="1">(C163 - D163)/Params!$B$12 + Params!$B$9</f>
        <v>-0.24877424102543844</v>
      </c>
      <c r="F163">
        <f ca="1">Params!$B$6*F162 + B163</f>
        <v>-6.3665331764490407E-2</v>
      </c>
      <c r="G163">
        <f ca="1">H163 + Params!$B$5*(E163 + I163 - L162) - Params!$B$6*(C163 - Params!$B$8)</f>
        <v>-2.6158804388713954E-2</v>
      </c>
      <c r="H163">
        <v>0</v>
      </c>
      <c r="I163">
        <v>0</v>
      </c>
      <c r="J163">
        <f t="shared" ca="1" si="13"/>
        <v>3.7506527375776449E-2</v>
      </c>
      <c r="K163">
        <f ca="1">Params!$B$6*J163</f>
        <v>3.7506527375776449E-3</v>
      </c>
      <c r="L163">
        <f t="shared" ca="1" si="14"/>
        <v>1.1328080399045157E-2</v>
      </c>
      <c r="M163">
        <f t="shared" ca="1" si="15"/>
        <v>-0.26010232142448358</v>
      </c>
      <c r="N163">
        <f t="shared" ca="1" si="16"/>
        <v>2.1485722462655937E-2</v>
      </c>
      <c r="O163">
        <f t="shared" ca="1" si="17"/>
        <v>-0.25444000602525729</v>
      </c>
    </row>
    <row r="164" spans="1:15" x14ac:dyDescent="0.25">
      <c r="A164">
        <v>162</v>
      </c>
      <c r="B164">
        <f ca="1">IF(ROW()-1 &lt;= Params!$B$11, _xlfn.NORM.INV(RAND(), 0, Params!$B$10), "")</f>
        <v>-1.8638994819945642E-2</v>
      </c>
      <c r="C164">
        <f ca="1">Params!$B$1*C163 + (1-Params!$B$1)*(Params!$B$8 + Params!$B$3*K163 + Params!$B$2*J163)</f>
        <v>2.677559668587793E-2</v>
      </c>
      <c r="D164">
        <v>0.02</v>
      </c>
      <c r="E164">
        <f ca="1">(C164 - D164)/Params!$B$12 + Params!$B$9</f>
        <v>-0.32190090636525964</v>
      </c>
      <c r="F164">
        <f ca="1">Params!$B$6*F163 + B164</f>
        <v>-2.5005527996394682E-2</v>
      </c>
      <c r="G164">
        <f ca="1">H164 + Params!$B$5*(E164 + I164 - L163) - Params!$B$6*(C164 - Params!$B$8)</f>
        <v>-3.4000458345018268E-2</v>
      </c>
      <c r="H164">
        <v>0</v>
      </c>
      <c r="I164">
        <v>0</v>
      </c>
      <c r="J164">
        <f t="shared" ca="1" si="13"/>
        <v>-8.9949303486235865E-3</v>
      </c>
      <c r="K164">
        <f ca="1">Params!$B$6*J164</f>
        <v>-8.9949303486235868E-4</v>
      </c>
      <c r="L164">
        <f t="shared" ca="1" si="14"/>
        <v>1.0428587364182798E-2</v>
      </c>
      <c r="M164">
        <f t="shared" ca="1" si="15"/>
        <v>-0.33232949372944243</v>
      </c>
      <c r="N164">
        <f t="shared" ca="1" si="16"/>
        <v>2.7675089720740287E-2</v>
      </c>
      <c r="O164">
        <f t="shared" ca="1" si="17"/>
        <v>-7.3126665339821206E-2</v>
      </c>
    </row>
    <row r="165" spans="1:15" x14ac:dyDescent="0.25">
      <c r="A165">
        <v>163</v>
      </c>
      <c r="B165">
        <f ca="1">IF(ROW()-1 &lt;= Params!$B$11, _xlfn.NORM.INV(RAND(), 0, Params!$B$10), "")</f>
        <v>-3.8948854849640683E-3</v>
      </c>
      <c r="C165">
        <f ca="1">Params!$B$1*C164 + (1-Params!$B$1)*(Params!$B$8 + Params!$B$3*K164 + Params!$B$2*J164)</f>
        <v>2.5603315848115839E-2</v>
      </c>
      <c r="D165">
        <v>0.02</v>
      </c>
      <c r="E165">
        <f ca="1">(C165 - D165)/Params!$B$12 + Params!$B$9</f>
        <v>-0.26620717462695337</v>
      </c>
      <c r="F165">
        <f ca="1">Params!$B$6*F164 + B165</f>
        <v>-6.3954382846035367E-3</v>
      </c>
      <c r="G165">
        <f ca="1">H165 + Params!$B$5*(E165 + I165 - L164) - Params!$B$6*(C165 - Params!$B$8)</f>
        <v>-2.8223907783925202E-2</v>
      </c>
      <c r="H165">
        <v>0</v>
      </c>
      <c r="I165">
        <v>0</v>
      </c>
      <c r="J165">
        <f t="shared" ca="1" si="13"/>
        <v>-2.1828469499321664E-2</v>
      </c>
      <c r="K165">
        <f ca="1">Params!$B$6*J165</f>
        <v>-2.1828469499321664E-3</v>
      </c>
      <c r="L165">
        <f t="shared" ca="1" si="14"/>
        <v>8.2457404142506317E-3</v>
      </c>
      <c r="M165">
        <f t="shared" ca="1" si="15"/>
        <v>-0.274452915041204</v>
      </c>
      <c r="N165">
        <f t="shared" ca="1" si="16"/>
        <v>2.7786162798048006E-2</v>
      </c>
      <c r="O165">
        <f t="shared" ca="1" si="17"/>
        <v>5.5693731738306274E-2</v>
      </c>
    </row>
    <row r="166" spans="1:15" x14ac:dyDescent="0.25">
      <c r="A166">
        <v>164</v>
      </c>
      <c r="B166">
        <f ca="1">IF(ROW()-1 &lt;= Params!$B$11, _xlfn.NORM.INV(RAND(), 0, Params!$B$10), "")</f>
        <v>6.2901441903549446E-2</v>
      </c>
      <c r="C166">
        <f ca="1">Params!$B$1*C165 + (1-Params!$B$1)*(Params!$B$8 + Params!$B$3*K165 + Params!$B$2*J165)</f>
        <v>2.3842418440841565E-2</v>
      </c>
      <c r="D166">
        <v>0.02</v>
      </c>
      <c r="E166">
        <f ca="1">(C166 - D166)/Params!$B$12 + Params!$B$9</f>
        <v>-0.18254893791412594</v>
      </c>
      <c r="F166">
        <f ca="1">Params!$B$6*F165 + B166</f>
        <v>6.2261898075089091E-2</v>
      </c>
      <c r="G166">
        <f ca="1">H166 + Params!$B$5*(E166 + I166 - L165) - Params!$B$6*(C166 - Params!$B$8)</f>
        <v>-1.9463709676921816E-2</v>
      </c>
      <c r="H166">
        <v>0</v>
      </c>
      <c r="I166">
        <v>0</v>
      </c>
      <c r="J166">
        <f t="shared" ref="J166:J202" ca="1" si="18">G166 - F166</f>
        <v>-8.1725607752010904E-2</v>
      </c>
      <c r="K166">
        <f ca="1">Params!$B$6*J166</f>
        <v>-8.1725607752010914E-3</v>
      </c>
      <c r="L166">
        <f t="shared" ref="L166:L202" ca="1" si="19">L165 + K166</f>
        <v>7.3179639049540321E-5</v>
      </c>
      <c r="M166">
        <f t="shared" ca="1" si="15"/>
        <v>-0.18262211755317548</v>
      </c>
      <c r="N166">
        <f t="shared" ca="1" si="16"/>
        <v>3.2014979216042655E-2</v>
      </c>
      <c r="O166">
        <f t="shared" ca="1" si="17"/>
        <v>8.3658236712827433E-2</v>
      </c>
    </row>
    <row r="167" spans="1:15" x14ac:dyDescent="0.25">
      <c r="A167">
        <v>165</v>
      </c>
      <c r="B167">
        <f ca="1">IF(ROW()-1 &lt;= Params!$B$11, _xlfn.NORM.INV(RAND(), 0, Params!$B$10), "")</f>
        <v>1.9988539655683202E-2</v>
      </c>
      <c r="C167">
        <f ca="1">Params!$B$1*C166 + (1-Params!$B$1)*(Params!$B$8 + Params!$B$3*K166 + Params!$B$2*J166)</f>
        <v>1.896326817039681E-2</v>
      </c>
      <c r="D167">
        <v>0.02</v>
      </c>
      <c r="E167">
        <f ca="1">(C167 - D167)/Params!$B$12 + Params!$B$9</f>
        <v>4.9253952246382793E-2</v>
      </c>
      <c r="F167">
        <f ca="1">Params!$B$6*F166 + B167</f>
        <v>2.6214729463192112E-2</v>
      </c>
      <c r="G167">
        <f ca="1">H167 + Params!$B$5*(E167 + I167 - L166) - Params!$B$6*(C167 - Params!$B$8)</f>
        <v>5.0217504436936445E-3</v>
      </c>
      <c r="H167">
        <v>0</v>
      </c>
      <c r="I167">
        <v>0</v>
      </c>
      <c r="J167">
        <f t="shared" ca="1" si="18"/>
        <v>-2.1192979019498466E-2</v>
      </c>
      <c r="K167">
        <f ca="1">Params!$B$6*J167</f>
        <v>-2.1192979019498469E-3</v>
      </c>
      <c r="L167">
        <f t="shared" ca="1" si="19"/>
        <v>-2.0461182629003065E-3</v>
      </c>
      <c r="M167">
        <f t="shared" ca="1" si="15"/>
        <v>5.1300070509283098E-2</v>
      </c>
      <c r="N167">
        <f t="shared" ca="1" si="16"/>
        <v>2.1082566072346657E-2</v>
      </c>
      <c r="O167">
        <f t="shared" ca="1" si="17"/>
        <v>0.23180289016050873</v>
      </c>
    </row>
    <row r="168" spans="1:15" x14ac:dyDescent="0.25">
      <c r="A168">
        <v>166</v>
      </c>
      <c r="B168">
        <f ca="1">IF(ROW()-1 &lt;= Params!$B$11, _xlfn.NORM.INV(RAND(), 0, Params!$B$10), "")</f>
        <v>-2.9528529594081296E-2</v>
      </c>
      <c r="C168">
        <f ca="1">Params!$B$1*C167 + (1-Params!$B$1)*(Params!$B$8 + Params!$B$3*K167 + Params!$B$2*J167)</f>
        <v>1.7901327507284716E-2</v>
      </c>
      <c r="D168">
        <v>0.02</v>
      </c>
      <c r="E168">
        <f ca="1">(C168 - D168)/Params!$B$12 + Params!$B$9</f>
        <v>9.9705547553758281E-2</v>
      </c>
      <c r="F168">
        <f ca="1">Params!$B$6*F167 + B168</f>
        <v>-2.6907056647762086E-2</v>
      </c>
      <c r="G168">
        <f ca="1">H168 + Params!$B$5*(E168 + I168 - L167) - Params!$B$6*(C168 - Params!$B$8)</f>
        <v>1.0385033830937388E-2</v>
      </c>
      <c r="H168">
        <v>0</v>
      </c>
      <c r="I168">
        <v>0</v>
      </c>
      <c r="J168">
        <f t="shared" ca="1" si="18"/>
        <v>3.7292090478699476E-2</v>
      </c>
      <c r="K168">
        <f ca="1">Params!$B$6*J168</f>
        <v>3.7292090478699478E-3</v>
      </c>
      <c r="L168">
        <f t="shared" ca="1" si="19"/>
        <v>1.6830907849696413E-3</v>
      </c>
      <c r="M168">
        <f t="shared" ca="1" si="15"/>
        <v>9.8022456768788638E-2</v>
      </c>
      <c r="N168">
        <f t="shared" ca="1" si="16"/>
        <v>1.4172118459414768E-2</v>
      </c>
      <c r="O168">
        <f t="shared" ca="1" si="17"/>
        <v>5.0451595307375488E-2</v>
      </c>
    </row>
    <row r="169" spans="1:15" x14ac:dyDescent="0.25">
      <c r="A169">
        <v>167</v>
      </c>
      <c r="B169">
        <f ca="1">IF(ROW()-1 &lt;= Params!$B$11, _xlfn.NORM.INV(RAND(), 0, Params!$B$10), "")</f>
        <v>-0.10046885316486893</v>
      </c>
      <c r="C169">
        <f ca="1">Params!$B$1*C168 + (1-Params!$B$1)*(Params!$B$8 + Params!$B$3*K168 + Params!$B$2*J168)</f>
        <v>2.0162259732884713E-2</v>
      </c>
      <c r="D169">
        <v>0.02</v>
      </c>
      <c r="E169">
        <f ca="1">(C169 - D169)/Params!$B$12 + Params!$B$9</f>
        <v>-7.7087756995686905E-3</v>
      </c>
      <c r="F169">
        <f ca="1">Params!$B$6*F168 + B169</f>
        <v>-0.10315955882964514</v>
      </c>
      <c r="G169">
        <f ca="1">H169 + Params!$B$5*(E169 + I169 - L168) - Params!$B$6*(C169 - Params!$B$8)</f>
        <v>-9.5541262174230444E-4</v>
      </c>
      <c r="H169">
        <v>0</v>
      </c>
      <c r="I169">
        <v>0</v>
      </c>
      <c r="J169">
        <f t="shared" ca="1" si="18"/>
        <v>0.10220414620790284</v>
      </c>
      <c r="K169">
        <f ca="1">Params!$B$6*J169</f>
        <v>1.0220414620790284E-2</v>
      </c>
      <c r="L169">
        <f t="shared" ca="1" si="19"/>
        <v>1.1903505405759926E-2</v>
      </c>
      <c r="M169">
        <f t="shared" ca="1" si="15"/>
        <v>-1.9612281105328616E-2</v>
      </c>
      <c r="N169">
        <f t="shared" ca="1" si="16"/>
        <v>9.9418451120944287E-3</v>
      </c>
      <c r="O169">
        <f t="shared" ca="1" si="17"/>
        <v>-0.10741432325332698</v>
      </c>
    </row>
    <row r="170" spans="1:15" x14ac:dyDescent="0.25">
      <c r="A170">
        <v>168</v>
      </c>
      <c r="B170">
        <f ca="1">IF(ROW()-1 &lt;= Params!$B$11, _xlfn.NORM.INV(RAND(), 0, Params!$B$10), "")</f>
        <v>3.9933379302542187E-3</v>
      </c>
      <c r="C170">
        <f ca="1">Params!$B$1*C169 + (1-Params!$B$1)*(Params!$B$8 + Params!$B$3*K169 + Params!$B$2*J169)</f>
        <v>2.5767261801030898E-2</v>
      </c>
      <c r="D170">
        <v>0.02</v>
      </c>
      <c r="E170">
        <f ca="1">(C170 - D170)/Params!$B$12 + Params!$B$9</f>
        <v>-0.27399606072583649</v>
      </c>
      <c r="F170">
        <f ca="1">Params!$B$6*F169 + B170</f>
        <v>-6.3226179527102969E-3</v>
      </c>
      <c r="G170">
        <f ca="1">H170 + Params!$B$5*(E170 + I170 - L169) - Params!$B$6*(C170 - Params!$B$8)</f>
        <v>-2.9166682793262729E-2</v>
      </c>
      <c r="H170">
        <v>0</v>
      </c>
      <c r="I170">
        <v>0</v>
      </c>
      <c r="J170">
        <f t="shared" ca="1" si="18"/>
        <v>-2.284406484055243E-2</v>
      </c>
      <c r="K170">
        <f ca="1">Params!$B$6*J170</f>
        <v>-2.284406484055243E-3</v>
      </c>
      <c r="L170">
        <f t="shared" ca="1" si="19"/>
        <v>9.6190989217046826E-3</v>
      </c>
      <c r="M170">
        <f t="shared" ca="1" si="15"/>
        <v>-0.28361515964754119</v>
      </c>
      <c r="N170">
        <f t="shared" ca="1" si="16"/>
        <v>2.8051668285086141E-2</v>
      </c>
      <c r="O170">
        <f t="shared" ca="1" si="17"/>
        <v>-0.26628728502626781</v>
      </c>
    </row>
    <row r="171" spans="1:15" x14ac:dyDescent="0.25">
      <c r="A171">
        <v>169</v>
      </c>
      <c r="B171">
        <f ca="1">IF(ROW()-1 &lt;= Params!$B$11, _xlfn.NORM.INV(RAND(), 0, Params!$B$10), "")</f>
        <v>-4.2137234279542628E-2</v>
      </c>
      <c r="C171">
        <f ca="1">Params!$B$1*C170 + (1-Params!$B$1)*(Params!$B$8 + Params!$B$3*K170 + Params!$B$2*J170)</f>
        <v>2.3934112054697424E-2</v>
      </c>
      <c r="D171">
        <v>0.02</v>
      </c>
      <c r="E171">
        <f ca="1">(C171 - D171)/Params!$B$12 + Params!$B$9</f>
        <v>-0.18690519741074363</v>
      </c>
      <c r="F171">
        <f ca="1">Params!$B$6*F170 + B171</f>
        <v>-4.2769496074813659E-2</v>
      </c>
      <c r="G171">
        <f ca="1">H171 + Params!$B$5*(E171 + I171 - L170) - Params!$B$6*(C171 - Params!$B$8)</f>
        <v>-2.0045840838714572E-2</v>
      </c>
      <c r="H171">
        <v>0</v>
      </c>
      <c r="I171">
        <v>0</v>
      </c>
      <c r="J171">
        <f t="shared" ca="1" si="18"/>
        <v>2.2723655236099087E-2</v>
      </c>
      <c r="K171">
        <f ca="1">Params!$B$6*J171</f>
        <v>2.2723655236099086E-3</v>
      </c>
      <c r="L171">
        <f t="shared" ca="1" si="19"/>
        <v>1.1891464445314592E-2</v>
      </c>
      <c r="M171">
        <f t="shared" ca="1" si="15"/>
        <v>-0.19879666185605821</v>
      </c>
      <c r="N171">
        <f t="shared" ca="1" si="16"/>
        <v>2.1661746531087517E-2</v>
      </c>
      <c r="O171">
        <f t="shared" ca="1" si="17"/>
        <v>8.7090863315092859E-2</v>
      </c>
    </row>
    <row r="172" spans="1:15" x14ac:dyDescent="0.25">
      <c r="A172">
        <v>170</v>
      </c>
      <c r="B172">
        <f ca="1">IF(ROW()-1 &lt;= Params!$B$11, _xlfn.NORM.INV(RAND(), 0, Params!$B$10), "")</f>
        <v>-1.7480552152818051E-3</v>
      </c>
      <c r="C172">
        <f ca="1">Params!$B$1*C171 + (1-Params!$B$1)*(Params!$B$8 + Params!$B$3*K171 + Params!$B$2*J171)</f>
        <v>2.4790501887213129E-2</v>
      </c>
      <c r="D172">
        <v>0.02</v>
      </c>
      <c r="E172">
        <f ca="1">(C172 - D172)/Params!$B$12 + Params!$B$9</f>
        <v>-0.22759130611366724</v>
      </c>
      <c r="F172">
        <f ca="1">Params!$B$6*F171 + B172</f>
        <v>-6.0250048227631706E-3</v>
      </c>
      <c r="G172">
        <f ca="1">H172 + Params!$B$5*(E172 + I172 - L171) - Params!$B$6*(C172 - Params!$B$8)</f>
        <v>-2.4427327244619497E-2</v>
      </c>
      <c r="H172">
        <v>0</v>
      </c>
      <c r="I172">
        <v>0</v>
      </c>
      <c r="J172">
        <f t="shared" ca="1" si="18"/>
        <v>-1.8402322421856326E-2</v>
      </c>
      <c r="K172">
        <f ca="1">Params!$B$6*J172</f>
        <v>-1.8402322421856327E-3</v>
      </c>
      <c r="L172">
        <f t="shared" ca="1" si="19"/>
        <v>1.0051232203128958E-2</v>
      </c>
      <c r="M172">
        <f t="shared" ca="1" si="15"/>
        <v>-0.23764253831679619</v>
      </c>
      <c r="N172">
        <f t="shared" ca="1" si="16"/>
        <v>2.6630734129398762E-2</v>
      </c>
      <c r="O172">
        <f t="shared" ca="1" si="17"/>
        <v>-4.0686108702923607E-2</v>
      </c>
    </row>
    <row r="173" spans="1:15" x14ac:dyDescent="0.25">
      <c r="A173">
        <v>171</v>
      </c>
      <c r="B173">
        <f ca="1">IF(ROW()-1 &lt;= Params!$B$11, _xlfn.NORM.INV(RAND(), 0, Params!$B$10), "")</f>
        <v>-0.1041587199466177</v>
      </c>
      <c r="C173">
        <f ca="1">Params!$B$1*C172 + (1-Params!$B$1)*(Params!$B$8 + Params!$B$3*K172 + Params!$B$2*J172)</f>
        <v>2.3299323965289716E-2</v>
      </c>
      <c r="D173">
        <v>0.02</v>
      </c>
      <c r="E173">
        <f ca="1">(C173 - D173)/Params!$B$12 + Params!$B$9</f>
        <v>-0.15674713594346254</v>
      </c>
      <c r="F173">
        <f ca="1">Params!$B$6*F172 + B173</f>
        <v>-0.10476122042889402</v>
      </c>
      <c r="G173">
        <f ca="1">H173 + Params!$B$5*(E173 + I173 - L172) - Params!$B$6*(C173 - Params!$B$8)</f>
        <v>-1.700976921118812E-2</v>
      </c>
      <c r="H173">
        <v>0</v>
      </c>
      <c r="I173">
        <v>0</v>
      </c>
      <c r="J173">
        <f t="shared" ca="1" si="18"/>
        <v>8.7751451217705903E-2</v>
      </c>
      <c r="K173">
        <f ca="1">Params!$B$6*J173</f>
        <v>8.77514512177059E-3</v>
      </c>
      <c r="L173">
        <f t="shared" ca="1" si="19"/>
        <v>1.882637732489955E-2</v>
      </c>
      <c r="M173">
        <f t="shared" ca="1" si="15"/>
        <v>-0.1755735132683621</v>
      </c>
      <c r="N173">
        <f t="shared" ca="1" si="16"/>
        <v>1.4524178843519127E-2</v>
      </c>
      <c r="O173">
        <f t="shared" ca="1" si="17"/>
        <v>7.0844170170204696E-2</v>
      </c>
    </row>
    <row r="174" spans="1:15" x14ac:dyDescent="0.25">
      <c r="A174">
        <v>172</v>
      </c>
      <c r="B174">
        <f ca="1">IF(ROW()-1 &lt;= Params!$B$11, _xlfn.NORM.INV(RAND(), 0, Params!$B$10), "")</f>
        <v>-0.11429679369478143</v>
      </c>
      <c r="C174">
        <f ca="1">Params!$B$1*C173 + (1-Params!$B$1)*(Params!$B$8 + Params!$B$3*K173 + Params!$B$2*J173)</f>
        <v>2.7795721385734565E-2</v>
      </c>
      <c r="D174">
        <v>0.02</v>
      </c>
      <c r="E174">
        <f ca="1">(C174 - D174)/Params!$B$12 + Params!$B$9</f>
        <v>-0.37036587273108024</v>
      </c>
      <c r="F174">
        <f ca="1">Params!$B$6*F173 + B174</f>
        <v>-0.12477291573767084</v>
      </c>
      <c r="G174">
        <f ca="1">H174 + Params!$B$5*(E174 + I174 - L173) - Params!$B$6*(C174 - Params!$B$8)</f>
        <v>-3.969879714417144E-2</v>
      </c>
      <c r="H174">
        <v>0</v>
      </c>
      <c r="I174">
        <v>0</v>
      </c>
      <c r="J174">
        <f t="shared" ca="1" si="18"/>
        <v>8.5074118593499393E-2</v>
      </c>
      <c r="K174">
        <f ca="1">Params!$B$6*J174</f>
        <v>8.5074118593499396E-3</v>
      </c>
      <c r="L174">
        <f t="shared" ca="1" si="19"/>
        <v>2.7333789184249488E-2</v>
      </c>
      <c r="M174">
        <f t="shared" ca="1" si="15"/>
        <v>-0.39769966191532974</v>
      </c>
      <c r="N174">
        <f t="shared" ca="1" si="16"/>
        <v>1.9288309526384627E-2</v>
      </c>
      <c r="O174">
        <f t="shared" ca="1" si="17"/>
        <v>-0.2136187367876177</v>
      </c>
    </row>
    <row r="175" spans="1:15" x14ac:dyDescent="0.25">
      <c r="A175">
        <v>173</v>
      </c>
      <c r="B175">
        <f ca="1">IF(ROW()-1 &lt;= Params!$B$11, _xlfn.NORM.INV(RAND(), 0, Params!$B$10), "")</f>
        <v>-5.6753239918413356E-2</v>
      </c>
      <c r="C175">
        <f ca="1">Params!$B$1*C174 + (1-Params!$B$1)*(Params!$B$8 + Params!$B$3*K174 + Params!$B$2*J174)</f>
        <v>3.1695225769803576E-2</v>
      </c>
      <c r="D175">
        <v>0.02</v>
      </c>
      <c r="E175">
        <f ca="1">(C175 - D175)/Params!$B$12 + Params!$B$9</f>
        <v>-0.5556268989995693</v>
      </c>
      <c r="F175">
        <f ca="1">Params!$B$6*F174 + B175</f>
        <v>-6.9230531492180447E-2</v>
      </c>
      <c r="G175">
        <f ca="1">H175 + Params!$B$5*(E175 + I175 - L174) - Params!$B$6*(C175 - Params!$B$8)</f>
        <v>-5.9465591395362234E-2</v>
      </c>
      <c r="H175">
        <v>0</v>
      </c>
      <c r="I175">
        <v>0</v>
      </c>
      <c r="J175">
        <f t="shared" ca="1" si="18"/>
        <v>9.7649400968182129E-3</v>
      </c>
      <c r="K175">
        <f ca="1">Params!$B$6*J175</f>
        <v>9.7649400968182138E-4</v>
      </c>
      <c r="L175">
        <f t="shared" ca="1" si="19"/>
        <v>2.8310283193931311E-2</v>
      </c>
      <c r="M175">
        <f t="shared" ca="1" si="15"/>
        <v>-0.58393718219350066</v>
      </c>
      <c r="N175">
        <f t="shared" ca="1" si="16"/>
        <v>3.0718731760121753E-2</v>
      </c>
      <c r="O175">
        <f t="shared" ca="1" si="17"/>
        <v>-0.18526102626848906</v>
      </c>
    </row>
    <row r="176" spans="1:15" x14ac:dyDescent="0.25">
      <c r="A176">
        <v>174</v>
      </c>
      <c r="B176">
        <f ca="1">IF(ROW()-1 &lt;= Params!$B$11, _xlfn.NORM.INV(RAND(), 0, Params!$B$10), "")</f>
        <v>-2.1631781741166135E-2</v>
      </c>
      <c r="C176">
        <f ca="1">Params!$B$1*C175 + (1-Params!$B$1)*(Params!$B$8 + Params!$B$3*K175 + Params!$B$2*J175)</f>
        <v>3.106277489814822E-2</v>
      </c>
      <c r="D176">
        <v>0.02</v>
      </c>
      <c r="E176">
        <f ca="1">(C176 - D176)/Params!$B$12 + Params!$B$9</f>
        <v>-0.52557987609431234</v>
      </c>
      <c r="F176">
        <f ca="1">Params!$B$6*F175 + B176</f>
        <v>-2.8554834890384181E-2</v>
      </c>
      <c r="G176">
        <f ca="1">H176 + Params!$B$5*(E176 + I176 - L175) - Params!$B$6*(C176 - Params!$B$8)</f>
        <v>-5.6495293418639195E-2</v>
      </c>
      <c r="H176">
        <v>0</v>
      </c>
      <c r="I176">
        <v>0</v>
      </c>
      <c r="J176">
        <f t="shared" ca="1" si="18"/>
        <v>-2.7940458528255014E-2</v>
      </c>
      <c r="K176">
        <f ca="1">Params!$B$6*J176</f>
        <v>-2.7940458528255014E-3</v>
      </c>
      <c r="L176">
        <f t="shared" ca="1" si="19"/>
        <v>2.5516237341105807E-2</v>
      </c>
      <c r="M176">
        <f t="shared" ca="1" si="15"/>
        <v>-0.5510961134354182</v>
      </c>
      <c r="N176">
        <f t="shared" ca="1" si="16"/>
        <v>3.3856820750973723E-2</v>
      </c>
      <c r="O176">
        <f t="shared" ca="1" si="17"/>
        <v>3.0047022905256959E-2</v>
      </c>
    </row>
    <row r="177" spans="1:15" x14ac:dyDescent="0.25">
      <c r="A177">
        <v>175</v>
      </c>
      <c r="B177">
        <f ca="1">IF(ROW()-1 &lt;= Params!$B$11, _xlfn.NORM.INV(RAND(), 0, Params!$B$10), "")</f>
        <v>6.2174265138847697E-2</v>
      </c>
      <c r="C177">
        <f ca="1">Params!$B$1*C176 + (1-Params!$B$1)*(Params!$B$8 + Params!$B$3*K176 + Params!$B$2*J176)</f>
        <v>2.8419772189279373E-2</v>
      </c>
      <c r="D177">
        <v>0.02</v>
      </c>
      <c r="E177">
        <f ca="1">(C177 - D177)/Params!$B$12 + Params!$B$9</f>
        <v>-0.4000138179368114</v>
      </c>
      <c r="F177">
        <f ca="1">Params!$B$6*F176 + B177</f>
        <v>5.9318781649809277E-2</v>
      </c>
      <c r="G177">
        <f ca="1">H177 + Params!$B$5*(E177 + I177 - L176) - Params!$B$6*(C177 - Params!$B$8)</f>
        <v>-4.3394982746719664E-2</v>
      </c>
      <c r="H177">
        <v>0</v>
      </c>
      <c r="I177">
        <v>0</v>
      </c>
      <c r="J177">
        <f t="shared" ca="1" si="18"/>
        <v>-0.10271376439652893</v>
      </c>
      <c r="K177">
        <f ca="1">Params!$B$6*J177</f>
        <v>-1.0271376439652894E-2</v>
      </c>
      <c r="L177">
        <f t="shared" ca="1" si="19"/>
        <v>1.5244860901452913E-2</v>
      </c>
      <c r="M177">
        <f t="shared" ca="1" si="15"/>
        <v>-0.41525867883826434</v>
      </c>
      <c r="N177">
        <f t="shared" ca="1" si="16"/>
        <v>3.8691148628932269E-2</v>
      </c>
      <c r="O177">
        <f t="shared" ca="1" si="17"/>
        <v>0.12556605815750094</v>
      </c>
    </row>
    <row r="178" spans="1:15" x14ac:dyDescent="0.25">
      <c r="A178">
        <v>176</v>
      </c>
      <c r="B178">
        <f ca="1">IF(ROW()-1 &lt;= Params!$B$11, _xlfn.NORM.INV(RAND(), 0, Params!$B$10), "")</f>
        <v>7.8529844923308084E-2</v>
      </c>
      <c r="C178">
        <f ca="1">Params!$B$1*C177 + (1-Params!$B$1)*(Params!$B$8 + Params!$B$3*K177 + Params!$B$2*J177)</f>
        <v>2.1928537928542345E-2</v>
      </c>
      <c r="D178">
        <v>0.02</v>
      </c>
      <c r="E178">
        <f ca="1">(C178 - D178)/Params!$B$12 + Params!$B$9</f>
        <v>-9.1622647559802761E-2</v>
      </c>
      <c r="F178">
        <f ca="1">Params!$B$6*F177 + B178</f>
        <v>8.4461723088289017E-2</v>
      </c>
      <c r="G178">
        <f ca="1">H178 + Params!$B$5*(E178 + I178 - L177) - Params!$B$6*(C178 - Params!$B$8)</f>
        <v>-1.0879604638979802E-2</v>
      </c>
      <c r="H178">
        <v>0</v>
      </c>
      <c r="I178">
        <v>0</v>
      </c>
      <c r="J178">
        <f t="shared" ca="1" si="18"/>
        <v>-9.5341327727268818E-2</v>
      </c>
      <c r="K178">
        <f ca="1">Params!$B$6*J178</f>
        <v>-9.5341327727268832E-3</v>
      </c>
      <c r="L178">
        <f t="shared" ca="1" si="19"/>
        <v>5.7107281287260298E-3</v>
      </c>
      <c r="M178">
        <f t="shared" ca="1" si="15"/>
        <v>-9.7333375688528789E-2</v>
      </c>
      <c r="N178">
        <f t="shared" ca="1" si="16"/>
        <v>3.1462670701269228E-2</v>
      </c>
      <c r="O178">
        <f t="shared" ca="1" si="17"/>
        <v>0.30839117037700864</v>
      </c>
    </row>
    <row r="179" spans="1:15" x14ac:dyDescent="0.25">
      <c r="A179">
        <v>177</v>
      </c>
      <c r="B179">
        <f ca="1">IF(ROW()-1 &lt;= Params!$B$11, _xlfn.NORM.INV(RAND(), 0, Params!$B$10), "")</f>
        <v>2.6549580811060614E-2</v>
      </c>
      <c r="C179">
        <f ca="1">Params!$B$1*C178 + (1-Params!$B$1)*(Params!$B$8 + Params!$B$3*K178 + Params!$B$2*J178)</f>
        <v>1.6491911110688325E-2</v>
      </c>
      <c r="D179">
        <v>0.02</v>
      </c>
      <c r="E179">
        <f ca="1">(C179 - D179)/Params!$B$12 + Params!$B$9</f>
        <v>0.16666532047767615</v>
      </c>
      <c r="F179">
        <f ca="1">Params!$B$6*F178 + B179</f>
        <v>3.4995753119889519E-2</v>
      </c>
      <c r="G179">
        <f ca="1">H179 + Params!$B$5*(E179 + I179 - L178) - Params!$B$6*(C179 - Params!$B$8)</f>
        <v>1.6446268123826178E-2</v>
      </c>
      <c r="H179">
        <v>0</v>
      </c>
      <c r="I179">
        <v>0</v>
      </c>
      <c r="J179">
        <f t="shared" ca="1" si="18"/>
        <v>-1.8549484996063341E-2</v>
      </c>
      <c r="K179">
        <f ca="1">Params!$B$6*J179</f>
        <v>-1.8549484996063341E-3</v>
      </c>
      <c r="L179">
        <f t="shared" ca="1" si="19"/>
        <v>3.8557796291196957E-3</v>
      </c>
      <c r="M179">
        <f t="shared" ca="1" si="15"/>
        <v>0.16280954084855645</v>
      </c>
      <c r="N179">
        <f t="shared" ca="1" si="16"/>
        <v>1.8346859610294659E-2</v>
      </c>
      <c r="O179">
        <f t="shared" ca="1" si="17"/>
        <v>0.25828796803747889</v>
      </c>
    </row>
    <row r="180" spans="1:15" x14ac:dyDescent="0.25">
      <c r="A180">
        <v>178</v>
      </c>
      <c r="B180">
        <f ca="1">IF(ROW()-1 &lt;= Params!$B$11, _xlfn.NORM.INV(RAND(), 0, Params!$B$10), "")</f>
        <v>6.1966988159402374E-2</v>
      </c>
      <c r="C180">
        <f ca="1">Params!$B$1*C179 + (1-Params!$B$1)*(Params!$B$8 + Params!$B$3*K179 + Params!$B$2*J179)</f>
        <v>1.582249832483601E-2</v>
      </c>
      <c r="D180">
        <v>0.02</v>
      </c>
      <c r="E180">
        <f ca="1">(C180 - D180)/Params!$B$12 + Params!$B$9</f>
        <v>0.19846836196441023</v>
      </c>
      <c r="F180">
        <f ca="1">Params!$B$6*F179 + B180</f>
        <v>6.546656347139132E-2</v>
      </c>
      <c r="G180">
        <f ca="1">H180 + Params!$B$5*(E180 + I180 - L179) - Params!$B$6*(C180 - Params!$B$8)</f>
        <v>1.987900840104545E-2</v>
      </c>
      <c r="H180">
        <v>0</v>
      </c>
      <c r="I180">
        <v>0</v>
      </c>
      <c r="J180">
        <f t="shared" ca="1" si="18"/>
        <v>-4.558755507034587E-2</v>
      </c>
      <c r="K180">
        <f ca="1">Params!$B$6*J180</f>
        <v>-4.5587555070345873E-3</v>
      </c>
      <c r="L180">
        <f t="shared" ca="1" si="19"/>
        <v>-7.0297587791489161E-4</v>
      </c>
      <c r="M180">
        <f t="shared" ca="1" si="15"/>
        <v>0.19917133784232513</v>
      </c>
      <c r="N180">
        <f t="shared" ca="1" si="16"/>
        <v>2.0381253831870595E-2</v>
      </c>
      <c r="O180">
        <f t="shared" ca="1" si="17"/>
        <v>3.1803041486734074E-2</v>
      </c>
    </row>
    <row r="181" spans="1:15" x14ac:dyDescent="0.25">
      <c r="A181">
        <v>179</v>
      </c>
      <c r="B181">
        <f ca="1">IF(ROW()-1 &lt;= Params!$B$11, _xlfn.NORM.INV(RAND(), 0, Params!$B$10), "")</f>
        <v>-7.4538026052528355E-3</v>
      </c>
      <c r="C181">
        <f ca="1">Params!$B$1*C180 + (1-Params!$B$1)*(Params!$B$8 + Params!$B$3*K180 + Params!$B$2*J180)</f>
        <v>1.3732932963483387E-2</v>
      </c>
      <c r="D181">
        <v>0.02</v>
      </c>
      <c r="E181">
        <f ca="1">(C181 - D181)/Params!$B$12 + Params!$B$9</f>
        <v>0.29774124004624752</v>
      </c>
      <c r="F181">
        <f ca="1">Params!$B$6*F180 + B181</f>
        <v>-9.0714625811370332E-4</v>
      </c>
      <c r="G181">
        <f ca="1">H181 + Params!$B$5*(E181 + I181 - L180) - Params!$B$6*(C181 - Params!$B$8)</f>
        <v>3.0471128296067906E-2</v>
      </c>
      <c r="H181">
        <v>0</v>
      </c>
      <c r="I181">
        <v>0</v>
      </c>
      <c r="J181">
        <f t="shared" ca="1" si="18"/>
        <v>3.1378274554181608E-2</v>
      </c>
      <c r="K181">
        <f ca="1">Params!$B$6*J181</f>
        <v>3.1378274554181608E-3</v>
      </c>
      <c r="L181">
        <f t="shared" ca="1" si="19"/>
        <v>2.4348515775032692E-3</v>
      </c>
      <c r="M181">
        <f t="shared" ca="1" si="15"/>
        <v>0.29530638846874424</v>
      </c>
      <c r="N181">
        <f t="shared" ca="1" si="16"/>
        <v>1.0595105508065226E-2</v>
      </c>
      <c r="O181">
        <f t="shared" ca="1" si="17"/>
        <v>9.9272878081837296E-2</v>
      </c>
    </row>
    <row r="182" spans="1:15" x14ac:dyDescent="0.25">
      <c r="A182">
        <v>180</v>
      </c>
      <c r="B182">
        <f ca="1">IF(ROW()-1 &lt;= Params!$B$11, _xlfn.NORM.INV(RAND(), 0, Params!$B$10), "")</f>
        <v>2.950494506590573E-2</v>
      </c>
      <c r="C182">
        <f ca="1">Params!$B$1*C181 + (1-Params!$B$1)*(Params!$B$8 + Params!$B$3*K181 + Params!$B$2*J181)</f>
        <v>1.6085444767615038E-2</v>
      </c>
      <c r="D182">
        <v>0.02</v>
      </c>
      <c r="E182">
        <f ca="1">(C182 - D182)/Params!$B$12 + Params!$B$9</f>
        <v>0.18597607498509411</v>
      </c>
      <c r="F182">
        <f ca="1">Params!$B$6*F181 + B182</f>
        <v>2.941423044009436E-2</v>
      </c>
      <c r="G182">
        <f ca="1">H182 + Params!$B$5*(E182 + I182 - L181) - Params!$B$6*(C182 - Params!$B$8)</f>
        <v>1.8745577863997581E-2</v>
      </c>
      <c r="H182">
        <v>0</v>
      </c>
      <c r="I182">
        <v>0</v>
      </c>
      <c r="J182">
        <f t="shared" ca="1" si="18"/>
        <v>-1.0668652576096779E-2</v>
      </c>
      <c r="K182">
        <f ca="1">Params!$B$6*J182</f>
        <v>-1.0668652576096779E-3</v>
      </c>
      <c r="L182">
        <f t="shared" ca="1" si="19"/>
        <v>1.3679863198935913E-3</v>
      </c>
      <c r="M182">
        <f t="shared" ca="1" si="15"/>
        <v>0.18460808866520051</v>
      </c>
      <c r="N182">
        <f t="shared" ca="1" si="16"/>
        <v>1.7152310025224715E-2</v>
      </c>
      <c r="O182">
        <f t="shared" ca="1" si="17"/>
        <v>-0.11176516506115342</v>
      </c>
    </row>
    <row r="183" spans="1:15" x14ac:dyDescent="0.25">
      <c r="A183">
        <v>181</v>
      </c>
      <c r="B183">
        <f ca="1">IF(ROW()-1 &lt;= Params!$B$11, _xlfn.NORM.INV(RAND(), 0, Params!$B$10), "")</f>
        <v>-5.6877315390023608E-2</v>
      </c>
      <c r="C183">
        <f ca="1">Params!$B$1*C182 + (1-Params!$B$1)*(Params!$B$8 + Params!$B$3*K182 + Params!$B$2*J182)</f>
        <v>1.5890124399168211E-2</v>
      </c>
      <c r="D183">
        <v>0.02</v>
      </c>
      <c r="E183">
        <f ca="1">(C183 - D183)/Params!$B$12 + Params!$B$9</f>
        <v>0.19525552394723131</v>
      </c>
      <c r="F183">
        <f ca="1">Params!$B$6*F182 + B183</f>
        <v>-5.3935892346014175E-2</v>
      </c>
      <c r="G183">
        <f ca="1">H183 + Params!$B$5*(E183 + I183 - L182) - Params!$B$6*(C183 - Params!$B$8)</f>
        <v>1.9799741322816953E-2</v>
      </c>
      <c r="H183">
        <v>0</v>
      </c>
      <c r="I183">
        <v>0</v>
      </c>
      <c r="J183">
        <f t="shared" ca="1" si="18"/>
        <v>7.3735633668831124E-2</v>
      </c>
      <c r="K183">
        <f ca="1">Params!$B$6*J183</f>
        <v>7.3735633668831129E-3</v>
      </c>
      <c r="L183">
        <f t="shared" ca="1" si="19"/>
        <v>8.7415496867767045E-3</v>
      </c>
      <c r="M183">
        <f t="shared" ca="1" si="15"/>
        <v>0.1865139742604546</v>
      </c>
      <c r="N183">
        <f t="shared" ca="1" si="16"/>
        <v>8.5165610322850971E-3</v>
      </c>
      <c r="O183">
        <f t="shared" ca="1" si="17"/>
        <v>9.2794489621371989E-3</v>
      </c>
    </row>
    <row r="184" spans="1:15" x14ac:dyDescent="0.25">
      <c r="A184">
        <v>182</v>
      </c>
      <c r="B184">
        <f ca="1">IF(ROW()-1 &lt;= Params!$B$11, _xlfn.NORM.INV(RAND(), 0, Params!$B$10), "")</f>
        <v>-6.4079593158007944E-2</v>
      </c>
      <c r="C184">
        <f ca="1">Params!$B$1*C183 + (1-Params!$B$1)*(Params!$B$8 + Params!$B$3*K183 + Params!$B$2*J183)</f>
        <v>2.0356571811037102E-2</v>
      </c>
      <c r="D184">
        <v>0.02</v>
      </c>
      <c r="E184">
        <f ca="1">(C184 - D184)/Params!$B$12 + Params!$B$9</f>
        <v>-1.6940321934506179E-2</v>
      </c>
      <c r="F184">
        <f ca="1">Params!$B$6*F183 + B184</f>
        <v>-6.9473182392609356E-2</v>
      </c>
      <c r="G184">
        <f ca="1">H184 + Params!$B$5*(E184 + I184 - L183) - Params!$B$6*(C184 - Params!$B$8)</f>
        <v>-2.6038443432319985E-3</v>
      </c>
      <c r="H184">
        <v>0</v>
      </c>
      <c r="I184">
        <v>0</v>
      </c>
      <c r="J184">
        <f t="shared" ca="1" si="18"/>
        <v>6.6869338049377364E-2</v>
      </c>
      <c r="K184">
        <f ca="1">Params!$B$6*J184</f>
        <v>6.6869338049377371E-3</v>
      </c>
      <c r="L184">
        <f t="shared" ca="1" si="19"/>
        <v>1.5428483491714442E-2</v>
      </c>
      <c r="M184">
        <f t="shared" ca="1" si="15"/>
        <v>-3.2368805426220622E-2</v>
      </c>
      <c r="N184">
        <f t="shared" ca="1" si="16"/>
        <v>1.3669638006099365E-2</v>
      </c>
      <c r="O184">
        <f t="shared" ca="1" si="17"/>
        <v>-0.21219584588173748</v>
      </c>
    </row>
    <row r="185" spans="1:15" x14ac:dyDescent="0.25">
      <c r="A185">
        <v>183</v>
      </c>
      <c r="B185">
        <f ca="1">IF(ROW()-1 &lt;= Params!$B$11, _xlfn.NORM.INV(RAND(), 0, Params!$B$10), "")</f>
        <v>-3.1112330605089972E-2</v>
      </c>
      <c r="C185">
        <f ca="1">Params!$B$1*C184 + (1-Params!$B$1)*(Params!$B$8 + Params!$B$3*K184 + Params!$B$2*J184)</f>
        <v>2.399872822264915E-2</v>
      </c>
      <c r="D185">
        <v>0.02</v>
      </c>
      <c r="E185">
        <f ca="1">(C185 - D185)/Params!$B$12 + Params!$B$9</f>
        <v>-0.18997503819286438</v>
      </c>
      <c r="F185">
        <f ca="1">Params!$B$6*F184 + B185</f>
        <v>-3.805964884435091E-2</v>
      </c>
      <c r="G185">
        <f ca="1">H185 + Params!$B$5*(E185 + I185 - L184) - Params!$B$6*(C185 - Params!$B$8)</f>
        <v>-2.0940224990722799E-2</v>
      </c>
      <c r="H185">
        <v>0</v>
      </c>
      <c r="I185">
        <v>0</v>
      </c>
      <c r="J185">
        <f t="shared" ca="1" si="18"/>
        <v>1.7119423853628111E-2</v>
      </c>
      <c r="K185">
        <f ca="1">Params!$B$6*J185</f>
        <v>1.7119423853628113E-3</v>
      </c>
      <c r="L185">
        <f t="shared" ca="1" si="19"/>
        <v>1.7140425877077252E-2</v>
      </c>
      <c r="M185">
        <f t="shared" ca="1" si="15"/>
        <v>-0.20711546406994163</v>
      </c>
      <c r="N185">
        <f t="shared" ca="1" si="16"/>
        <v>2.2286785837286337E-2</v>
      </c>
      <c r="O185">
        <f t="shared" ca="1" si="17"/>
        <v>-0.1730347162583582</v>
      </c>
    </row>
    <row r="186" spans="1:15" x14ac:dyDescent="0.25">
      <c r="A186">
        <v>184</v>
      </c>
      <c r="B186">
        <f ca="1">IF(ROW()-1 &lt;= Params!$B$11, _xlfn.NORM.INV(RAND(), 0, Params!$B$10), "")</f>
        <v>-3.4660989394986692E-2</v>
      </c>
      <c r="C186">
        <f ca="1">Params!$B$1*C185 + (1-Params!$B$1)*(Params!$B$8 + Params!$B$3*K185 + Params!$B$2*J185)</f>
        <v>2.4540423712333781E-2</v>
      </c>
      <c r="D186">
        <v>0.02</v>
      </c>
      <c r="E186">
        <f ca="1">(C186 - D186)/Params!$B$12 + Params!$B$9</f>
        <v>-0.2157103759332131</v>
      </c>
      <c r="F186">
        <f ca="1">Params!$B$6*F185 + B186</f>
        <v>-3.8466954279421782E-2</v>
      </c>
      <c r="G186">
        <f ca="1">H186 + Params!$B$5*(E186 + I186 - L185) - Params!$B$6*(C186 - Params!$B$8)</f>
        <v>-2.3739122552262418E-2</v>
      </c>
      <c r="H186">
        <v>0</v>
      </c>
      <c r="I186">
        <v>0</v>
      </c>
      <c r="J186">
        <f t="shared" ca="1" si="18"/>
        <v>1.4727831727159364E-2</v>
      </c>
      <c r="K186">
        <f ca="1">Params!$B$6*J186</f>
        <v>1.4727831727159365E-3</v>
      </c>
      <c r="L186">
        <f t="shared" ca="1" si="19"/>
        <v>1.8613209049793189E-2</v>
      </c>
      <c r="M186">
        <f t="shared" ca="1" si="15"/>
        <v>-0.23432358498300629</v>
      </c>
      <c r="N186">
        <f t="shared" ca="1" si="16"/>
        <v>2.3067640539617844E-2</v>
      </c>
      <c r="O186">
        <f t="shared" ca="1" si="17"/>
        <v>-2.5735337740348724E-2</v>
      </c>
    </row>
    <row r="187" spans="1:15" x14ac:dyDescent="0.25">
      <c r="A187">
        <v>185</v>
      </c>
      <c r="B187">
        <f ca="1">IF(ROW()-1 &lt;= Params!$B$11, _xlfn.NORM.INV(RAND(), 0, Params!$B$10), "")</f>
        <v>-3.3263781335108483E-3</v>
      </c>
      <c r="C187">
        <f ca="1">Params!$B$1*C186 + (1-Params!$B$1)*(Params!$B$8 + Params!$B$3*K186 + Params!$B$2*J186)</f>
        <v>2.4896412086094166E-2</v>
      </c>
      <c r="D187">
        <v>0.02</v>
      </c>
      <c r="E187">
        <f ca="1">(C187 - D187)/Params!$B$12 + Params!$B$9</f>
        <v>-0.23262297942506555</v>
      </c>
      <c r="F187">
        <f ca="1">Params!$B$6*F186 + B187</f>
        <v>-7.1730735614530267E-3</v>
      </c>
      <c r="G187">
        <f ca="1">H187 + Params!$B$5*(E187 + I187 - L186) - Params!$B$6*(C187 - Params!$B$8)</f>
        <v>-2.561326005609529E-2</v>
      </c>
      <c r="H187">
        <v>0</v>
      </c>
      <c r="I187">
        <v>0</v>
      </c>
      <c r="J187">
        <f t="shared" ca="1" si="18"/>
        <v>-1.8440186494642262E-2</v>
      </c>
      <c r="K187">
        <f ca="1">Params!$B$6*J187</f>
        <v>-1.8440186494642263E-3</v>
      </c>
      <c r="L187">
        <f t="shared" ca="1" si="19"/>
        <v>1.6769190400328964E-2</v>
      </c>
      <c r="M187">
        <f t="shared" ca="1" si="15"/>
        <v>-0.2493921698253945</v>
      </c>
      <c r="N187">
        <f t="shared" ca="1" si="16"/>
        <v>2.6740430735558391E-2</v>
      </c>
      <c r="O187">
        <f t="shared" ca="1" si="17"/>
        <v>-1.6912603491852446E-2</v>
      </c>
    </row>
    <row r="188" spans="1:15" x14ac:dyDescent="0.25">
      <c r="A188">
        <v>186</v>
      </c>
      <c r="B188">
        <f ca="1">IF(ROW()-1 &lt;= Params!$B$11, _xlfn.NORM.INV(RAND(), 0, Params!$B$10), "")</f>
        <v>1.3298246007534856E-2</v>
      </c>
      <c r="C188">
        <f ca="1">Params!$B$1*C187 + (1-Params!$B$1)*(Params!$B$8 + Params!$B$3*K187 + Params!$B$2*J187)</f>
        <v>2.3392560620279425E-2</v>
      </c>
      <c r="D188">
        <v>0.02</v>
      </c>
      <c r="E188">
        <f ca="1">(C188 - D188)/Params!$B$12 + Params!$B$9</f>
        <v>-0.16117670357256994</v>
      </c>
      <c r="F188">
        <f ca="1">Params!$B$6*F187 + B188</f>
        <v>1.2580938651389553E-2</v>
      </c>
      <c r="G188">
        <f ca="1">H188 + Params!$B$5*(E188 + I188 - L187) - Params!$B$6*(C188 - Params!$B$8)</f>
        <v>-1.8133845459317833E-2</v>
      </c>
      <c r="H188">
        <v>0</v>
      </c>
      <c r="I188">
        <v>0</v>
      </c>
      <c r="J188">
        <f t="shared" ca="1" si="18"/>
        <v>-3.0714784110707386E-2</v>
      </c>
      <c r="K188">
        <f ca="1">Params!$B$6*J188</f>
        <v>-3.071478411070739E-3</v>
      </c>
      <c r="L188">
        <f t="shared" ca="1" si="19"/>
        <v>1.3697711989258225E-2</v>
      </c>
      <c r="M188">
        <f t="shared" ca="1" si="15"/>
        <v>-0.17487441556182817</v>
      </c>
      <c r="N188">
        <f t="shared" ca="1" si="16"/>
        <v>2.6464039031350164E-2</v>
      </c>
      <c r="O188">
        <f t="shared" ca="1" si="17"/>
        <v>7.1446275852495605E-2</v>
      </c>
    </row>
    <row r="189" spans="1:15" x14ac:dyDescent="0.25">
      <c r="A189">
        <v>187</v>
      </c>
      <c r="B189">
        <f ca="1">IF(ROW()-1 &lt;= Params!$B$11, _xlfn.NORM.INV(RAND(), 0, Params!$B$10), "")</f>
        <v>3.1308800677865449E-2</v>
      </c>
      <c r="C189">
        <f ca="1">Params!$B$1*C188 + (1-Params!$B$1)*(Params!$B$8 + Params!$B$3*K188 + Params!$B$2*J188)</f>
        <v>2.1363991432162575E-2</v>
      </c>
      <c r="D189">
        <v>0.02</v>
      </c>
      <c r="E189">
        <f ca="1">(C189 - D189)/Params!$B$12 + Params!$B$9</f>
        <v>-6.4801684433596157E-2</v>
      </c>
      <c r="F189">
        <f ca="1">Params!$B$6*F188 + B189</f>
        <v>3.2566894543004404E-2</v>
      </c>
      <c r="G189">
        <f ca="1">H189 + Params!$B$5*(E189 + I189 - L188) - Params!$B$6*(C189 - Params!$B$8)</f>
        <v>-7.9863387855016958E-3</v>
      </c>
      <c r="H189">
        <v>0</v>
      </c>
      <c r="I189">
        <v>0</v>
      </c>
      <c r="J189">
        <f t="shared" ca="1" si="18"/>
        <v>-4.0553233328506098E-2</v>
      </c>
      <c r="K189">
        <f ca="1">Params!$B$6*J189</f>
        <v>-4.0553233328506104E-3</v>
      </c>
      <c r="L189">
        <f t="shared" ca="1" si="19"/>
        <v>9.642388656407614E-3</v>
      </c>
      <c r="M189">
        <f t="shared" ca="1" si="15"/>
        <v>-7.4444073090003768E-2</v>
      </c>
      <c r="N189">
        <f t="shared" ca="1" si="16"/>
        <v>2.5419314765013187E-2</v>
      </c>
      <c r="O189">
        <f t="shared" ca="1" si="17"/>
        <v>9.6375019138973783E-2</v>
      </c>
    </row>
    <row r="190" spans="1:15" x14ac:dyDescent="0.25">
      <c r="A190">
        <v>188</v>
      </c>
      <c r="B190">
        <f ca="1">IF(ROW()-1 &lt;= Params!$B$11, _xlfn.NORM.INV(RAND(), 0, Params!$B$10), "")</f>
        <v>2.8550651033474945E-2</v>
      </c>
      <c r="C190">
        <f ca="1">Params!$B$1*C189 + (1-Params!$B$1)*(Params!$B$8 + Params!$B$3*K189 + Params!$B$2*J189)</f>
        <v>1.8997164455878485E-2</v>
      </c>
      <c r="D190">
        <v>0.02</v>
      </c>
      <c r="E190">
        <f ca="1">(C190 - D190)/Params!$B$12 + Params!$B$9</f>
        <v>4.7643578204830318E-2</v>
      </c>
      <c r="F190">
        <f ca="1">Params!$B$6*F189 + B190</f>
        <v>3.1807340487775386E-2</v>
      </c>
      <c r="G190">
        <f ca="1">H190 + Params!$B$5*(E190 + I190 - L189) - Params!$B$6*(C190 - Params!$B$8)</f>
        <v>3.9004025092544219E-3</v>
      </c>
      <c r="H190">
        <v>0</v>
      </c>
      <c r="I190">
        <v>0</v>
      </c>
      <c r="J190">
        <f t="shared" ca="1" si="18"/>
        <v>-2.7906937978520965E-2</v>
      </c>
      <c r="K190">
        <f ca="1">Params!$B$6*J190</f>
        <v>-2.7906937978520968E-3</v>
      </c>
      <c r="L190">
        <f t="shared" ca="1" si="19"/>
        <v>6.8516948585555168E-3</v>
      </c>
      <c r="M190">
        <f t="shared" ca="1" si="15"/>
        <v>4.0791883346274802E-2</v>
      </c>
      <c r="N190">
        <f t="shared" ca="1" si="16"/>
        <v>2.1787858253730582E-2</v>
      </c>
      <c r="O190">
        <f t="shared" ca="1" si="17"/>
        <v>0.11244526263842647</v>
      </c>
    </row>
    <row r="191" spans="1:15" x14ac:dyDescent="0.25">
      <c r="A191">
        <v>189</v>
      </c>
      <c r="B191">
        <f ca="1">IF(ROW()-1 &lt;= Params!$B$11, _xlfn.NORM.INV(RAND(), 0, Params!$B$10), "")</f>
        <v>7.2877721659664829E-2</v>
      </c>
      <c r="C191">
        <f ca="1">Params!$B$1*C190 + (1-Params!$B$1)*(Params!$B$8 + Params!$B$3*K190 + Params!$B$2*J190)</f>
        <v>1.7562566421471984E-2</v>
      </c>
      <c r="D191">
        <v>0.02</v>
      </c>
      <c r="E191">
        <f ca="1">(C191 - D191)/Params!$B$12 + Params!$B$9</f>
        <v>0.11579970215296587</v>
      </c>
      <c r="F191">
        <f ca="1">Params!$B$6*F190 + B191</f>
        <v>7.6058455708442371E-2</v>
      </c>
      <c r="G191">
        <f ca="1">H191 + Params!$B$5*(E191 + I191 - L190) - Params!$B$6*(C191 - Params!$B$8)</f>
        <v>1.1138544087293837E-2</v>
      </c>
      <c r="H191">
        <v>0</v>
      </c>
      <c r="I191">
        <v>0</v>
      </c>
      <c r="J191">
        <f t="shared" ca="1" si="18"/>
        <v>-6.4919911621148532E-2</v>
      </c>
      <c r="K191">
        <f ca="1">Params!$B$6*J191</f>
        <v>-6.4919911621148536E-3</v>
      </c>
      <c r="L191">
        <f t="shared" ca="1" si="19"/>
        <v>3.5970369644066323E-4</v>
      </c>
      <c r="M191">
        <f t="shared" ca="1" si="15"/>
        <v>0.11543999845652521</v>
      </c>
      <c r="N191">
        <f t="shared" ca="1" si="16"/>
        <v>2.4054557583586836E-2</v>
      </c>
      <c r="O191">
        <f t="shared" ca="1" si="17"/>
        <v>6.8156123948135555E-2</v>
      </c>
    </row>
    <row r="192" spans="1:15" x14ac:dyDescent="0.25">
      <c r="A192">
        <v>190</v>
      </c>
      <c r="B192">
        <f ca="1">IF(ROW()-1 &lt;= Params!$B$11, _xlfn.NORM.INV(RAND(), 0, Params!$B$10), "")</f>
        <v>1.4463877301620598E-2</v>
      </c>
      <c r="C192">
        <f ca="1">Params!$B$1*C191 + (1-Params!$B$1)*(Params!$B$8 + Params!$B$3*K191 + Params!$B$2*J191)</f>
        <v>1.4235714640161616E-2</v>
      </c>
      <c r="D192">
        <v>0.02</v>
      </c>
      <c r="E192">
        <f ca="1">(C192 - D192)/Params!$B$12 + Params!$B$9</f>
        <v>0.27385465338386616</v>
      </c>
      <c r="F192">
        <f ca="1">Params!$B$6*F191 + B192</f>
        <v>2.2069722872464836E-2</v>
      </c>
      <c r="G192">
        <f ca="1">H192 + Params!$B$5*(E192 + I192 - L191) - Params!$B$6*(C192 - Params!$B$8)</f>
        <v>2.7925923504726387E-2</v>
      </c>
      <c r="H192">
        <v>0</v>
      </c>
      <c r="I192">
        <v>0</v>
      </c>
      <c r="J192">
        <f t="shared" ca="1" si="18"/>
        <v>5.856200632261551E-3</v>
      </c>
      <c r="K192">
        <f ca="1">Params!$B$6*J192</f>
        <v>5.8562006322615513E-4</v>
      </c>
      <c r="L192">
        <f t="shared" ca="1" si="19"/>
        <v>9.4532375966681836E-4</v>
      </c>
      <c r="M192">
        <f t="shared" ca="1" si="15"/>
        <v>0.27290932962419934</v>
      </c>
      <c r="N192">
        <f t="shared" ca="1" si="16"/>
        <v>1.3650094576935461E-2</v>
      </c>
      <c r="O192">
        <f t="shared" ca="1" si="17"/>
        <v>0.1580549512309003</v>
      </c>
    </row>
    <row r="193" spans="1:15" x14ac:dyDescent="0.25">
      <c r="A193">
        <v>191</v>
      </c>
      <c r="B193">
        <f ca="1">IF(ROW()-1 &lt;= Params!$B$11, _xlfn.NORM.INV(RAND(), 0, Params!$B$10), "")</f>
        <v>1.6031860004554589E-4</v>
      </c>
      <c r="C193">
        <f ca="1">Params!$B$1*C192 + (1-Params!$B$1)*(Params!$B$8 + Params!$B$3*K192 + Params!$B$2*J192)</f>
        <v>1.5134234210919841E-2</v>
      </c>
      <c r="D193">
        <v>0.02</v>
      </c>
      <c r="E193">
        <f ca="1">(C193 - D193)/Params!$B$12 + Params!$B$9</f>
        <v>0.23116700864597403</v>
      </c>
      <c r="F193">
        <f ca="1">Params!$B$6*F192 + B193</f>
        <v>2.3672908872920295E-3</v>
      </c>
      <c r="G193">
        <f ca="1">H193 + Params!$B$5*(E193 + I193 - L192) - Params!$B$6*(C193 - Params!$B$8)</f>
        <v>2.3508745067538736E-2</v>
      </c>
      <c r="H193">
        <v>0</v>
      </c>
      <c r="I193">
        <v>0</v>
      </c>
      <c r="J193">
        <f t="shared" ca="1" si="18"/>
        <v>2.1141454180246707E-2</v>
      </c>
      <c r="K193">
        <f ca="1">Params!$B$6*J193</f>
        <v>2.1141454180246709E-3</v>
      </c>
      <c r="L193">
        <f t="shared" ca="1" si="19"/>
        <v>3.0594691776914891E-3</v>
      </c>
      <c r="M193">
        <f t="shared" ca="1" si="15"/>
        <v>0.22810753946828255</v>
      </c>
      <c r="N193">
        <f t="shared" ca="1" si="16"/>
        <v>1.3020088792895169E-2</v>
      </c>
      <c r="O193">
        <f t="shared" ca="1" si="17"/>
        <v>-4.2687644737892133E-2</v>
      </c>
    </row>
    <row r="194" spans="1:15" x14ac:dyDescent="0.25">
      <c r="A194">
        <v>192</v>
      </c>
      <c r="B194">
        <f ca="1">IF(ROW()-1 &lt;= Params!$B$11, _xlfn.NORM.INV(RAND(), 0, Params!$B$10), "")</f>
        <v>4.3712374034902343E-2</v>
      </c>
      <c r="C194">
        <f ca="1">Params!$B$1*C193 + (1-Params!$B$1)*(Params!$B$8 + Params!$B$3*K193 + Params!$B$2*J193)</f>
        <v>1.6783590769741424E-2</v>
      </c>
      <c r="D194">
        <v>0.02</v>
      </c>
      <c r="E194">
        <f ca="1">(C194 - D194)/Params!$B$12 + Params!$B$9</f>
        <v>0.15280795101334579</v>
      </c>
      <c r="F194">
        <f ca="1">Params!$B$6*F193 + B194</f>
        <v>4.3949103123631546E-2</v>
      </c>
      <c r="G194">
        <f ca="1">H194 + Params!$B$5*(E194 + I194 - L193) - Params!$B$6*(C194 - Params!$B$8)</f>
        <v>1.529648910659129E-2</v>
      </c>
      <c r="H194">
        <v>0</v>
      </c>
      <c r="I194">
        <v>0</v>
      </c>
      <c r="J194">
        <f t="shared" ca="1" si="18"/>
        <v>-2.8652614017040258E-2</v>
      </c>
      <c r="K194">
        <f ca="1">Params!$B$6*J194</f>
        <v>-2.865261401704026E-3</v>
      </c>
      <c r="L194">
        <f t="shared" ca="1" si="19"/>
        <v>1.9420777598746315E-4</v>
      </c>
      <c r="M194">
        <f t="shared" ca="1" si="15"/>
        <v>0.15261374323735832</v>
      </c>
      <c r="N194">
        <f t="shared" ca="1" si="16"/>
        <v>1.9648852171445449E-2</v>
      </c>
      <c r="O194">
        <f t="shared" ca="1" si="17"/>
        <v>-7.8359057632628237E-2</v>
      </c>
    </row>
    <row r="195" spans="1:15" x14ac:dyDescent="0.25">
      <c r="A195">
        <v>193</v>
      </c>
      <c r="B195">
        <f ca="1">IF(ROW()-1 &lt;= Params!$B$11, _xlfn.NORM.INV(RAND(), 0, Params!$B$10), "")</f>
        <v>1.8054962027807958E-2</v>
      </c>
      <c r="C195">
        <f ca="1">Params!$B$1*C194 + (1-Params!$B$1)*(Params!$B$8 + Params!$B$3*K194 + Params!$B$2*J194)</f>
        <v>1.5529337921830068E-2</v>
      </c>
      <c r="D195">
        <v>0.02</v>
      </c>
      <c r="E195">
        <f ca="1">(C195 - D195)/Params!$B$12 + Params!$B$9</f>
        <v>0.21239607989288517</v>
      </c>
      <c r="F195">
        <f ca="1">Params!$B$6*F194 + B195</f>
        <v>2.2449872340171113E-2</v>
      </c>
      <c r="G195">
        <f ca="1">H195 + Params!$B$5*(E195 + I195 - L194) - Params!$B$6*(C195 - Params!$B$8)</f>
        <v>2.1667253419506764E-2</v>
      </c>
      <c r="H195">
        <v>0</v>
      </c>
      <c r="I195">
        <v>0</v>
      </c>
      <c r="J195">
        <f t="shared" ca="1" si="18"/>
        <v>-7.8261892066434913E-4</v>
      </c>
      <c r="K195">
        <f ca="1">Params!$B$6*J195</f>
        <v>-7.8261892066434924E-5</v>
      </c>
      <c r="L195">
        <f t="shared" ca="1" si="19"/>
        <v>1.1594588392102823E-4</v>
      </c>
      <c r="M195">
        <f t="shared" ref="M195:M202" ca="1" si="20">E195+I195-L195</f>
        <v>0.21228013400896414</v>
      </c>
      <c r="N195">
        <f t="shared" ref="N195:N202" ca="1" si="21">C195-K195</f>
        <v>1.5607599813896502E-2</v>
      </c>
      <c r="O195">
        <f t="shared" ca="1" si="17"/>
        <v>5.9588128879539376E-2</v>
      </c>
    </row>
    <row r="196" spans="1:15" x14ac:dyDescent="0.25">
      <c r="A196">
        <v>194</v>
      </c>
      <c r="B196">
        <f ca="1">IF(ROW()-1 &lt;= Params!$B$11, _xlfn.NORM.INV(RAND(), 0, Params!$B$10), "")</f>
        <v>-4.4232063697823162E-2</v>
      </c>
      <c r="C196">
        <f ca="1">Params!$B$1*C195 + (1-Params!$B$1)*(Params!$B$8 + Params!$B$3*K195 + Params!$B$2*J195)</f>
        <v>1.5933360089010522E-2</v>
      </c>
      <c r="D196">
        <v>0.02</v>
      </c>
      <c r="E196">
        <f ca="1">(C196 - D196)/Params!$B$12 + Params!$B$9</f>
        <v>0.19320144540731837</v>
      </c>
      <c r="F196">
        <f ca="1">Params!$B$6*F195 + B196</f>
        <v>-4.1987076463806054E-2</v>
      </c>
      <c r="G196">
        <f ca="1">H196 + Params!$B$5*(E196 + I196 - L195) - Params!$B$6*(C196 - Params!$B$8)</f>
        <v>1.9715213943438684E-2</v>
      </c>
      <c r="H196">
        <v>0</v>
      </c>
      <c r="I196">
        <v>0</v>
      </c>
      <c r="J196">
        <f t="shared" ca="1" si="18"/>
        <v>6.1702290407244738E-2</v>
      </c>
      <c r="K196">
        <f ca="1">Params!$B$6*J196</f>
        <v>6.1702290407244743E-3</v>
      </c>
      <c r="L196">
        <f t="shared" ca="1" si="19"/>
        <v>6.2861749246455028E-3</v>
      </c>
      <c r="M196">
        <f t="shared" ca="1" si="20"/>
        <v>0.18691527048267287</v>
      </c>
      <c r="N196">
        <f t="shared" ca="1" si="21"/>
        <v>9.7631310482860466E-3</v>
      </c>
      <c r="O196">
        <f t="shared" ref="O196:O202" ca="1" si="22">E196-E195</f>
        <v>-1.9194634485566797E-2</v>
      </c>
    </row>
    <row r="197" spans="1:15" x14ac:dyDescent="0.25">
      <c r="A197">
        <v>195</v>
      </c>
      <c r="B197">
        <f ca="1">IF(ROW()-1 &lt;= Params!$B$11, _xlfn.NORM.INV(RAND(), 0, Params!$B$10), "")</f>
        <v>1.3538945577554804E-2</v>
      </c>
      <c r="C197">
        <f ca="1">Params!$B$1*C196 + (1-Params!$B$1)*(Params!$B$8 + Params!$B$3*K196 + Params!$B$2*J196)</f>
        <v>1.9733650052507927E-2</v>
      </c>
      <c r="D197">
        <v>0.02</v>
      </c>
      <c r="E197">
        <f ca="1">(C197 - D197)/Params!$B$12 + Params!$B$9</f>
        <v>1.2653983624311377E-2</v>
      </c>
      <c r="F197">
        <f ca="1">Params!$B$6*F196 + B197</f>
        <v>9.340237931174198E-3</v>
      </c>
      <c r="G197">
        <f ca="1">H197 + Params!$B$5*(E197 + I197 - L196) - Params!$B$6*(C197 - Params!$B$8)</f>
        <v>6.6341586471579483E-4</v>
      </c>
      <c r="H197">
        <v>0</v>
      </c>
      <c r="I197">
        <v>0</v>
      </c>
      <c r="J197">
        <f t="shared" ca="1" si="18"/>
        <v>-8.6768220664584037E-3</v>
      </c>
      <c r="K197">
        <f ca="1">Params!$B$6*J197</f>
        <v>-8.6768220664584046E-4</v>
      </c>
      <c r="L197">
        <f t="shared" ca="1" si="19"/>
        <v>5.4184927179996619E-3</v>
      </c>
      <c r="M197">
        <f t="shared" ca="1" si="20"/>
        <v>7.2354909063117156E-3</v>
      </c>
      <c r="N197">
        <f t="shared" ca="1" si="21"/>
        <v>2.0601332259153768E-2</v>
      </c>
      <c r="O197">
        <f t="shared" ca="1" si="22"/>
        <v>-0.18054746178300699</v>
      </c>
    </row>
    <row r="198" spans="1:15" x14ac:dyDescent="0.25">
      <c r="A198">
        <v>196</v>
      </c>
      <c r="B198">
        <f ca="1">IF(ROW()-1 &lt;= Params!$B$11, _xlfn.NORM.INV(RAND(), 0, Params!$B$10), "")</f>
        <v>2.0367473041730658E-2</v>
      </c>
      <c r="C198">
        <f ca="1">Params!$B$1*C197 + (1-Params!$B$1)*(Params!$B$8 + Params!$B$3*K197 + Params!$B$2*J197)</f>
        <v>1.9283059833601925E-2</v>
      </c>
      <c r="D198">
        <v>0.02</v>
      </c>
      <c r="E198">
        <f ca="1">(C198 - D198)/Params!$B$12 + Params!$B$9</f>
        <v>3.406101337970905E-2</v>
      </c>
      <c r="F198">
        <f ca="1">Params!$B$6*F197 + B198</f>
        <v>2.1301496834848076E-2</v>
      </c>
      <c r="G198">
        <f ca="1">H198 + Params!$B$5*(E198 + I198 - L197) - Params!$B$6*(C198 - Params!$B$8)</f>
        <v>2.9359460828107461E-3</v>
      </c>
      <c r="H198">
        <v>0</v>
      </c>
      <c r="I198">
        <v>0</v>
      </c>
      <c r="J198">
        <f t="shared" ca="1" si="18"/>
        <v>-1.836555075203733E-2</v>
      </c>
      <c r="K198">
        <f ca="1">Params!$B$6*J198</f>
        <v>-1.8365550752037331E-3</v>
      </c>
      <c r="L198">
        <f t="shared" ca="1" si="19"/>
        <v>3.5819376427959288E-3</v>
      </c>
      <c r="M198">
        <f t="shared" ca="1" si="20"/>
        <v>3.0479075736913122E-2</v>
      </c>
      <c r="N198">
        <f t="shared" ca="1" si="21"/>
        <v>2.1119614908805658E-2</v>
      </c>
      <c r="O198">
        <f t="shared" ca="1" si="22"/>
        <v>2.1407029755397673E-2</v>
      </c>
    </row>
    <row r="199" spans="1:15" x14ac:dyDescent="0.25">
      <c r="A199">
        <v>197</v>
      </c>
      <c r="B199">
        <f ca="1">IF(ROW()-1 &lt;= Params!$B$11, _xlfn.NORM.INV(RAND(), 0, Params!$B$10), "")</f>
        <v>3.7799860878474173E-2</v>
      </c>
      <c r="C199">
        <f ca="1">Params!$B$1*C198 + (1-Params!$B$1)*(Params!$B$8 + Params!$B$3*K198 + Params!$B$2*J198)</f>
        <v>1.8344648558879677E-2</v>
      </c>
      <c r="D199">
        <v>0.02</v>
      </c>
      <c r="E199">
        <f ca="1">(C199 - D199)/Params!$B$12 + Params!$B$9</f>
        <v>7.8643867684787858E-2</v>
      </c>
      <c r="F199">
        <f ca="1">Params!$B$6*F198 + B199</f>
        <v>3.9930010561958981E-2</v>
      </c>
      <c r="G199">
        <f ca="1">H199 + Params!$B$5*(E199 + I199 - L198) - Params!$B$6*(C199 - Params!$B$8)</f>
        <v>7.6717281483112253E-3</v>
      </c>
      <c r="H199">
        <v>0</v>
      </c>
      <c r="I199">
        <v>0</v>
      </c>
      <c r="J199">
        <f t="shared" ca="1" si="18"/>
        <v>-3.2258282413647754E-2</v>
      </c>
      <c r="K199">
        <f ca="1">Params!$B$6*J199</f>
        <v>-3.2258282413647754E-3</v>
      </c>
      <c r="L199">
        <f t="shared" ca="1" si="19"/>
        <v>3.5610940143115336E-4</v>
      </c>
      <c r="M199">
        <f t="shared" ca="1" si="20"/>
        <v>7.8287758283356698E-2</v>
      </c>
      <c r="N199">
        <f t="shared" ca="1" si="21"/>
        <v>2.1570476800244452E-2</v>
      </c>
      <c r="O199">
        <f t="shared" ca="1" si="22"/>
        <v>4.4582854305078808E-2</v>
      </c>
    </row>
    <row r="200" spans="1:15" x14ac:dyDescent="0.25">
      <c r="A200">
        <v>198</v>
      </c>
      <c r="B200">
        <f ca="1">IF(ROW()-1 &lt;= Params!$B$11, _xlfn.NORM.INV(RAND(), 0, Params!$B$10), "")</f>
        <v>3.8448233335126397E-2</v>
      </c>
      <c r="C200">
        <f ca="1">Params!$B$1*C199 + (1-Params!$B$1)*(Params!$B$8 + Params!$B$3*K199 + Params!$B$2*J199)</f>
        <v>1.6735978170241084E-2</v>
      </c>
      <c r="D200">
        <v>0.02</v>
      </c>
      <c r="E200">
        <f ca="1">(C200 - D200)/Params!$B$12 + Params!$B$9</f>
        <v>0.15506997156210578</v>
      </c>
      <c r="F200">
        <f ca="1">Params!$B$6*F199 + B200</f>
        <v>4.2441234391322295E-2</v>
      </c>
      <c r="G200">
        <f ca="1">H200 + Params!$B$5*(E200 + I200 - L199) - Params!$B$6*(C200 - Params!$B$8)</f>
        <v>1.5797788399043354E-2</v>
      </c>
      <c r="H200">
        <v>0</v>
      </c>
      <c r="I200">
        <v>0</v>
      </c>
      <c r="J200">
        <f t="shared" ca="1" si="18"/>
        <v>-2.6643445992278941E-2</v>
      </c>
      <c r="K200">
        <f ca="1">Params!$B$6*J200</f>
        <v>-2.6643445992278942E-3</v>
      </c>
      <c r="L200">
        <f t="shared" ca="1" si="19"/>
        <v>-2.3082351977967409E-3</v>
      </c>
      <c r="M200">
        <f t="shared" ca="1" si="20"/>
        <v>0.15737820675990252</v>
      </c>
      <c r="N200">
        <f t="shared" ca="1" si="21"/>
        <v>1.9400322769468979E-2</v>
      </c>
      <c r="O200">
        <f t="shared" ca="1" si="22"/>
        <v>7.6426103877317922E-2</v>
      </c>
    </row>
    <row r="201" spans="1:15" x14ac:dyDescent="0.25">
      <c r="A201">
        <v>199</v>
      </c>
      <c r="B201">
        <f ca="1">IF(ROW()-1 &lt;= Params!$B$11, _xlfn.NORM.INV(RAND(), 0, Params!$B$10), "")</f>
        <v>-0.11703634138162243</v>
      </c>
      <c r="C201">
        <f ca="1">Params!$B$1*C200 + (1-Params!$B$1)*(Params!$B$8 + Params!$B$3*K200 + Params!$B$2*J200)</f>
        <v>1.5596990823641634E-2</v>
      </c>
      <c r="D201">
        <v>0.02</v>
      </c>
      <c r="E201">
        <f ca="1">(C201 - D201)/Params!$B$12 + Params!$B$9</f>
        <v>0.20918196733261826</v>
      </c>
      <c r="F201">
        <f ca="1">Params!$B$6*F200 + B201</f>
        <v>-0.1127922179424902</v>
      </c>
      <c r="G201">
        <f ca="1">H201 + Params!$B$5*(E201 + I201 - L200) - Params!$B$6*(C201 - Params!$B$8)</f>
        <v>2.1589321170677338E-2</v>
      </c>
      <c r="H201">
        <v>0</v>
      </c>
      <c r="I201">
        <v>0</v>
      </c>
      <c r="J201">
        <f t="shared" ca="1" si="18"/>
        <v>0.13438153911316753</v>
      </c>
      <c r="K201">
        <f ca="1">Params!$B$6*J201</f>
        <v>1.3438153911316753E-2</v>
      </c>
      <c r="L201">
        <f t="shared" ca="1" si="19"/>
        <v>1.1129918713520011E-2</v>
      </c>
      <c r="M201">
        <f t="shared" ca="1" si="20"/>
        <v>0.19805204861909825</v>
      </c>
      <c r="N201">
        <f t="shared" ca="1" si="21"/>
        <v>2.1588369123248814E-3</v>
      </c>
      <c r="O201">
        <f t="shared" ca="1" si="22"/>
        <v>5.4111995770512483E-2</v>
      </c>
    </row>
    <row r="202" spans="1:15" x14ac:dyDescent="0.25">
      <c r="A202">
        <v>200</v>
      </c>
      <c r="B202" t="str">
        <f ca="1">IF(ROW()-1 &lt;= Params!$B$11, _xlfn.NORM.INV(RAND(), 0, Params!$B$10), "")</f>
        <v/>
      </c>
      <c r="C202">
        <f ca="1">Params!$B$1*C201 + (1-Params!$B$1)*(Params!$B$8 + Params!$B$3*K201 + Params!$B$2*J201)</f>
        <v>2.3428276392501682E-2</v>
      </c>
      <c r="D202">
        <v>0.02</v>
      </c>
      <c r="E202">
        <f ca="1">(C202 - D202)/Params!$B$12 + Params!$B$9</f>
        <v>-0.16287351936354555</v>
      </c>
      <c r="F202" t="e">
        <f ca="1">Params!$B$6*F201 + B202</f>
        <v>#VALUE!</v>
      </c>
      <c r="G202">
        <f ca="1">H202 + Params!$B$5*(E202 + I202 - L201) - Params!$B$6*(C202 - Params!$B$8)</f>
        <v>-1.7743171446956724E-2</v>
      </c>
      <c r="H202">
        <v>0</v>
      </c>
      <c r="I202">
        <v>0</v>
      </c>
      <c r="J202" t="e">
        <f t="shared" ca="1" si="18"/>
        <v>#VALUE!</v>
      </c>
      <c r="K202" t="e">
        <f ca="1">Params!$B$6*J202</f>
        <v>#VALUE!</v>
      </c>
      <c r="L202" t="e">
        <f t="shared" ca="1" si="19"/>
        <v>#VALUE!</v>
      </c>
      <c r="M202" t="e">
        <f t="shared" ca="1" si="20"/>
        <v>#VALUE!</v>
      </c>
      <c r="N202" t="e">
        <f t="shared" ca="1" si="21"/>
        <v>#VALUE!</v>
      </c>
      <c r="O202">
        <f t="shared" ca="1" si="22"/>
        <v>-0.37205548669616384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Params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D McNelis</cp:lastModifiedBy>
  <dcterms:created xsi:type="dcterms:W3CDTF">2025-10-09T00:10:36Z</dcterms:created>
  <dcterms:modified xsi:type="dcterms:W3CDTF">2025-10-09T01:14:10Z</dcterms:modified>
</cp:coreProperties>
</file>