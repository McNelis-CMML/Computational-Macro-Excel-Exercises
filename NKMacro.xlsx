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5F8AFB3A-8DE9-4331-BC8C-806F508F158E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Fixing Money" sheetId="1" r:id="rId1"/>
    <sheet name="Money-Path" sheetId="2" r:id="rId2"/>
    <sheet name="summary" sheetId="3" r:id="rId3"/>
  </sheets>
  <externalReferences>
    <externalReference r:id="rId4"/>
    <externalReference r:id="rId5"/>
  </externalReferences>
  <definedNames>
    <definedName name="Alpha">'Fixing Money'!#REF!</definedName>
    <definedName name="Beta">'Fixing Money'!$B$9</definedName>
    <definedName name="Beta0_0">'Fixing Money'!$B$18</definedName>
    <definedName name="Beta0_1">'Fixing Money'!$C$18</definedName>
    <definedName name="Beta1">'Fixing Money'!$B$12</definedName>
    <definedName name="Delta">'Fixing Money'!$B$11</definedName>
    <definedName name="m_0">'Fixing Money'!$B$17</definedName>
    <definedName name="m_1">'Fixing Money'!$C$17</definedName>
    <definedName name="Mi">'Fixing Money'!$B$13</definedName>
    <definedName name="Ni">'Fixing Money'!$B$14</definedName>
    <definedName name="pbar_0">'Fixing Money'!$B$22</definedName>
    <definedName name="pbar_1">'Fixing Money'!$C$22</definedName>
    <definedName name="Psi">'Fixing Money'!$B$10</definedName>
    <definedName name="Theta">'Fixing Money'!$B$11</definedName>
    <definedName name="ybar0">'Fixing Money'!$B$23</definedName>
    <definedName name="ybar1">'Fixing Money'!$C$23</definedName>
    <definedName name="ypot_0">'Fixing Money'!$B$19</definedName>
    <definedName name="ypot_1">'Fixing Money'!$C$19</definedName>
    <definedName name="ypot0">'Fixing Money'!$B$19</definedName>
    <definedName name="ypot1">'Fixing Money'!$C$19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0" i="1" l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Q4" i="1"/>
  <c r="K36" i="2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35" i="2"/>
  <c r="K5" i="2"/>
  <c r="K6" i="2"/>
  <c r="K7" i="2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4" i="2"/>
  <c r="K5" i="1"/>
  <c r="K6" i="1"/>
  <c r="P102" i="1" l="1"/>
  <c r="R4" i="1"/>
  <c r="Q5" i="1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BP33" i="2"/>
  <c r="BP32" i="2"/>
  <c r="BP31" i="2"/>
  <c r="BP30" i="2"/>
  <c r="BP29" i="2"/>
  <c r="BP28" i="2"/>
  <c r="BP27" i="2"/>
  <c r="C27" i="2"/>
  <c r="B27" i="2"/>
  <c r="B31" i="2" s="1"/>
  <c r="BP26" i="2"/>
  <c r="C26" i="2"/>
  <c r="B30" i="2" s="1"/>
  <c r="B26" i="2"/>
  <c r="BP25" i="2"/>
  <c r="BP24" i="2"/>
  <c r="C23" i="2"/>
  <c r="B23" i="2"/>
  <c r="BP15" i="2"/>
  <c r="BP14" i="2"/>
  <c r="BP13" i="2"/>
  <c r="BP12" i="2"/>
  <c r="BP11" i="2"/>
  <c r="BP10" i="2"/>
  <c r="BP9" i="2"/>
  <c r="BP8" i="2"/>
  <c r="BP7" i="2"/>
  <c r="BP6" i="2"/>
  <c r="BP5" i="2"/>
  <c r="BP4" i="2"/>
  <c r="Q4" i="2"/>
  <c r="Q5" i="2" s="1"/>
  <c r="R5" i="2" s="1"/>
  <c r="I5" i="2" s="1"/>
  <c r="M3" i="2"/>
  <c r="K3" i="2"/>
  <c r="I3" i="2"/>
  <c r="G3" i="2"/>
  <c r="J3" i="2" s="1"/>
  <c r="F3" i="2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B31" i="1"/>
  <c r="K30" i="1"/>
  <c r="K29" i="1"/>
  <c r="K28" i="1"/>
  <c r="K27" i="1"/>
  <c r="C27" i="1"/>
  <c r="B27" i="1"/>
  <c r="K26" i="1"/>
  <c r="C26" i="1"/>
  <c r="B26" i="1"/>
  <c r="K25" i="1"/>
  <c r="K24" i="1"/>
  <c r="K23" i="1"/>
  <c r="C23" i="1"/>
  <c r="C22" i="1" s="1"/>
  <c r="B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4" i="1"/>
  <c r="I4" i="1"/>
  <c r="K3" i="1"/>
  <c r="I3" i="1"/>
  <c r="G3" i="1"/>
  <c r="F3" i="1"/>
  <c r="R5" i="1" l="1"/>
  <c r="Q6" i="1"/>
  <c r="K102" i="2"/>
  <c r="B22" i="2"/>
  <c r="B22" i="1"/>
  <c r="J3" i="1"/>
  <c r="M3" i="1" s="1"/>
  <c r="F4" i="1" s="1"/>
  <c r="B30" i="1"/>
  <c r="K102" i="1"/>
  <c r="L3" i="1"/>
  <c r="I5" i="1"/>
  <c r="C22" i="2"/>
  <c r="Q6" i="2"/>
  <c r="P102" i="2"/>
  <c r="F4" i="2"/>
  <c r="L3" i="2"/>
  <c r="R4" i="2"/>
  <c r="Q7" i="1" l="1"/>
  <c r="R6" i="1"/>
  <c r="H3" i="2"/>
  <c r="O3" i="2" s="1"/>
  <c r="G4" i="2" s="1"/>
  <c r="N3" i="2"/>
  <c r="I4" i="2"/>
  <c r="Q7" i="2"/>
  <c r="R6" i="2"/>
  <c r="I6" i="2" s="1"/>
  <c r="H3" i="1"/>
  <c r="O3" i="1" s="1"/>
  <c r="G4" i="1" s="1"/>
  <c r="N3" i="1"/>
  <c r="R7" i="1" l="1"/>
  <c r="Q8" i="1"/>
  <c r="I7" i="1"/>
  <c r="J4" i="1"/>
  <c r="I6" i="1"/>
  <c r="M4" i="2"/>
  <c r="J4" i="2"/>
  <c r="M4" i="1"/>
  <c r="R7" i="2"/>
  <c r="Q8" i="2"/>
  <c r="L4" i="1"/>
  <c r="L4" i="2"/>
  <c r="R8" i="1" l="1"/>
  <c r="Q9" i="1"/>
  <c r="H4" i="2"/>
  <c r="N4" i="2"/>
  <c r="H4" i="1"/>
  <c r="N4" i="1"/>
  <c r="C10" i="3"/>
  <c r="B10" i="3"/>
  <c r="F5" i="2"/>
  <c r="I7" i="2"/>
  <c r="R8" i="2"/>
  <c r="I8" i="2" s="1"/>
  <c r="Q9" i="2"/>
  <c r="F5" i="1"/>
  <c r="Q10" i="1" l="1"/>
  <c r="R9" i="1"/>
  <c r="I9" i="1" s="1"/>
  <c r="I8" i="1"/>
  <c r="R9" i="2"/>
  <c r="I9" i="2" s="1"/>
  <c r="Q10" i="2"/>
  <c r="O4" i="1"/>
  <c r="G5" i="1" s="1"/>
  <c r="J5" i="1" s="1"/>
  <c r="D10" i="3"/>
  <c r="E10" i="3"/>
  <c r="F10" i="3"/>
  <c r="O4" i="2"/>
  <c r="Q11" i="1" l="1"/>
  <c r="R10" i="1"/>
  <c r="G5" i="2"/>
  <c r="R10" i="2"/>
  <c r="I10" i="2" s="1"/>
  <c r="Q11" i="2"/>
  <c r="Q12" i="1" l="1"/>
  <c r="R11" i="1"/>
  <c r="I10" i="1"/>
  <c r="I11" i="1"/>
  <c r="Q12" i="2"/>
  <c r="R11" i="2"/>
  <c r="I11" i="2" s="1"/>
  <c r="M5" i="2"/>
  <c r="J5" i="2"/>
  <c r="L5" i="2"/>
  <c r="M5" i="1"/>
  <c r="L5" i="1"/>
  <c r="Q13" i="1" l="1"/>
  <c r="R12" i="1"/>
  <c r="I12" i="1" s="1"/>
  <c r="Q13" i="2"/>
  <c r="R12" i="2"/>
  <c r="I12" i="2" s="1"/>
  <c r="N5" i="1"/>
  <c r="H5" i="1"/>
  <c r="O5" i="1" s="1"/>
  <c r="C11" i="3"/>
  <c r="B11" i="3"/>
  <c r="F6" i="2"/>
  <c r="F6" i="1"/>
  <c r="H5" i="2"/>
  <c r="N5" i="2"/>
  <c r="R13" i="1" l="1"/>
  <c r="Q14" i="1"/>
  <c r="I13" i="1"/>
  <c r="E11" i="3"/>
  <c r="D11" i="3"/>
  <c r="F11" i="3"/>
  <c r="O5" i="2"/>
  <c r="R13" i="2"/>
  <c r="I13" i="2" s="1"/>
  <c r="Q14" i="2"/>
  <c r="Q15" i="1" l="1"/>
  <c r="R14" i="1"/>
  <c r="I14" i="1" s="1"/>
  <c r="G6" i="1"/>
  <c r="Q15" i="2"/>
  <c r="R14" i="2"/>
  <c r="I14" i="2" s="1"/>
  <c r="G6" i="2"/>
  <c r="R15" i="1" l="1"/>
  <c r="Q16" i="1"/>
  <c r="I15" i="1"/>
  <c r="R15" i="2"/>
  <c r="I15" i="2" s="1"/>
  <c r="Q16" i="2"/>
  <c r="J6" i="2"/>
  <c r="M6" i="2"/>
  <c r="L6" i="2"/>
  <c r="M6" i="1"/>
  <c r="J6" i="1"/>
  <c r="L6" i="1"/>
  <c r="Q17" i="1" l="1"/>
  <c r="R16" i="1"/>
  <c r="I16" i="1" s="1"/>
  <c r="H6" i="1"/>
  <c r="N6" i="1"/>
  <c r="R16" i="2"/>
  <c r="I16" i="2" s="1"/>
  <c r="Q17" i="2"/>
  <c r="B7" i="2"/>
  <c r="C12" i="3"/>
  <c r="F7" i="1"/>
  <c r="N6" i="2"/>
  <c r="H6" i="2"/>
  <c r="B12" i="3"/>
  <c r="F7" i="2"/>
  <c r="R17" i="1" l="1"/>
  <c r="Q18" i="1"/>
  <c r="I17" i="1"/>
  <c r="R17" i="2"/>
  <c r="I17" i="2" s="1"/>
  <c r="Q18" i="2"/>
  <c r="O6" i="1"/>
  <c r="O6" i="2"/>
  <c r="E12" i="3"/>
  <c r="F12" i="3"/>
  <c r="D12" i="3"/>
  <c r="BP18" i="2"/>
  <c r="BP19" i="2"/>
  <c r="BP21" i="2"/>
  <c r="BP17" i="2"/>
  <c r="BP22" i="2"/>
  <c r="BP23" i="2"/>
  <c r="BP16" i="2"/>
  <c r="BP20" i="2"/>
  <c r="Q19" i="1" l="1"/>
  <c r="R18" i="1"/>
  <c r="I18" i="1" s="1"/>
  <c r="G7" i="2"/>
  <c r="R18" i="2"/>
  <c r="I18" i="2" s="1"/>
  <c r="Q19" i="2"/>
  <c r="G7" i="1"/>
  <c r="R19" i="1" l="1"/>
  <c r="Q20" i="1"/>
  <c r="I19" i="1"/>
  <c r="M7" i="2"/>
  <c r="J7" i="2"/>
  <c r="L7" i="2"/>
  <c r="Q20" i="2"/>
  <c r="R19" i="2"/>
  <c r="I19" i="2" s="1"/>
  <c r="M7" i="1"/>
  <c r="J7" i="1"/>
  <c r="L7" i="1"/>
  <c r="Q21" i="1" l="1"/>
  <c r="R20" i="1"/>
  <c r="I20" i="1" s="1"/>
  <c r="H7" i="2"/>
  <c r="N7" i="2"/>
  <c r="B13" i="3"/>
  <c r="F8" i="2"/>
  <c r="H7" i="1"/>
  <c r="N7" i="1"/>
  <c r="C13" i="3"/>
  <c r="R20" i="2"/>
  <c r="I20" i="2" s="1"/>
  <c r="Q21" i="2"/>
  <c r="F8" i="1"/>
  <c r="Q22" i="1" l="1"/>
  <c r="R21" i="1"/>
  <c r="I21" i="1" s="1"/>
  <c r="F13" i="3"/>
  <c r="E13" i="3"/>
  <c r="Q22" i="2"/>
  <c r="R21" i="2"/>
  <c r="I21" i="2" s="1"/>
  <c r="O7" i="1"/>
  <c r="D13" i="3"/>
  <c r="O7" i="2"/>
  <c r="Q23" i="1" l="1"/>
  <c r="R22" i="1"/>
  <c r="I22" i="1" s="1"/>
  <c r="G8" i="2"/>
  <c r="G8" i="1"/>
  <c r="R22" i="2"/>
  <c r="I22" i="2" s="1"/>
  <c r="Q23" i="2"/>
  <c r="Q24" i="1" l="1"/>
  <c r="R23" i="1"/>
  <c r="I23" i="1" s="1"/>
  <c r="J8" i="1"/>
  <c r="M8" i="1"/>
  <c r="L8" i="1"/>
  <c r="M8" i="2"/>
  <c r="J8" i="2"/>
  <c r="L8" i="2"/>
  <c r="R23" i="2"/>
  <c r="I23" i="2" s="1"/>
  <c r="Q24" i="2"/>
  <c r="Q25" i="1" l="1"/>
  <c r="R24" i="1"/>
  <c r="I24" i="1" s="1"/>
  <c r="H8" i="1"/>
  <c r="N8" i="1"/>
  <c r="B14" i="3"/>
  <c r="F9" i="2"/>
  <c r="Q25" i="2"/>
  <c r="R24" i="2"/>
  <c r="I24" i="2" s="1"/>
  <c r="H8" i="2"/>
  <c r="N8" i="2"/>
  <c r="C14" i="3"/>
  <c r="F9" i="1"/>
  <c r="Q26" i="1" l="1"/>
  <c r="R25" i="1"/>
  <c r="I25" i="1" s="1"/>
  <c r="F14" i="3"/>
  <c r="O8" i="2"/>
  <c r="O8" i="1"/>
  <c r="E14" i="3"/>
  <c r="D14" i="3"/>
  <c r="Q26" i="2"/>
  <c r="R25" i="2"/>
  <c r="I25" i="2" s="1"/>
  <c r="Q27" i="1" l="1"/>
  <c r="R26" i="1"/>
  <c r="I26" i="1" s="1"/>
  <c r="Q27" i="2"/>
  <c r="R26" i="2"/>
  <c r="I26" i="2" s="1"/>
  <c r="G9" i="2"/>
  <c r="G9" i="1"/>
  <c r="R27" i="1" l="1"/>
  <c r="Q28" i="1"/>
  <c r="I27" i="1"/>
  <c r="M9" i="2"/>
  <c r="J9" i="2"/>
  <c r="L9" i="2"/>
  <c r="M9" i="1"/>
  <c r="F10" i="1" s="1"/>
  <c r="J9" i="1"/>
  <c r="L9" i="1"/>
  <c r="R27" i="2"/>
  <c r="I27" i="2" s="1"/>
  <c r="Q28" i="2"/>
  <c r="Q29" i="1" l="1"/>
  <c r="R28" i="1"/>
  <c r="I28" i="1" s="1"/>
  <c r="N9" i="2"/>
  <c r="H9" i="2"/>
  <c r="O9" i="2" s="1"/>
  <c r="G10" i="2" s="1"/>
  <c r="C15" i="3"/>
  <c r="F15" i="3" s="1"/>
  <c r="Q29" i="2"/>
  <c r="R28" i="2"/>
  <c r="I28" i="2" s="1"/>
  <c r="B15" i="3"/>
  <c r="E15" i="3" s="1"/>
  <c r="F10" i="2"/>
  <c r="N9" i="1"/>
  <c r="H9" i="1"/>
  <c r="O9" i="1" s="1"/>
  <c r="G10" i="1" s="1"/>
  <c r="J10" i="1" s="1"/>
  <c r="Q30" i="1" l="1"/>
  <c r="R29" i="1"/>
  <c r="I29" i="1" s="1"/>
  <c r="M10" i="1"/>
  <c r="F11" i="1" s="1"/>
  <c r="J10" i="2"/>
  <c r="M10" i="2"/>
  <c r="L10" i="2"/>
  <c r="D15" i="3"/>
  <c r="L10" i="1"/>
  <c r="R29" i="2"/>
  <c r="I29" i="2" s="1"/>
  <c r="Q30" i="2"/>
  <c r="Q31" i="1" l="1"/>
  <c r="R30" i="1"/>
  <c r="I30" i="1" s="1"/>
  <c r="H10" i="1"/>
  <c r="O10" i="1" s="1"/>
  <c r="G11" i="1" s="1"/>
  <c r="N10" i="1"/>
  <c r="B16" i="3"/>
  <c r="E16" i="3" s="1"/>
  <c r="C16" i="3"/>
  <c r="F16" i="3" s="1"/>
  <c r="L11" i="1"/>
  <c r="N10" i="2"/>
  <c r="H10" i="2"/>
  <c r="O10" i="2" s="1"/>
  <c r="G11" i="2" s="1"/>
  <c r="F11" i="2"/>
  <c r="R30" i="2"/>
  <c r="I30" i="2" s="1"/>
  <c r="Q31" i="2"/>
  <c r="R31" i="1" l="1"/>
  <c r="Q32" i="1"/>
  <c r="I31" i="1"/>
  <c r="M11" i="2"/>
  <c r="J11" i="2"/>
  <c r="Q32" i="2"/>
  <c r="R31" i="2"/>
  <c r="I31" i="2" s="1"/>
  <c r="F12" i="2"/>
  <c r="L11" i="2"/>
  <c r="D16" i="3"/>
  <c r="M11" i="1"/>
  <c r="F12" i="1" s="1"/>
  <c r="J11" i="1"/>
  <c r="R32" i="1" l="1"/>
  <c r="Q33" i="1"/>
  <c r="I32" i="1"/>
  <c r="N11" i="1"/>
  <c r="C17" i="3"/>
  <c r="F17" i="3" s="1"/>
  <c r="H11" i="1"/>
  <c r="O11" i="1" s="1"/>
  <c r="G12" i="1" s="1"/>
  <c r="L12" i="1" s="1"/>
  <c r="Q33" i="2"/>
  <c r="R32" i="2"/>
  <c r="I32" i="2" s="1"/>
  <c r="N11" i="2"/>
  <c r="H11" i="2"/>
  <c r="O11" i="2" s="1"/>
  <c r="G12" i="2" s="1"/>
  <c r="B17" i="3"/>
  <c r="E17" i="3" s="1"/>
  <c r="Q34" i="1" l="1"/>
  <c r="R33" i="1"/>
  <c r="I33" i="1" s="1"/>
  <c r="M12" i="2"/>
  <c r="J12" i="2"/>
  <c r="J12" i="1"/>
  <c r="M12" i="1"/>
  <c r="F13" i="1" s="1"/>
  <c r="D17" i="3"/>
  <c r="R33" i="2"/>
  <c r="I33" i="2" s="1"/>
  <c r="Q34" i="2"/>
  <c r="L12" i="2"/>
  <c r="Q35" i="1" l="1"/>
  <c r="R34" i="1"/>
  <c r="I34" i="1" s="1"/>
  <c r="N12" i="1"/>
  <c r="H12" i="1"/>
  <c r="O12" i="1" s="1"/>
  <c r="G13" i="1" s="1"/>
  <c r="C18" i="3"/>
  <c r="F18" i="3" s="1"/>
  <c r="B18" i="3"/>
  <c r="E18" i="3" s="1"/>
  <c r="F13" i="2"/>
  <c r="Q35" i="2"/>
  <c r="R34" i="2"/>
  <c r="I34" i="2" s="1"/>
  <c r="H12" i="2"/>
  <c r="O12" i="2" s="1"/>
  <c r="G13" i="2" s="1"/>
  <c r="N12" i="2"/>
  <c r="Q36" i="1" l="1"/>
  <c r="R35" i="1"/>
  <c r="I35" i="1" s="1"/>
  <c r="D18" i="3"/>
  <c r="L13" i="2"/>
  <c r="J13" i="2"/>
  <c r="M13" i="2"/>
  <c r="F14" i="2" s="1"/>
  <c r="M13" i="1"/>
  <c r="F14" i="1" s="1"/>
  <c r="J13" i="1"/>
  <c r="L13" i="1"/>
  <c r="Q36" i="2"/>
  <c r="R35" i="2"/>
  <c r="I35" i="2" s="1"/>
  <c r="Q37" i="1" l="1"/>
  <c r="R36" i="1"/>
  <c r="I36" i="1" s="1"/>
  <c r="R36" i="2"/>
  <c r="I36" i="2" s="1"/>
  <c r="Q37" i="2"/>
  <c r="H13" i="2"/>
  <c r="O13" i="2" s="1"/>
  <c r="G14" i="2" s="1"/>
  <c r="L14" i="2" s="1"/>
  <c r="N13" i="2"/>
  <c r="H13" i="1"/>
  <c r="O13" i="1" s="1"/>
  <c r="G14" i="1" s="1"/>
  <c r="N13" i="1"/>
  <c r="C19" i="3"/>
  <c r="F19" i="3" s="1"/>
  <c r="B19" i="3"/>
  <c r="E19" i="3" s="1"/>
  <c r="R37" i="1" l="1"/>
  <c r="Q38" i="1"/>
  <c r="I37" i="1"/>
  <c r="M14" i="1"/>
  <c r="F15" i="1" s="1"/>
  <c r="J14" i="1"/>
  <c r="D19" i="3"/>
  <c r="L14" i="1"/>
  <c r="M14" i="2"/>
  <c r="J14" i="2"/>
  <c r="Q38" i="2"/>
  <c r="R37" i="2"/>
  <c r="I37" i="2" s="1"/>
  <c r="R38" i="1" l="1"/>
  <c r="I38" i="1" s="1"/>
  <c r="Q39" i="1"/>
  <c r="B20" i="3"/>
  <c r="E20" i="3" s="1"/>
  <c r="F15" i="2"/>
  <c r="R38" i="2"/>
  <c r="I38" i="2" s="1"/>
  <c r="Q39" i="2"/>
  <c r="C20" i="3"/>
  <c r="F20" i="3" s="1"/>
  <c r="H14" i="1"/>
  <c r="O14" i="1" s="1"/>
  <c r="G15" i="1" s="1"/>
  <c r="L15" i="1" s="1"/>
  <c r="N14" i="1"/>
  <c r="H14" i="2"/>
  <c r="O14" i="2" s="1"/>
  <c r="G15" i="2" s="1"/>
  <c r="N14" i="2"/>
  <c r="Q40" i="1" l="1"/>
  <c r="R39" i="1"/>
  <c r="I39" i="1" s="1"/>
  <c r="M15" i="2"/>
  <c r="F16" i="2" s="1"/>
  <c r="J15" i="2"/>
  <c r="M15" i="1"/>
  <c r="F16" i="1" s="1"/>
  <c r="J15" i="1"/>
  <c r="L15" i="2"/>
  <c r="R39" i="2"/>
  <c r="I39" i="2" s="1"/>
  <c r="Q40" i="2"/>
  <c r="D20" i="3"/>
  <c r="Q41" i="1" l="1"/>
  <c r="R40" i="1"/>
  <c r="I40" i="1" s="1"/>
  <c r="N15" i="1"/>
  <c r="H15" i="1"/>
  <c r="O15" i="1" s="1"/>
  <c r="G16" i="1" s="1"/>
  <c r="Q41" i="2"/>
  <c r="R40" i="2"/>
  <c r="I40" i="2" s="1"/>
  <c r="M16" i="1"/>
  <c r="F17" i="1" s="1"/>
  <c r="J16" i="1"/>
  <c r="L16" i="1"/>
  <c r="C21" i="3"/>
  <c r="F21" i="3" s="1"/>
  <c r="H15" i="2"/>
  <c r="O15" i="2" s="1"/>
  <c r="G16" i="2" s="1"/>
  <c r="N15" i="2"/>
  <c r="B21" i="3"/>
  <c r="E21" i="3" s="1"/>
  <c r="Q42" i="1" l="1"/>
  <c r="R41" i="1"/>
  <c r="I41" i="1" s="1"/>
  <c r="H16" i="1"/>
  <c r="O16" i="1" s="1"/>
  <c r="G17" i="1" s="1"/>
  <c r="N16" i="1"/>
  <c r="D21" i="3"/>
  <c r="M16" i="2"/>
  <c r="J16" i="2"/>
  <c r="L16" i="2"/>
  <c r="Q42" i="2"/>
  <c r="R41" i="2"/>
  <c r="I41" i="2" s="1"/>
  <c r="Q43" i="1" l="1"/>
  <c r="R42" i="1"/>
  <c r="I42" i="1" s="1"/>
  <c r="Q43" i="2"/>
  <c r="R42" i="2"/>
  <c r="I42" i="2" s="1"/>
  <c r="M17" i="1"/>
  <c r="F18" i="1" s="1"/>
  <c r="J17" i="1"/>
  <c r="H16" i="2"/>
  <c r="O16" i="2" s="1"/>
  <c r="G17" i="2" s="1"/>
  <c r="N16" i="2"/>
  <c r="C22" i="3"/>
  <c r="F22" i="3" s="1"/>
  <c r="B22" i="3"/>
  <c r="E22" i="3" s="1"/>
  <c r="F17" i="2"/>
  <c r="L17" i="1"/>
  <c r="R43" i="1" l="1"/>
  <c r="Q44" i="1"/>
  <c r="I43" i="1"/>
  <c r="L17" i="2"/>
  <c r="D22" i="3"/>
  <c r="M17" i="2"/>
  <c r="J17" i="2"/>
  <c r="H17" i="1"/>
  <c r="O17" i="1" s="1"/>
  <c r="G18" i="1" s="1"/>
  <c r="N17" i="1"/>
  <c r="Q44" i="2"/>
  <c r="R43" i="2"/>
  <c r="I43" i="2" s="1"/>
  <c r="Q45" i="1" l="1"/>
  <c r="R44" i="1"/>
  <c r="I44" i="1" s="1"/>
  <c r="R44" i="2"/>
  <c r="I44" i="2" s="1"/>
  <c r="Q45" i="2"/>
  <c r="B23" i="3"/>
  <c r="E23" i="3" s="1"/>
  <c r="N17" i="2"/>
  <c r="H17" i="2"/>
  <c r="O17" i="2" s="1"/>
  <c r="G18" i="2" s="1"/>
  <c r="C23" i="3"/>
  <c r="F23" i="3" s="1"/>
  <c r="J18" i="1"/>
  <c r="M18" i="1"/>
  <c r="F19" i="1" s="1"/>
  <c r="L18" i="1"/>
  <c r="F18" i="2"/>
  <c r="R45" i="1" l="1"/>
  <c r="Q46" i="1"/>
  <c r="I45" i="1"/>
  <c r="J18" i="2"/>
  <c r="M18" i="2"/>
  <c r="F19" i="2" s="1"/>
  <c r="Q46" i="2"/>
  <c r="R45" i="2"/>
  <c r="I45" i="2" s="1"/>
  <c r="H18" i="1"/>
  <c r="O18" i="1" s="1"/>
  <c r="G19" i="1" s="1"/>
  <c r="N18" i="1"/>
  <c r="L18" i="2"/>
  <c r="D23" i="3"/>
  <c r="Q47" i="1" l="1"/>
  <c r="R46" i="1"/>
  <c r="I46" i="1" s="1"/>
  <c r="C24" i="3"/>
  <c r="F24" i="3" s="1"/>
  <c r="N18" i="2"/>
  <c r="H18" i="2"/>
  <c r="O18" i="2" s="1"/>
  <c r="G19" i="2" s="1"/>
  <c r="L19" i="2" s="1"/>
  <c r="B24" i="3"/>
  <c r="E24" i="3" s="1"/>
  <c r="M19" i="1"/>
  <c r="F20" i="1" s="1"/>
  <c r="J19" i="1"/>
  <c r="R46" i="2"/>
  <c r="I46" i="2" s="1"/>
  <c r="Q47" i="2"/>
  <c r="L19" i="1"/>
  <c r="Q48" i="1" l="1"/>
  <c r="R47" i="1"/>
  <c r="I47" i="1" s="1"/>
  <c r="M19" i="2"/>
  <c r="N19" i="2" s="1"/>
  <c r="J19" i="2"/>
  <c r="D24" i="3"/>
  <c r="N19" i="1"/>
  <c r="H19" i="1"/>
  <c r="O19" i="1" s="1"/>
  <c r="G20" i="1" s="1"/>
  <c r="L20" i="1" s="1"/>
  <c r="Q48" i="2"/>
  <c r="R47" i="2"/>
  <c r="I47" i="2" s="1"/>
  <c r="R48" i="1" l="1"/>
  <c r="Q49" i="1"/>
  <c r="I48" i="1"/>
  <c r="D25" i="3"/>
  <c r="Q49" i="2"/>
  <c r="R48" i="2"/>
  <c r="I48" i="2" s="1"/>
  <c r="M20" i="1"/>
  <c r="F21" i="1" s="1"/>
  <c r="J20" i="1"/>
  <c r="C25" i="3"/>
  <c r="F25" i="3" s="1"/>
  <c r="B25" i="3"/>
  <c r="E25" i="3" s="1"/>
  <c r="F20" i="2"/>
  <c r="H19" i="2"/>
  <c r="O19" i="2" s="1"/>
  <c r="G20" i="2" s="1"/>
  <c r="Q50" i="1" l="1"/>
  <c r="R49" i="1"/>
  <c r="I49" i="1" s="1"/>
  <c r="N20" i="1"/>
  <c r="M20" i="2"/>
  <c r="F21" i="2" s="1"/>
  <c r="J20" i="2"/>
  <c r="L20" i="2"/>
  <c r="R49" i="2"/>
  <c r="I49" i="2" s="1"/>
  <c r="Q50" i="2"/>
  <c r="H20" i="1"/>
  <c r="O20" i="1" s="1"/>
  <c r="G21" i="1" s="1"/>
  <c r="L21" i="1" s="1"/>
  <c r="Q51" i="1" l="1"/>
  <c r="R50" i="1"/>
  <c r="I50" i="1" s="1"/>
  <c r="H20" i="2"/>
  <c r="O20" i="2" s="1"/>
  <c r="G21" i="2" s="1"/>
  <c r="L21" i="2" s="1"/>
  <c r="N20" i="2"/>
  <c r="M21" i="1"/>
  <c r="F22" i="1" s="1"/>
  <c r="J21" i="1"/>
  <c r="C26" i="3"/>
  <c r="F26" i="3" s="1"/>
  <c r="B26" i="3"/>
  <c r="E26" i="3" s="1"/>
  <c r="Q51" i="2"/>
  <c r="R50" i="2"/>
  <c r="I50" i="2" s="1"/>
  <c r="Q52" i="1" l="1"/>
  <c r="R51" i="1"/>
  <c r="I51" i="1" s="1"/>
  <c r="R51" i="2"/>
  <c r="I51" i="2" s="1"/>
  <c r="Q52" i="2"/>
  <c r="H21" i="1"/>
  <c r="O21" i="1" s="1"/>
  <c r="G22" i="1" s="1"/>
  <c r="N21" i="1"/>
  <c r="D26" i="3"/>
  <c r="M21" i="2"/>
  <c r="N21" i="2" s="1"/>
  <c r="J21" i="2"/>
  <c r="Q53" i="1" l="1"/>
  <c r="R52" i="1"/>
  <c r="I52" i="1" s="1"/>
  <c r="D27" i="3"/>
  <c r="H21" i="2"/>
  <c r="O21" i="2" s="1"/>
  <c r="G22" i="2" s="1"/>
  <c r="M22" i="1"/>
  <c r="F23" i="1" s="1"/>
  <c r="J22" i="1"/>
  <c r="B27" i="3"/>
  <c r="E27" i="3" s="1"/>
  <c r="F22" i="2"/>
  <c r="R52" i="2"/>
  <c r="I52" i="2" s="1"/>
  <c r="Q53" i="2"/>
  <c r="C27" i="3"/>
  <c r="F27" i="3" s="1"/>
  <c r="L22" i="1"/>
  <c r="R53" i="1" l="1"/>
  <c r="Q54" i="1"/>
  <c r="I53" i="1"/>
  <c r="L22" i="2"/>
  <c r="M22" i="2"/>
  <c r="J22" i="2"/>
  <c r="Q54" i="2"/>
  <c r="R53" i="2"/>
  <c r="I53" i="2" s="1"/>
  <c r="N22" i="1"/>
  <c r="H22" i="1"/>
  <c r="O22" i="1" s="1"/>
  <c r="G23" i="1" s="1"/>
  <c r="R54" i="1" l="1"/>
  <c r="Q55" i="1"/>
  <c r="I54" i="1"/>
  <c r="C28" i="3"/>
  <c r="F28" i="3" s="1"/>
  <c r="M23" i="1"/>
  <c r="F24" i="1" s="1"/>
  <c r="J23" i="1"/>
  <c r="B28" i="3"/>
  <c r="E28" i="3" s="1"/>
  <c r="L23" i="1"/>
  <c r="R54" i="2"/>
  <c r="I54" i="2" s="1"/>
  <c r="Q55" i="2"/>
  <c r="H22" i="2"/>
  <c r="O22" i="2" s="1"/>
  <c r="G23" i="2" s="1"/>
  <c r="N22" i="2"/>
  <c r="F23" i="2"/>
  <c r="Q56" i="1" l="1"/>
  <c r="R55" i="1"/>
  <c r="I55" i="1" s="1"/>
  <c r="J23" i="2"/>
  <c r="M23" i="2"/>
  <c r="F24" i="2" s="1"/>
  <c r="R55" i="2"/>
  <c r="I55" i="2" s="1"/>
  <c r="Q56" i="2"/>
  <c r="L23" i="2"/>
  <c r="H23" i="1"/>
  <c r="O23" i="1" s="1"/>
  <c r="G24" i="1" s="1"/>
  <c r="L24" i="1" s="1"/>
  <c r="N23" i="1"/>
  <c r="D28" i="3"/>
  <c r="R56" i="1" l="1"/>
  <c r="Q57" i="1"/>
  <c r="I56" i="1"/>
  <c r="N23" i="2"/>
  <c r="H23" i="2"/>
  <c r="O23" i="2" s="1"/>
  <c r="G24" i="2" s="1"/>
  <c r="L24" i="2" s="1"/>
  <c r="Q57" i="2"/>
  <c r="R56" i="2"/>
  <c r="I56" i="2" s="1"/>
  <c r="M24" i="1"/>
  <c r="F25" i="1" s="1"/>
  <c r="J24" i="1"/>
  <c r="C29" i="3"/>
  <c r="F29" i="3" s="1"/>
  <c r="B29" i="3"/>
  <c r="E29" i="3" s="1"/>
  <c r="Q58" i="1" l="1"/>
  <c r="R57" i="1"/>
  <c r="I57" i="1" s="1"/>
  <c r="N24" i="1"/>
  <c r="H24" i="1"/>
  <c r="O24" i="1" s="1"/>
  <c r="G25" i="1" s="1"/>
  <c r="D29" i="3"/>
  <c r="M24" i="2"/>
  <c r="H24" i="2" s="1"/>
  <c r="O24" i="2" s="1"/>
  <c r="G25" i="2" s="1"/>
  <c r="J24" i="2"/>
  <c r="R57" i="2"/>
  <c r="I57" i="2" s="1"/>
  <c r="Q58" i="2"/>
  <c r="Q59" i="1" l="1"/>
  <c r="R58" i="1"/>
  <c r="I58" i="1" s="1"/>
  <c r="M25" i="2"/>
  <c r="J25" i="2"/>
  <c r="Q59" i="2"/>
  <c r="R58" i="2"/>
  <c r="I58" i="2" s="1"/>
  <c r="B30" i="3"/>
  <c r="E30" i="3" s="1"/>
  <c r="F25" i="2"/>
  <c r="C30" i="3"/>
  <c r="F30" i="3" s="1"/>
  <c r="M25" i="1"/>
  <c r="F26" i="1" s="1"/>
  <c r="J25" i="1"/>
  <c r="N24" i="2"/>
  <c r="L25" i="1"/>
  <c r="R59" i="1" l="1"/>
  <c r="Q60" i="1"/>
  <c r="I59" i="1"/>
  <c r="Q60" i="2"/>
  <c r="R59" i="2"/>
  <c r="I59" i="2" s="1"/>
  <c r="D30" i="3"/>
  <c r="C31" i="3"/>
  <c r="F31" i="3" s="1"/>
  <c r="F26" i="2"/>
  <c r="L25" i="2"/>
  <c r="H25" i="1"/>
  <c r="O25" i="1" s="1"/>
  <c r="G26" i="1" s="1"/>
  <c r="N25" i="1"/>
  <c r="B31" i="3"/>
  <c r="E31" i="3" s="1"/>
  <c r="Q61" i="1" l="1"/>
  <c r="R60" i="1"/>
  <c r="I60" i="1" s="1"/>
  <c r="J26" i="1"/>
  <c r="M26" i="1"/>
  <c r="F27" i="1" s="1"/>
  <c r="H25" i="2"/>
  <c r="O25" i="2" s="1"/>
  <c r="G26" i="2" s="1"/>
  <c r="N25" i="2"/>
  <c r="R60" i="2"/>
  <c r="I60" i="2" s="1"/>
  <c r="Q61" i="2"/>
  <c r="L26" i="1"/>
  <c r="R61" i="1" l="1"/>
  <c r="Q62" i="1"/>
  <c r="I61" i="1"/>
  <c r="M26" i="2"/>
  <c r="J26" i="2"/>
  <c r="H26" i="1"/>
  <c r="O26" i="1" s="1"/>
  <c r="G27" i="1" s="1"/>
  <c r="N26" i="1"/>
  <c r="L26" i="2"/>
  <c r="Q62" i="2"/>
  <c r="R61" i="2"/>
  <c r="I61" i="2" s="1"/>
  <c r="D31" i="3"/>
  <c r="Q63" i="1" l="1"/>
  <c r="R62" i="1"/>
  <c r="I62" i="1" s="1"/>
  <c r="R62" i="2"/>
  <c r="I62" i="2" s="1"/>
  <c r="Q63" i="2"/>
  <c r="C32" i="3"/>
  <c r="F32" i="3" s="1"/>
  <c r="H26" i="2"/>
  <c r="O26" i="2" s="1"/>
  <c r="G27" i="2" s="1"/>
  <c r="N26" i="2"/>
  <c r="M27" i="1"/>
  <c r="F28" i="1" s="1"/>
  <c r="J27" i="1"/>
  <c r="L27" i="1"/>
  <c r="B32" i="3"/>
  <c r="E32" i="3" s="1"/>
  <c r="F27" i="2"/>
  <c r="Q64" i="1" l="1"/>
  <c r="R63" i="1"/>
  <c r="I63" i="1" s="1"/>
  <c r="H27" i="1"/>
  <c r="O27" i="1" s="1"/>
  <c r="G28" i="1" s="1"/>
  <c r="N27" i="1"/>
  <c r="Q64" i="2"/>
  <c r="R63" i="2"/>
  <c r="I63" i="2" s="1"/>
  <c r="L28" i="1"/>
  <c r="D32" i="3"/>
  <c r="L27" i="2"/>
  <c r="J27" i="2"/>
  <c r="M27" i="2"/>
  <c r="F28" i="2" s="1"/>
  <c r="R64" i="1" l="1"/>
  <c r="I64" i="1" s="1"/>
  <c r="Q65" i="1"/>
  <c r="H27" i="2"/>
  <c r="O27" i="2" s="1"/>
  <c r="G28" i="2" s="1"/>
  <c r="N27" i="2"/>
  <c r="C33" i="3"/>
  <c r="F33" i="3" s="1"/>
  <c r="Q65" i="2"/>
  <c r="R64" i="2"/>
  <c r="I64" i="2" s="1"/>
  <c r="B33" i="3"/>
  <c r="E33" i="3" s="1"/>
  <c r="M28" i="1"/>
  <c r="F29" i="1" s="1"/>
  <c r="J28" i="1"/>
  <c r="Q66" i="1" l="1"/>
  <c r="R65" i="1"/>
  <c r="I65" i="1" s="1"/>
  <c r="H28" i="1"/>
  <c r="O28" i="1" s="1"/>
  <c r="G29" i="1" s="1"/>
  <c r="N28" i="1"/>
  <c r="D33" i="3"/>
  <c r="R65" i="2"/>
  <c r="I65" i="2" s="1"/>
  <c r="Q66" i="2"/>
  <c r="J28" i="2"/>
  <c r="M28" i="2"/>
  <c r="M29" i="1"/>
  <c r="F30" i="1" s="1"/>
  <c r="J29" i="1"/>
  <c r="L28" i="2"/>
  <c r="L29" i="1"/>
  <c r="Q67" i="1" l="1"/>
  <c r="R66" i="1"/>
  <c r="I66" i="1" s="1"/>
  <c r="N29" i="1"/>
  <c r="H29" i="1"/>
  <c r="O29" i="1" s="1"/>
  <c r="G30" i="1" s="1"/>
  <c r="Q67" i="2"/>
  <c r="R66" i="2"/>
  <c r="I66" i="2" s="1"/>
  <c r="N28" i="2"/>
  <c r="H28" i="2"/>
  <c r="O28" i="2" s="1"/>
  <c r="G29" i="2" s="1"/>
  <c r="C34" i="3"/>
  <c r="F34" i="3" s="1"/>
  <c r="B34" i="3"/>
  <c r="E34" i="3" s="1"/>
  <c r="F29" i="2"/>
  <c r="R67" i="1" l="1"/>
  <c r="Q68" i="1"/>
  <c r="I67" i="1"/>
  <c r="Q68" i="2"/>
  <c r="R67" i="2"/>
  <c r="I67" i="2" s="1"/>
  <c r="J29" i="2"/>
  <c r="M29" i="2"/>
  <c r="F30" i="2" s="1"/>
  <c r="M30" i="1"/>
  <c r="F31" i="1" s="1"/>
  <c r="J30" i="1"/>
  <c r="L29" i="2"/>
  <c r="D34" i="3"/>
  <c r="L30" i="1"/>
  <c r="Q69" i="1" l="1"/>
  <c r="R68" i="1"/>
  <c r="I68" i="1" s="1"/>
  <c r="C35" i="3"/>
  <c r="F35" i="3" s="1"/>
  <c r="H29" i="2"/>
  <c r="O29" i="2" s="1"/>
  <c r="G30" i="2" s="1"/>
  <c r="L30" i="2" s="1"/>
  <c r="N29" i="2"/>
  <c r="H30" i="1"/>
  <c r="O30" i="1" s="1"/>
  <c r="G31" i="1" s="1"/>
  <c r="L31" i="1" s="1"/>
  <c r="N30" i="1"/>
  <c r="B35" i="3"/>
  <c r="E35" i="3" s="1"/>
  <c r="R68" i="2"/>
  <c r="I68" i="2" s="1"/>
  <c r="Q69" i="2"/>
  <c r="R69" i="1" l="1"/>
  <c r="Q70" i="1"/>
  <c r="I69" i="1"/>
  <c r="D35" i="3"/>
  <c r="Q70" i="2"/>
  <c r="R69" i="2"/>
  <c r="I69" i="2" s="1"/>
  <c r="J30" i="2"/>
  <c r="M30" i="2"/>
  <c r="J31" i="1"/>
  <c r="M31" i="1"/>
  <c r="F32" i="1" s="1"/>
  <c r="R70" i="1" l="1"/>
  <c r="Q71" i="1"/>
  <c r="I70" i="1"/>
  <c r="B36" i="3"/>
  <c r="E36" i="3" s="1"/>
  <c r="F31" i="2"/>
  <c r="C36" i="3"/>
  <c r="F36" i="3" s="1"/>
  <c r="N30" i="2"/>
  <c r="N31" i="1"/>
  <c r="H30" i="2"/>
  <c r="O30" i="2" s="1"/>
  <c r="G31" i="2" s="1"/>
  <c r="R70" i="2"/>
  <c r="I70" i="2" s="1"/>
  <c r="Q71" i="2"/>
  <c r="H31" i="1"/>
  <c r="O31" i="1" s="1"/>
  <c r="G32" i="1" s="1"/>
  <c r="L32" i="1" s="1"/>
  <c r="Q72" i="1" l="1"/>
  <c r="R71" i="1"/>
  <c r="I71" i="1" s="1"/>
  <c r="D36" i="3"/>
  <c r="L31" i="2"/>
  <c r="J31" i="2"/>
  <c r="M31" i="2"/>
  <c r="F32" i="2" s="1"/>
  <c r="R71" i="2"/>
  <c r="I71" i="2" s="1"/>
  <c r="Q72" i="2"/>
  <c r="M32" i="1"/>
  <c r="F33" i="1" s="1"/>
  <c r="J32" i="1"/>
  <c r="R72" i="1" l="1"/>
  <c r="Q73" i="1"/>
  <c r="I72" i="1"/>
  <c r="N31" i="2"/>
  <c r="H31" i="2"/>
  <c r="O31" i="2" s="1"/>
  <c r="G32" i="2" s="1"/>
  <c r="L32" i="2" s="1"/>
  <c r="R72" i="2"/>
  <c r="I72" i="2" s="1"/>
  <c r="Q73" i="2"/>
  <c r="H32" i="1"/>
  <c r="O32" i="1" s="1"/>
  <c r="G33" i="1" s="1"/>
  <c r="L33" i="1" s="1"/>
  <c r="B37" i="3"/>
  <c r="E37" i="3" s="1"/>
  <c r="N32" i="1"/>
  <c r="C37" i="3"/>
  <c r="F37" i="3" s="1"/>
  <c r="Q74" i="1" l="1"/>
  <c r="R73" i="1"/>
  <c r="I73" i="1" s="1"/>
  <c r="M32" i="2"/>
  <c r="N32" i="2" s="1"/>
  <c r="J32" i="2"/>
  <c r="D37" i="3"/>
  <c r="Q74" i="2"/>
  <c r="R73" i="2"/>
  <c r="I73" i="2" s="1"/>
  <c r="J33" i="1"/>
  <c r="M33" i="1"/>
  <c r="F34" i="1" s="1"/>
  <c r="Q75" i="1" l="1"/>
  <c r="R74" i="1"/>
  <c r="I74" i="1" s="1"/>
  <c r="D38" i="3"/>
  <c r="R74" i="2"/>
  <c r="I74" i="2" s="1"/>
  <c r="Q75" i="2"/>
  <c r="N33" i="1"/>
  <c r="C38" i="3"/>
  <c r="F38" i="3" s="1"/>
  <c r="B38" i="3"/>
  <c r="E38" i="3" s="1"/>
  <c r="F33" i="2"/>
  <c r="H32" i="2"/>
  <c r="O32" i="2" s="1"/>
  <c r="G33" i="2" s="1"/>
  <c r="H33" i="1"/>
  <c r="O33" i="1" s="1"/>
  <c r="G34" i="1" s="1"/>
  <c r="R75" i="1" l="1"/>
  <c r="Q76" i="1"/>
  <c r="I75" i="1"/>
  <c r="L33" i="2"/>
  <c r="R75" i="2"/>
  <c r="I75" i="2" s="1"/>
  <c r="Q76" i="2"/>
  <c r="M34" i="1"/>
  <c r="F35" i="1" s="1"/>
  <c r="J34" i="1"/>
  <c r="L34" i="1"/>
  <c r="M33" i="2"/>
  <c r="F34" i="2" s="1"/>
  <c r="J33" i="2"/>
  <c r="Q77" i="1" l="1"/>
  <c r="R76" i="1"/>
  <c r="I76" i="1" s="1"/>
  <c r="C39" i="3"/>
  <c r="C42" i="3" s="1"/>
  <c r="B39" i="3"/>
  <c r="B42" i="3" s="1"/>
  <c r="B43" i="3" s="1"/>
  <c r="Q77" i="2"/>
  <c r="R76" i="2"/>
  <c r="I76" i="2" s="1"/>
  <c r="N34" i="1"/>
  <c r="H34" i="1"/>
  <c r="O34" i="1" s="1"/>
  <c r="G35" i="1" s="1"/>
  <c r="H33" i="2"/>
  <c r="O33" i="2" s="1"/>
  <c r="G34" i="2" s="1"/>
  <c r="L34" i="2" s="1"/>
  <c r="N33" i="2"/>
  <c r="R77" i="1" l="1"/>
  <c r="Q78" i="1"/>
  <c r="I77" i="1"/>
  <c r="J35" i="1"/>
  <c r="M35" i="1"/>
  <c r="F36" i="1" s="1"/>
  <c r="F39" i="3"/>
  <c r="L35" i="1"/>
  <c r="D39" i="3"/>
  <c r="A47" i="3" s="1"/>
  <c r="E39" i="3"/>
  <c r="R77" i="2"/>
  <c r="I77" i="2" s="1"/>
  <c r="Q78" i="2"/>
  <c r="M34" i="2"/>
  <c r="F35" i="2" s="1"/>
  <c r="J34" i="2"/>
  <c r="Q79" i="1" l="1"/>
  <c r="R78" i="1"/>
  <c r="I78" i="1" s="1"/>
  <c r="Q79" i="2"/>
  <c r="R78" i="2"/>
  <c r="I78" i="2" s="1"/>
  <c r="N35" i="1"/>
  <c r="H35" i="1"/>
  <c r="O35" i="1" s="1"/>
  <c r="G36" i="1" s="1"/>
  <c r="N34" i="2"/>
  <c r="H34" i="2"/>
  <c r="O34" i="2" s="1"/>
  <c r="G35" i="2" s="1"/>
  <c r="L35" i="2" s="1"/>
  <c r="Q80" i="1" l="1"/>
  <c r="R79" i="1"/>
  <c r="I79" i="1" s="1"/>
  <c r="M36" i="1"/>
  <c r="F37" i="1" s="1"/>
  <c r="J36" i="1"/>
  <c r="J35" i="2"/>
  <c r="M35" i="2"/>
  <c r="F36" i="2" s="1"/>
  <c r="L36" i="1"/>
  <c r="Q80" i="2"/>
  <c r="R79" i="2"/>
  <c r="I79" i="2" s="1"/>
  <c r="Q81" i="1" l="1"/>
  <c r="R80" i="1"/>
  <c r="I80" i="1" s="1"/>
  <c r="N35" i="2"/>
  <c r="R80" i="2"/>
  <c r="I80" i="2" s="1"/>
  <c r="Q81" i="2"/>
  <c r="H35" i="2"/>
  <c r="O35" i="2" s="1"/>
  <c r="G36" i="2" s="1"/>
  <c r="N36" i="1"/>
  <c r="H36" i="1"/>
  <c r="O36" i="1" s="1"/>
  <c r="G37" i="1" s="1"/>
  <c r="L37" i="1" s="1"/>
  <c r="Q82" i="1" l="1"/>
  <c r="R81" i="1"/>
  <c r="I81" i="1" s="1"/>
  <c r="J36" i="2"/>
  <c r="M36" i="2"/>
  <c r="F37" i="2" s="1"/>
  <c r="L36" i="2"/>
  <c r="M37" i="1"/>
  <c r="F38" i="1" s="1"/>
  <c r="J37" i="1"/>
  <c r="Q82" i="2"/>
  <c r="R81" i="2"/>
  <c r="I81" i="2" s="1"/>
  <c r="Q83" i="1" l="1"/>
  <c r="R82" i="1"/>
  <c r="I82" i="1" s="1"/>
  <c r="H37" i="1"/>
  <c r="O37" i="1" s="1"/>
  <c r="G38" i="1" s="1"/>
  <c r="L38" i="1" s="1"/>
  <c r="N36" i="2"/>
  <c r="H36" i="2"/>
  <c r="O36" i="2" s="1"/>
  <c r="G37" i="2" s="1"/>
  <c r="N37" i="1"/>
  <c r="R82" i="2"/>
  <c r="I82" i="2" s="1"/>
  <c r="Q83" i="2"/>
  <c r="Q84" i="1" l="1"/>
  <c r="R83" i="1"/>
  <c r="I83" i="1" s="1"/>
  <c r="M37" i="2"/>
  <c r="F38" i="2" s="1"/>
  <c r="J37" i="2"/>
  <c r="L37" i="2"/>
  <c r="R83" i="2"/>
  <c r="I83" i="2" s="1"/>
  <c r="Q84" i="2"/>
  <c r="J38" i="1"/>
  <c r="M38" i="1"/>
  <c r="F39" i="1" s="1"/>
  <c r="Q85" i="1" l="1"/>
  <c r="R84" i="1"/>
  <c r="I84" i="1" s="1"/>
  <c r="N38" i="1"/>
  <c r="H38" i="1"/>
  <c r="O38" i="1" s="1"/>
  <c r="G39" i="1" s="1"/>
  <c r="M39" i="1" s="1"/>
  <c r="F40" i="1" s="1"/>
  <c r="Q85" i="2"/>
  <c r="R84" i="2"/>
  <c r="I84" i="2" s="1"/>
  <c r="N37" i="2"/>
  <c r="H37" i="2"/>
  <c r="O37" i="2" s="1"/>
  <c r="G38" i="2" s="1"/>
  <c r="L38" i="2" s="1"/>
  <c r="R85" i="1" l="1"/>
  <c r="Q86" i="1"/>
  <c r="I85" i="1"/>
  <c r="L39" i="1"/>
  <c r="N39" i="1" s="1"/>
  <c r="J39" i="1"/>
  <c r="R85" i="2"/>
  <c r="I85" i="2" s="1"/>
  <c r="Q86" i="2"/>
  <c r="M38" i="2"/>
  <c r="F39" i="2" s="1"/>
  <c r="J38" i="2"/>
  <c r="Q87" i="1" l="1"/>
  <c r="R86" i="1"/>
  <c r="I86" i="1" s="1"/>
  <c r="H39" i="1"/>
  <c r="O39" i="1" s="1"/>
  <c r="G40" i="1" s="1"/>
  <c r="L40" i="1" s="1"/>
  <c r="H38" i="2"/>
  <c r="O38" i="2" s="1"/>
  <c r="G39" i="2" s="1"/>
  <c r="Q87" i="2"/>
  <c r="R86" i="2"/>
  <c r="I86" i="2" s="1"/>
  <c r="N38" i="2"/>
  <c r="Q88" i="1" l="1"/>
  <c r="R87" i="1"/>
  <c r="I87" i="1" s="1"/>
  <c r="J40" i="1"/>
  <c r="M40" i="1"/>
  <c r="F41" i="1" s="1"/>
  <c r="J39" i="2"/>
  <c r="M39" i="2"/>
  <c r="F40" i="2" s="1"/>
  <c r="L39" i="2"/>
  <c r="R87" i="2"/>
  <c r="I87" i="2" s="1"/>
  <c r="Q88" i="2"/>
  <c r="R88" i="1" l="1"/>
  <c r="Q89" i="1"/>
  <c r="I88" i="1"/>
  <c r="N40" i="1"/>
  <c r="H40" i="1"/>
  <c r="O40" i="1" s="1"/>
  <c r="G41" i="1" s="1"/>
  <c r="L41" i="1" s="1"/>
  <c r="Q89" i="2"/>
  <c r="R88" i="2"/>
  <c r="I88" i="2" s="1"/>
  <c r="H39" i="2"/>
  <c r="O39" i="2" s="1"/>
  <c r="G40" i="2" s="1"/>
  <c r="L40" i="2" s="1"/>
  <c r="N39" i="2"/>
  <c r="Q90" i="1" l="1"/>
  <c r="R89" i="1"/>
  <c r="I89" i="1" s="1"/>
  <c r="J41" i="1"/>
  <c r="M41" i="1"/>
  <c r="F42" i="1" s="1"/>
  <c r="M40" i="2"/>
  <c r="F41" i="2" s="1"/>
  <c r="J40" i="2"/>
  <c r="Q90" i="2"/>
  <c r="R89" i="2"/>
  <c r="I89" i="2" s="1"/>
  <c r="Q91" i="1" l="1"/>
  <c r="R90" i="1"/>
  <c r="I90" i="1" s="1"/>
  <c r="N41" i="1"/>
  <c r="H41" i="1"/>
  <c r="O41" i="1" s="1"/>
  <c r="G42" i="1" s="1"/>
  <c r="L42" i="1" s="1"/>
  <c r="N40" i="2"/>
  <c r="H40" i="2"/>
  <c r="O40" i="2" s="1"/>
  <c r="G41" i="2" s="1"/>
  <c r="R90" i="2"/>
  <c r="I90" i="2" s="1"/>
  <c r="Q91" i="2"/>
  <c r="Q92" i="1" l="1"/>
  <c r="R91" i="1"/>
  <c r="I91" i="1" s="1"/>
  <c r="M42" i="1"/>
  <c r="F43" i="1" s="1"/>
  <c r="J42" i="1"/>
  <c r="R91" i="2"/>
  <c r="I91" i="2" s="1"/>
  <c r="Q92" i="2"/>
  <c r="M41" i="2"/>
  <c r="F42" i="2" s="1"/>
  <c r="J41" i="2"/>
  <c r="L41" i="2"/>
  <c r="Q93" i="1" l="1"/>
  <c r="R92" i="1"/>
  <c r="I92" i="1" s="1"/>
  <c r="N42" i="1"/>
  <c r="H42" i="1"/>
  <c r="O42" i="1" s="1"/>
  <c r="G43" i="1" s="1"/>
  <c r="J43" i="1" s="1"/>
  <c r="R92" i="2"/>
  <c r="I92" i="2" s="1"/>
  <c r="Q93" i="2"/>
  <c r="H41" i="2"/>
  <c r="O41" i="2" s="1"/>
  <c r="G42" i="2" s="1"/>
  <c r="L42" i="2" s="1"/>
  <c r="N41" i="2"/>
  <c r="R93" i="1" l="1"/>
  <c r="Q94" i="1"/>
  <c r="I93" i="1"/>
  <c r="L43" i="1"/>
  <c r="M43" i="1"/>
  <c r="F44" i="1" s="1"/>
  <c r="R93" i="2"/>
  <c r="I93" i="2" s="1"/>
  <c r="Q94" i="2"/>
  <c r="M42" i="2"/>
  <c r="F43" i="2" s="1"/>
  <c r="J42" i="2"/>
  <c r="Q95" i="1" l="1"/>
  <c r="R94" i="1"/>
  <c r="I94" i="1" s="1"/>
  <c r="H43" i="1"/>
  <c r="O43" i="1" s="1"/>
  <c r="G44" i="1" s="1"/>
  <c r="L44" i="1" s="1"/>
  <c r="N43" i="1"/>
  <c r="N42" i="2"/>
  <c r="Q95" i="2"/>
  <c r="R94" i="2"/>
  <c r="I94" i="2" s="1"/>
  <c r="H42" i="2"/>
  <c r="O42" i="2" s="1"/>
  <c r="G43" i="2" s="1"/>
  <c r="Q96" i="1" l="1"/>
  <c r="R95" i="1"/>
  <c r="I95" i="1" s="1"/>
  <c r="J44" i="1"/>
  <c r="M44" i="1"/>
  <c r="F45" i="1" s="1"/>
  <c r="J43" i="2"/>
  <c r="M43" i="2"/>
  <c r="F44" i="2" s="1"/>
  <c r="R95" i="2"/>
  <c r="I95" i="2" s="1"/>
  <c r="Q96" i="2"/>
  <c r="L43" i="2"/>
  <c r="R96" i="1" l="1"/>
  <c r="Q97" i="1"/>
  <c r="I96" i="1"/>
  <c r="N44" i="1"/>
  <c r="H44" i="1"/>
  <c r="O44" i="1" s="1"/>
  <c r="G45" i="1" s="1"/>
  <c r="L45" i="1" s="1"/>
  <c r="Q97" i="2"/>
  <c r="R96" i="2"/>
  <c r="I96" i="2" s="1"/>
  <c r="N43" i="2"/>
  <c r="H43" i="2"/>
  <c r="O43" i="2" s="1"/>
  <c r="G44" i="2" s="1"/>
  <c r="L44" i="2" s="1"/>
  <c r="Q98" i="1" l="1"/>
  <c r="R97" i="1"/>
  <c r="I97" i="1" s="1"/>
  <c r="J45" i="1"/>
  <c r="M45" i="1"/>
  <c r="F46" i="1" s="1"/>
  <c r="J44" i="2"/>
  <c r="M44" i="2"/>
  <c r="F45" i="2" s="1"/>
  <c r="Q98" i="2"/>
  <c r="R97" i="2"/>
  <c r="I97" i="2" s="1"/>
  <c r="Q99" i="1" l="1"/>
  <c r="R98" i="1"/>
  <c r="I98" i="1" s="1"/>
  <c r="H45" i="1"/>
  <c r="O45" i="1" s="1"/>
  <c r="G46" i="1" s="1"/>
  <c r="N45" i="1"/>
  <c r="R98" i="2"/>
  <c r="I98" i="2" s="1"/>
  <c r="Q99" i="2"/>
  <c r="N44" i="2"/>
  <c r="H44" i="2"/>
  <c r="O44" i="2" s="1"/>
  <c r="G45" i="2" s="1"/>
  <c r="L45" i="2" s="1"/>
  <c r="Q100" i="1" l="1"/>
  <c r="R99" i="1"/>
  <c r="I99" i="1" s="1"/>
  <c r="L46" i="1"/>
  <c r="M46" i="1"/>
  <c r="F47" i="1" s="1"/>
  <c r="J46" i="1"/>
  <c r="M45" i="2"/>
  <c r="F46" i="2" s="1"/>
  <c r="J45" i="2"/>
  <c r="R99" i="2"/>
  <c r="I99" i="2" s="1"/>
  <c r="Q100" i="2"/>
  <c r="R100" i="1" l="1"/>
  <c r="R102" i="1" s="1"/>
  <c r="Q102" i="1"/>
  <c r="H46" i="1"/>
  <c r="O46" i="1" s="1"/>
  <c r="G47" i="1" s="1"/>
  <c r="N46" i="1"/>
  <c r="H45" i="2"/>
  <c r="O45" i="2" s="1"/>
  <c r="G46" i="2" s="1"/>
  <c r="R100" i="2"/>
  <c r="Q102" i="2"/>
  <c r="N45" i="2"/>
  <c r="I100" i="1" l="1"/>
  <c r="I102" i="1" s="1"/>
  <c r="M47" i="1"/>
  <c r="F48" i="1" s="1"/>
  <c r="J47" i="1"/>
  <c r="L47" i="1"/>
  <c r="I100" i="2"/>
  <c r="I102" i="2" s="1"/>
  <c r="R102" i="2"/>
  <c r="J46" i="2"/>
  <c r="M46" i="2"/>
  <c r="F47" i="2" s="1"/>
  <c r="L46" i="2"/>
  <c r="N47" i="1" l="1"/>
  <c r="H47" i="1"/>
  <c r="O47" i="1" s="1"/>
  <c r="G48" i="1" s="1"/>
  <c r="H46" i="2"/>
  <c r="O46" i="2" s="1"/>
  <c r="G47" i="2" s="1"/>
  <c r="L47" i="2" s="1"/>
  <c r="N46" i="2"/>
  <c r="J48" i="1" l="1"/>
  <c r="M48" i="1"/>
  <c r="F49" i="1" s="1"/>
  <c r="L48" i="1"/>
  <c r="M47" i="2"/>
  <c r="F48" i="2" s="1"/>
  <c r="J47" i="2"/>
  <c r="L101" i="2"/>
  <c r="N48" i="1" l="1"/>
  <c r="H48" i="1"/>
  <c r="O48" i="1" s="1"/>
  <c r="G49" i="1" s="1"/>
  <c r="H47" i="2"/>
  <c r="O47" i="2" s="1"/>
  <c r="G48" i="2" s="1"/>
  <c r="L48" i="2" s="1"/>
  <c r="N47" i="2"/>
  <c r="J49" i="1" l="1"/>
  <c r="L49" i="1"/>
  <c r="M49" i="1"/>
  <c r="F50" i="1" s="1"/>
  <c r="M48" i="2"/>
  <c r="F49" i="2" s="1"/>
  <c r="J48" i="2"/>
  <c r="H49" i="1" l="1"/>
  <c r="O49" i="1" s="1"/>
  <c r="G50" i="1" s="1"/>
  <c r="N49" i="1"/>
  <c r="N48" i="2"/>
  <c r="H48" i="2"/>
  <c r="O48" i="2" s="1"/>
  <c r="G49" i="2" s="1"/>
  <c r="L49" i="2" s="1"/>
  <c r="L50" i="1" l="1"/>
  <c r="J50" i="1"/>
  <c r="M50" i="1"/>
  <c r="F51" i="1" s="1"/>
  <c r="J49" i="2"/>
  <c r="M49" i="2"/>
  <c r="F50" i="2" s="1"/>
  <c r="H50" i="1" l="1"/>
  <c r="O50" i="1" s="1"/>
  <c r="G51" i="1" s="1"/>
  <c r="N50" i="1"/>
  <c r="H49" i="2"/>
  <c r="O49" i="2" s="1"/>
  <c r="G50" i="2" s="1"/>
  <c r="N49" i="2"/>
  <c r="J51" i="1" l="1"/>
  <c r="M51" i="1"/>
  <c r="F52" i="1" s="1"/>
  <c r="L51" i="1"/>
  <c r="M50" i="2"/>
  <c r="F51" i="2" s="1"/>
  <c r="J50" i="2"/>
  <c r="L50" i="2"/>
  <c r="N51" i="1" l="1"/>
  <c r="H51" i="1"/>
  <c r="O51" i="1" s="1"/>
  <c r="G52" i="1" s="1"/>
  <c r="N50" i="2"/>
  <c r="H50" i="2"/>
  <c r="O50" i="2" s="1"/>
  <c r="G51" i="2" s="1"/>
  <c r="L51" i="2" s="1"/>
  <c r="M52" i="1" l="1"/>
  <c r="F53" i="1" s="1"/>
  <c r="J52" i="1"/>
  <c r="L52" i="1"/>
  <c r="M51" i="2"/>
  <c r="F52" i="2" s="1"/>
  <c r="J51" i="2"/>
  <c r="H52" i="1" l="1"/>
  <c r="O52" i="1" s="1"/>
  <c r="G53" i="1" s="1"/>
  <c r="L53" i="1" s="1"/>
  <c r="N52" i="1"/>
  <c r="H51" i="2"/>
  <c r="O51" i="2" s="1"/>
  <c r="G52" i="2" s="1"/>
  <c r="L52" i="2" s="1"/>
  <c r="N51" i="2"/>
  <c r="J53" i="1" l="1"/>
  <c r="M53" i="1"/>
  <c r="F54" i="1" s="1"/>
  <c r="M52" i="2"/>
  <c r="F53" i="2" s="1"/>
  <c r="J52" i="2"/>
  <c r="H53" i="1" l="1"/>
  <c r="O53" i="1" s="1"/>
  <c r="G54" i="1" s="1"/>
  <c r="N53" i="1"/>
  <c r="H52" i="2"/>
  <c r="O52" i="2" s="1"/>
  <c r="G53" i="2" s="1"/>
  <c r="L53" i="2" s="1"/>
  <c r="N52" i="2"/>
  <c r="L54" i="1" l="1"/>
  <c r="J54" i="1"/>
  <c r="M54" i="1"/>
  <c r="F55" i="1" s="1"/>
  <c r="M53" i="2"/>
  <c r="F54" i="2" s="1"/>
  <c r="J53" i="2"/>
  <c r="H54" i="1" l="1"/>
  <c r="O54" i="1" s="1"/>
  <c r="G55" i="1" s="1"/>
  <c r="N54" i="1"/>
  <c r="N53" i="2"/>
  <c r="H53" i="2"/>
  <c r="O53" i="2" s="1"/>
  <c r="G54" i="2" s="1"/>
  <c r="M54" i="2" s="1"/>
  <c r="F55" i="2" s="1"/>
  <c r="L55" i="1" l="1"/>
  <c r="J55" i="1"/>
  <c r="M55" i="1"/>
  <c r="F56" i="1" s="1"/>
  <c r="J54" i="2"/>
  <c r="L54" i="2"/>
  <c r="N54" i="2" s="1"/>
  <c r="H54" i="2" l="1"/>
  <c r="O54" i="2" s="1"/>
  <c r="G55" i="2" s="1"/>
  <c r="L55" i="2" s="1"/>
  <c r="N55" i="1"/>
  <c r="H55" i="1"/>
  <c r="O55" i="1" s="1"/>
  <c r="G56" i="1" s="1"/>
  <c r="J55" i="2" l="1"/>
  <c r="M55" i="2"/>
  <c r="F56" i="2" s="1"/>
  <c r="M56" i="1"/>
  <c r="F57" i="1" s="1"/>
  <c r="J56" i="1"/>
  <c r="L56" i="1"/>
  <c r="H55" i="2" l="1"/>
  <c r="O55" i="2" s="1"/>
  <c r="G56" i="2" s="1"/>
  <c r="L56" i="2" s="1"/>
  <c r="N55" i="2"/>
  <c r="N56" i="1"/>
  <c r="H56" i="1"/>
  <c r="O56" i="1" s="1"/>
  <c r="G57" i="1" s="1"/>
  <c r="L57" i="1" s="1"/>
  <c r="J56" i="2" l="1"/>
  <c r="M56" i="2"/>
  <c r="F57" i="2" s="1"/>
  <c r="J57" i="1"/>
  <c r="M57" i="1"/>
  <c r="F58" i="1" s="1"/>
  <c r="H56" i="2" l="1"/>
  <c r="O56" i="2" s="1"/>
  <c r="G57" i="2" s="1"/>
  <c r="L57" i="2" s="1"/>
  <c r="N56" i="2"/>
  <c r="H57" i="1"/>
  <c r="O57" i="1" s="1"/>
  <c r="G58" i="1" s="1"/>
  <c r="N57" i="1"/>
  <c r="J57" i="2"/>
  <c r="M57" i="2"/>
  <c r="F58" i="2" s="1"/>
  <c r="M58" i="1" l="1"/>
  <c r="F59" i="1" s="1"/>
  <c r="J58" i="1"/>
  <c r="L58" i="1"/>
  <c r="N57" i="2"/>
  <c r="H57" i="2"/>
  <c r="O57" i="2" s="1"/>
  <c r="G58" i="2" s="1"/>
  <c r="H58" i="1" l="1"/>
  <c r="O58" i="1" s="1"/>
  <c r="G59" i="1" s="1"/>
  <c r="N58" i="1"/>
  <c r="M58" i="2"/>
  <c r="F59" i="2" s="1"/>
  <c r="J58" i="2"/>
  <c r="L58" i="2"/>
  <c r="L59" i="1" l="1"/>
  <c r="M59" i="1"/>
  <c r="F60" i="1" s="1"/>
  <c r="J59" i="1"/>
  <c r="N58" i="2"/>
  <c r="H58" i="2"/>
  <c r="O58" i="2" s="1"/>
  <c r="G59" i="2" s="1"/>
  <c r="H59" i="1" l="1"/>
  <c r="O59" i="1" s="1"/>
  <c r="G60" i="1" s="1"/>
  <c r="N59" i="1"/>
  <c r="M59" i="2"/>
  <c r="F60" i="2" s="1"/>
  <c r="J59" i="2"/>
  <c r="L59" i="2"/>
  <c r="L60" i="1" l="1"/>
  <c r="M60" i="1"/>
  <c r="F61" i="1" s="1"/>
  <c r="J60" i="1"/>
  <c r="H59" i="2"/>
  <c r="O59" i="2" s="1"/>
  <c r="G60" i="2" s="1"/>
  <c r="L60" i="2" s="1"/>
  <c r="N59" i="2"/>
  <c r="H60" i="1" l="1"/>
  <c r="O60" i="1" s="1"/>
  <c r="G61" i="1" s="1"/>
  <c r="N60" i="1"/>
  <c r="J60" i="2"/>
  <c r="M60" i="2"/>
  <c r="F61" i="2" s="1"/>
  <c r="L61" i="1" l="1"/>
  <c r="J61" i="1"/>
  <c r="M61" i="1"/>
  <c r="F62" i="1" s="1"/>
  <c r="H60" i="2"/>
  <c r="O60" i="2" s="1"/>
  <c r="G61" i="2" s="1"/>
  <c r="L61" i="2" s="1"/>
  <c r="N60" i="2"/>
  <c r="H61" i="1" l="1"/>
  <c r="O61" i="1" s="1"/>
  <c r="G62" i="1" s="1"/>
  <c r="N61" i="1"/>
  <c r="M61" i="2"/>
  <c r="F62" i="2" s="1"/>
  <c r="J61" i="2"/>
  <c r="M62" i="1" l="1"/>
  <c r="F63" i="1" s="1"/>
  <c r="J62" i="1"/>
  <c r="L62" i="1"/>
  <c r="H61" i="2"/>
  <c r="O61" i="2" s="1"/>
  <c r="G62" i="2" s="1"/>
  <c r="L62" i="2" s="1"/>
  <c r="N61" i="2"/>
  <c r="H62" i="1" l="1"/>
  <c r="O62" i="1" s="1"/>
  <c r="G63" i="1" s="1"/>
  <c r="N62" i="1"/>
  <c r="J62" i="2"/>
  <c r="M62" i="2"/>
  <c r="F63" i="2" s="1"/>
  <c r="L63" i="1" l="1"/>
  <c r="M63" i="1"/>
  <c r="F64" i="1" s="1"/>
  <c r="J63" i="1"/>
  <c r="H62" i="2"/>
  <c r="O62" i="2" s="1"/>
  <c r="G63" i="2" s="1"/>
  <c r="L63" i="2" s="1"/>
  <c r="N62" i="2"/>
  <c r="H63" i="1" l="1"/>
  <c r="O63" i="1" s="1"/>
  <c r="G64" i="1" s="1"/>
  <c r="L64" i="1" s="1"/>
  <c r="N63" i="1"/>
  <c r="M63" i="2"/>
  <c r="F64" i="2" s="1"/>
  <c r="J63" i="2"/>
  <c r="M64" i="1" l="1"/>
  <c r="F65" i="1" s="1"/>
  <c r="J64" i="1"/>
  <c r="H63" i="2"/>
  <c r="O63" i="2" s="1"/>
  <c r="G64" i="2" s="1"/>
  <c r="L64" i="2" s="1"/>
  <c r="N63" i="2"/>
  <c r="N64" i="1" l="1"/>
  <c r="H64" i="1"/>
  <c r="O64" i="1" s="1"/>
  <c r="G65" i="1" s="1"/>
  <c r="M65" i="1" s="1"/>
  <c r="F66" i="1" s="1"/>
  <c r="J64" i="2"/>
  <c r="M64" i="2"/>
  <c r="F65" i="2" s="1"/>
  <c r="J65" i="1" l="1"/>
  <c r="L65" i="1"/>
  <c r="H65" i="1" s="1"/>
  <c r="O65" i="1" s="1"/>
  <c r="G66" i="1" s="1"/>
  <c r="H64" i="2"/>
  <c r="O64" i="2" s="1"/>
  <c r="G65" i="2" s="1"/>
  <c r="L65" i="2" s="1"/>
  <c r="N64" i="2"/>
  <c r="N65" i="1" l="1"/>
  <c r="L66" i="1"/>
  <c r="M66" i="1"/>
  <c r="F67" i="1" s="1"/>
  <c r="J66" i="1"/>
  <c r="M65" i="2"/>
  <c r="F66" i="2" s="1"/>
  <c r="J65" i="2"/>
  <c r="H66" i="1" l="1"/>
  <c r="O66" i="1" s="1"/>
  <c r="G67" i="1" s="1"/>
  <c r="N66" i="1"/>
  <c r="H65" i="2"/>
  <c r="O65" i="2" s="1"/>
  <c r="G66" i="2" s="1"/>
  <c r="L66" i="2" s="1"/>
  <c r="N65" i="2"/>
  <c r="M67" i="1" l="1"/>
  <c r="F68" i="1" s="1"/>
  <c r="J67" i="1"/>
  <c r="L67" i="1"/>
  <c r="J66" i="2"/>
  <c r="M66" i="2"/>
  <c r="F67" i="2" s="1"/>
  <c r="H67" i="1" l="1"/>
  <c r="O67" i="1" s="1"/>
  <c r="G68" i="1" s="1"/>
  <c r="N67" i="1"/>
  <c r="N66" i="2"/>
  <c r="H66" i="2"/>
  <c r="O66" i="2" s="1"/>
  <c r="G67" i="2" s="1"/>
  <c r="L67" i="2" s="1"/>
  <c r="J67" i="2" l="1"/>
  <c r="L68" i="1"/>
  <c r="M68" i="1"/>
  <c r="F69" i="1" s="1"/>
  <c r="J68" i="1"/>
  <c r="M67" i="2"/>
  <c r="F68" i="2" s="1"/>
  <c r="N68" i="1" l="1"/>
  <c r="H68" i="1"/>
  <c r="O68" i="1" s="1"/>
  <c r="G69" i="1" s="1"/>
  <c r="N67" i="2"/>
  <c r="H67" i="2"/>
  <c r="O67" i="2" s="1"/>
  <c r="G68" i="2" s="1"/>
  <c r="L68" i="2" s="1"/>
  <c r="J69" i="1" l="1"/>
  <c r="M69" i="1"/>
  <c r="F70" i="1" s="1"/>
  <c r="J68" i="2"/>
  <c r="M68" i="2"/>
  <c r="F69" i="2" s="1"/>
  <c r="L69" i="1"/>
  <c r="N68" i="2" l="1"/>
  <c r="H69" i="1"/>
  <c r="O69" i="1" s="1"/>
  <c r="G70" i="1" s="1"/>
  <c r="N69" i="1"/>
  <c r="H68" i="2"/>
  <c r="O68" i="2" s="1"/>
  <c r="G69" i="2" s="1"/>
  <c r="L69" i="2" s="1"/>
  <c r="J69" i="2" l="1"/>
  <c r="M69" i="2"/>
  <c r="F70" i="2" s="1"/>
  <c r="L70" i="1"/>
  <c r="J70" i="1"/>
  <c r="M70" i="1"/>
  <c r="F71" i="1" s="1"/>
  <c r="H69" i="2" l="1"/>
  <c r="O69" i="2" s="1"/>
  <c r="G70" i="2" s="1"/>
  <c r="J70" i="2" s="1"/>
  <c r="N69" i="2"/>
  <c r="N70" i="1"/>
  <c r="H70" i="1"/>
  <c r="O70" i="1" s="1"/>
  <c r="G71" i="1" s="1"/>
  <c r="L70" i="2" l="1"/>
  <c r="M70" i="2"/>
  <c r="F71" i="2" s="1"/>
  <c r="L71" i="1"/>
  <c r="J71" i="1"/>
  <c r="M71" i="1"/>
  <c r="F72" i="1" s="1"/>
  <c r="N70" i="2" l="1"/>
  <c r="H70" i="2"/>
  <c r="O70" i="2" s="1"/>
  <c r="G71" i="2" s="1"/>
  <c r="L71" i="2" s="1"/>
  <c r="N71" i="1"/>
  <c r="H71" i="1"/>
  <c r="O71" i="1" s="1"/>
  <c r="G72" i="1" s="1"/>
  <c r="J71" i="2" l="1"/>
  <c r="M71" i="2"/>
  <c r="F72" i="2" s="1"/>
  <c r="L72" i="1"/>
  <c r="M72" i="1"/>
  <c r="F73" i="1" s="1"/>
  <c r="J72" i="1"/>
  <c r="N71" i="2"/>
  <c r="H71" i="2" l="1"/>
  <c r="O71" i="2" s="1"/>
  <c r="G72" i="2" s="1"/>
  <c r="M72" i="2" s="1"/>
  <c r="F73" i="2" s="1"/>
  <c r="H72" i="1"/>
  <c r="O72" i="1" s="1"/>
  <c r="G73" i="1" s="1"/>
  <c r="N72" i="1"/>
  <c r="L72" i="2" l="1"/>
  <c r="J72" i="2"/>
  <c r="M73" i="1"/>
  <c r="F74" i="1" s="1"/>
  <c r="J73" i="1"/>
  <c r="L73" i="1"/>
  <c r="H72" i="2"/>
  <c r="O72" i="2" s="1"/>
  <c r="G73" i="2" s="1"/>
  <c r="N72" i="2"/>
  <c r="H73" i="1" l="1"/>
  <c r="O73" i="1" s="1"/>
  <c r="G74" i="1" s="1"/>
  <c r="L74" i="1" s="1"/>
  <c r="N73" i="1"/>
  <c r="J73" i="2"/>
  <c r="M73" i="2"/>
  <c r="F74" i="2" s="1"/>
  <c r="L73" i="2"/>
  <c r="M74" i="1" l="1"/>
  <c r="F75" i="1" s="1"/>
  <c r="J74" i="1"/>
  <c r="N73" i="2"/>
  <c r="H73" i="2"/>
  <c r="O73" i="2" s="1"/>
  <c r="G74" i="2" s="1"/>
  <c r="H74" i="1" l="1"/>
  <c r="O74" i="1" s="1"/>
  <c r="G75" i="1" s="1"/>
  <c r="N74" i="1"/>
  <c r="J74" i="2"/>
  <c r="M74" i="2"/>
  <c r="F75" i="2" s="1"/>
  <c r="L74" i="2"/>
  <c r="L75" i="1" l="1"/>
  <c r="J75" i="1"/>
  <c r="M75" i="1"/>
  <c r="F76" i="1" s="1"/>
  <c r="H74" i="2"/>
  <c r="O74" i="2" s="1"/>
  <c r="G75" i="2" s="1"/>
  <c r="L75" i="2" s="1"/>
  <c r="N74" i="2"/>
  <c r="N75" i="1" l="1"/>
  <c r="H75" i="1"/>
  <c r="O75" i="1" s="1"/>
  <c r="G76" i="1" s="1"/>
  <c r="M75" i="2"/>
  <c r="F76" i="2" s="1"/>
  <c r="J75" i="2"/>
  <c r="J76" i="1" l="1"/>
  <c r="M76" i="1"/>
  <c r="F77" i="1" s="1"/>
  <c r="L76" i="1"/>
  <c r="N75" i="2"/>
  <c r="H75" i="2"/>
  <c r="O75" i="2" s="1"/>
  <c r="G76" i="2" s="1"/>
  <c r="L76" i="2" s="1"/>
  <c r="N76" i="1" l="1"/>
  <c r="H76" i="1"/>
  <c r="O76" i="1" s="1"/>
  <c r="G77" i="1" s="1"/>
  <c r="J76" i="2"/>
  <c r="M76" i="2"/>
  <c r="F77" i="2" s="1"/>
  <c r="L77" i="1" l="1"/>
  <c r="M77" i="1"/>
  <c r="F78" i="1" s="1"/>
  <c r="J77" i="1"/>
  <c r="N76" i="2"/>
  <c r="H76" i="2"/>
  <c r="O76" i="2" s="1"/>
  <c r="G77" i="2" s="1"/>
  <c r="J77" i="2" s="1"/>
  <c r="N77" i="1" l="1"/>
  <c r="H77" i="1"/>
  <c r="O77" i="1" s="1"/>
  <c r="G78" i="1" s="1"/>
  <c r="L77" i="2"/>
  <c r="M77" i="2"/>
  <c r="F78" i="2" s="1"/>
  <c r="J78" i="1" l="1"/>
  <c r="M78" i="1"/>
  <c r="F79" i="1" s="1"/>
  <c r="L78" i="1"/>
  <c r="H77" i="2"/>
  <c r="O77" i="2" s="1"/>
  <c r="G78" i="2" s="1"/>
  <c r="J78" i="2" s="1"/>
  <c r="N77" i="2"/>
  <c r="N78" i="1" l="1"/>
  <c r="H78" i="1"/>
  <c r="O78" i="1" s="1"/>
  <c r="G79" i="1" s="1"/>
  <c r="L78" i="2"/>
  <c r="M78" i="2"/>
  <c r="F79" i="2" s="1"/>
  <c r="L79" i="1" l="1"/>
  <c r="J79" i="1"/>
  <c r="M79" i="1"/>
  <c r="F80" i="1" s="1"/>
  <c r="H78" i="2"/>
  <c r="O78" i="2" s="1"/>
  <c r="G79" i="2" s="1"/>
  <c r="L79" i="2" s="1"/>
  <c r="N78" i="2"/>
  <c r="H79" i="1" l="1"/>
  <c r="O79" i="1" s="1"/>
  <c r="G80" i="1" s="1"/>
  <c r="L80" i="1" s="1"/>
  <c r="N79" i="1"/>
  <c r="M79" i="2"/>
  <c r="F80" i="2" s="1"/>
  <c r="J79" i="2"/>
  <c r="M80" i="1" l="1"/>
  <c r="F81" i="1" s="1"/>
  <c r="J80" i="1"/>
  <c r="H79" i="2"/>
  <c r="O79" i="2" s="1"/>
  <c r="G80" i="2" s="1"/>
  <c r="L80" i="2" s="1"/>
  <c r="N79" i="2"/>
  <c r="H80" i="1" l="1"/>
  <c r="O80" i="1" s="1"/>
  <c r="G81" i="1" s="1"/>
  <c r="M81" i="1" s="1"/>
  <c r="F82" i="1" s="1"/>
  <c r="N80" i="1"/>
  <c r="M80" i="2"/>
  <c r="F81" i="2" s="1"/>
  <c r="J80" i="2"/>
  <c r="L81" i="1" l="1"/>
  <c r="H81" i="1" s="1"/>
  <c r="O81" i="1" s="1"/>
  <c r="G82" i="1" s="1"/>
  <c r="J81" i="1"/>
  <c r="N80" i="2"/>
  <c r="H80" i="2"/>
  <c r="O80" i="2" s="1"/>
  <c r="G81" i="2" s="1"/>
  <c r="M81" i="2" s="1"/>
  <c r="F82" i="2" s="1"/>
  <c r="N81" i="1" l="1"/>
  <c r="L82" i="1"/>
  <c r="J82" i="1"/>
  <c r="M82" i="1"/>
  <c r="F83" i="1" s="1"/>
  <c r="J81" i="2"/>
  <c r="L81" i="2"/>
  <c r="N81" i="2" s="1"/>
  <c r="N82" i="1" l="1"/>
  <c r="H82" i="1"/>
  <c r="O82" i="1" s="1"/>
  <c r="G83" i="1" s="1"/>
  <c r="H81" i="2"/>
  <c r="O81" i="2" s="1"/>
  <c r="G82" i="2" s="1"/>
  <c r="J82" i="2" s="1"/>
  <c r="L82" i="2" l="1"/>
  <c r="M82" i="2"/>
  <c r="F83" i="2" s="1"/>
  <c r="L83" i="1"/>
  <c r="M83" i="1"/>
  <c r="F84" i="1" s="1"/>
  <c r="J83" i="1"/>
  <c r="H82" i="2" l="1"/>
  <c r="O82" i="2" s="1"/>
  <c r="G83" i="2" s="1"/>
  <c r="L83" i="2" s="1"/>
  <c r="N82" i="2"/>
  <c r="N83" i="1"/>
  <c r="H83" i="1"/>
  <c r="O83" i="1" s="1"/>
  <c r="G84" i="1" s="1"/>
  <c r="J83" i="2" l="1"/>
  <c r="M83" i="2"/>
  <c r="F84" i="2" s="1"/>
  <c r="L84" i="1"/>
  <c r="J84" i="1"/>
  <c r="M84" i="1"/>
  <c r="F85" i="1" s="1"/>
  <c r="H83" i="2" l="1"/>
  <c r="O83" i="2" s="1"/>
  <c r="G84" i="2" s="1"/>
  <c r="M84" i="2" s="1"/>
  <c r="F85" i="2" s="1"/>
  <c r="N83" i="2"/>
  <c r="H84" i="1"/>
  <c r="O84" i="1" s="1"/>
  <c r="G85" i="1" s="1"/>
  <c r="N84" i="1"/>
  <c r="L84" i="2" l="1"/>
  <c r="H84" i="2" s="1"/>
  <c r="O84" i="2" s="1"/>
  <c r="G85" i="2" s="1"/>
  <c r="L85" i="2" s="1"/>
  <c r="J84" i="2"/>
  <c r="L85" i="1"/>
  <c r="J85" i="1"/>
  <c r="M85" i="1"/>
  <c r="F86" i="1" s="1"/>
  <c r="N84" i="2"/>
  <c r="M85" i="2" l="1"/>
  <c r="F86" i="2" s="1"/>
  <c r="J85" i="2"/>
  <c r="N85" i="1"/>
  <c r="H85" i="1"/>
  <c r="O85" i="1" s="1"/>
  <c r="G86" i="1" s="1"/>
  <c r="N85" i="2"/>
  <c r="H85" i="2"/>
  <c r="O85" i="2" s="1"/>
  <c r="G86" i="2" s="1"/>
  <c r="M86" i="2" s="1"/>
  <c r="F87" i="2" s="1"/>
  <c r="L86" i="1" l="1"/>
  <c r="J86" i="1"/>
  <c r="M86" i="1"/>
  <c r="F87" i="1" s="1"/>
  <c r="J86" i="2"/>
  <c r="L86" i="2"/>
  <c r="N86" i="2" s="1"/>
  <c r="H86" i="2" l="1"/>
  <c r="O86" i="2" s="1"/>
  <c r="G87" i="2" s="1"/>
  <c r="M87" i="2" s="1"/>
  <c r="F88" i="2" s="1"/>
  <c r="N86" i="1"/>
  <c r="H86" i="1"/>
  <c r="O86" i="1" s="1"/>
  <c r="G87" i="1" s="1"/>
  <c r="L87" i="2" l="1"/>
  <c r="J87" i="2"/>
  <c r="L87" i="1"/>
  <c r="M87" i="1"/>
  <c r="F88" i="1" s="1"/>
  <c r="J87" i="1"/>
  <c r="H87" i="2"/>
  <c r="O87" i="2" s="1"/>
  <c r="G88" i="2" s="1"/>
  <c r="L88" i="2" s="1"/>
  <c r="N87" i="2"/>
  <c r="H87" i="1" l="1"/>
  <c r="O87" i="1" s="1"/>
  <c r="G88" i="1" s="1"/>
  <c r="N87" i="1"/>
  <c r="J88" i="2"/>
  <c r="M88" i="2"/>
  <c r="F89" i="2" s="1"/>
  <c r="M88" i="1" l="1"/>
  <c r="F89" i="1" s="1"/>
  <c r="J88" i="1"/>
  <c r="L88" i="1"/>
  <c r="H88" i="2"/>
  <c r="O88" i="2" s="1"/>
  <c r="G89" i="2" s="1"/>
  <c r="M89" i="2" s="1"/>
  <c r="F90" i="2" s="1"/>
  <c r="N88" i="2"/>
  <c r="H88" i="1" l="1"/>
  <c r="O88" i="1" s="1"/>
  <c r="G89" i="1" s="1"/>
  <c r="N88" i="1"/>
  <c r="L89" i="2"/>
  <c r="H89" i="2" s="1"/>
  <c r="O89" i="2" s="1"/>
  <c r="G90" i="2" s="1"/>
  <c r="J89" i="2"/>
  <c r="L89" i="1" l="1"/>
  <c r="M89" i="1"/>
  <c r="F90" i="1" s="1"/>
  <c r="J89" i="1"/>
  <c r="N89" i="2"/>
  <c r="J90" i="2"/>
  <c r="M90" i="2"/>
  <c r="F91" i="2" s="1"/>
  <c r="L90" i="2"/>
  <c r="N89" i="1" l="1"/>
  <c r="H89" i="1"/>
  <c r="O89" i="1" s="1"/>
  <c r="G90" i="1" s="1"/>
  <c r="H90" i="2"/>
  <c r="O90" i="2" s="1"/>
  <c r="G91" i="2" s="1"/>
  <c r="L91" i="2" s="1"/>
  <c r="N90" i="2"/>
  <c r="M90" i="1" l="1"/>
  <c r="F91" i="1" s="1"/>
  <c r="J90" i="1"/>
  <c r="L90" i="1"/>
  <c r="M91" i="2"/>
  <c r="F92" i="2" s="1"/>
  <c r="J91" i="2"/>
  <c r="H90" i="1" l="1"/>
  <c r="O90" i="1" s="1"/>
  <c r="G91" i="1" s="1"/>
  <c r="N90" i="1"/>
  <c r="N91" i="2"/>
  <c r="H91" i="2"/>
  <c r="O91" i="2" s="1"/>
  <c r="G92" i="2" s="1"/>
  <c r="L92" i="2" s="1"/>
  <c r="L91" i="1" l="1"/>
  <c r="M91" i="1"/>
  <c r="F92" i="1" s="1"/>
  <c r="J91" i="1"/>
  <c r="J92" i="2"/>
  <c r="M92" i="2"/>
  <c r="F93" i="2" s="1"/>
  <c r="H91" i="1" l="1"/>
  <c r="O91" i="1" s="1"/>
  <c r="G92" i="1" s="1"/>
  <c r="L92" i="1" s="1"/>
  <c r="N91" i="1"/>
  <c r="N92" i="2"/>
  <c r="H92" i="2"/>
  <c r="O92" i="2" s="1"/>
  <c r="G93" i="2" s="1"/>
  <c r="M92" i="1" l="1"/>
  <c r="F93" i="1" s="1"/>
  <c r="J92" i="1"/>
  <c r="M93" i="2"/>
  <c r="F94" i="2" s="1"/>
  <c r="J93" i="2"/>
  <c r="L93" i="2"/>
  <c r="H92" i="1" l="1"/>
  <c r="O92" i="1" s="1"/>
  <c r="G93" i="1" s="1"/>
  <c r="L93" i="1" s="1"/>
  <c r="N92" i="1"/>
  <c r="H93" i="2"/>
  <c r="O93" i="2" s="1"/>
  <c r="G94" i="2" s="1"/>
  <c r="N93" i="2"/>
  <c r="M93" i="1" l="1"/>
  <c r="F94" i="1" s="1"/>
  <c r="J93" i="1"/>
  <c r="M94" i="2"/>
  <c r="F95" i="2" s="1"/>
  <c r="J94" i="2"/>
  <c r="L94" i="2"/>
  <c r="H93" i="1" l="1"/>
  <c r="O93" i="1" s="1"/>
  <c r="G94" i="1" s="1"/>
  <c r="L94" i="1" s="1"/>
  <c r="N93" i="1"/>
  <c r="H94" i="2"/>
  <c r="O94" i="2" s="1"/>
  <c r="G95" i="2" s="1"/>
  <c r="L95" i="2" s="1"/>
  <c r="N94" i="2"/>
  <c r="J94" i="1" l="1"/>
  <c r="M94" i="1"/>
  <c r="F95" i="1" s="1"/>
  <c r="M95" i="2"/>
  <c r="F96" i="2" s="1"/>
  <c r="J95" i="2"/>
  <c r="N94" i="1" l="1"/>
  <c r="H94" i="1"/>
  <c r="O94" i="1" s="1"/>
  <c r="G95" i="1" s="1"/>
  <c r="M95" i="1" s="1"/>
  <c r="F96" i="1" s="1"/>
  <c r="N95" i="2"/>
  <c r="H95" i="2"/>
  <c r="O95" i="2" s="1"/>
  <c r="G96" i="2" s="1"/>
  <c r="L95" i="1" l="1"/>
  <c r="H95" i="1" s="1"/>
  <c r="O95" i="1" s="1"/>
  <c r="G96" i="1" s="1"/>
  <c r="J95" i="1"/>
  <c r="N95" i="1"/>
  <c r="J96" i="2"/>
  <c r="M96" i="2"/>
  <c r="F97" i="2" s="1"/>
  <c r="L96" i="2"/>
  <c r="L96" i="1" l="1"/>
  <c r="J96" i="1"/>
  <c r="M96" i="1"/>
  <c r="F97" i="1" s="1"/>
  <c r="N96" i="2"/>
  <c r="H96" i="2"/>
  <c r="O96" i="2" s="1"/>
  <c r="G97" i="2" s="1"/>
  <c r="L97" i="2" s="1"/>
  <c r="H96" i="1" l="1"/>
  <c r="O96" i="1" s="1"/>
  <c r="G97" i="1" s="1"/>
  <c r="N96" i="1"/>
  <c r="M97" i="2"/>
  <c r="F98" i="2" s="1"/>
  <c r="J97" i="2"/>
  <c r="M97" i="1" l="1"/>
  <c r="F98" i="1" s="1"/>
  <c r="J97" i="1"/>
  <c r="L97" i="1"/>
  <c r="H97" i="2"/>
  <c r="O97" i="2" s="1"/>
  <c r="G98" i="2" s="1"/>
  <c r="J98" i="2" s="1"/>
  <c r="N97" i="2"/>
  <c r="N97" i="1" l="1"/>
  <c r="H97" i="1"/>
  <c r="O97" i="1" s="1"/>
  <c r="G98" i="1" s="1"/>
  <c r="L98" i="1" s="1"/>
  <c r="L98" i="2"/>
  <c r="M98" i="2"/>
  <c r="F99" i="2" s="1"/>
  <c r="M98" i="1" l="1"/>
  <c r="F99" i="1" s="1"/>
  <c r="J98" i="1"/>
  <c r="H98" i="2"/>
  <c r="O98" i="2" s="1"/>
  <c r="G99" i="2" s="1"/>
  <c r="M99" i="2" s="1"/>
  <c r="F100" i="2" s="1"/>
  <c r="N98" i="2"/>
  <c r="H98" i="1" l="1"/>
  <c r="O98" i="1" s="1"/>
  <c r="G99" i="1" s="1"/>
  <c r="L99" i="1" s="1"/>
  <c r="N98" i="1"/>
  <c r="J99" i="2"/>
  <c r="L99" i="2"/>
  <c r="H99" i="2" s="1"/>
  <c r="O99" i="2" s="1"/>
  <c r="G100" i="2" s="1"/>
  <c r="L100" i="2" s="1"/>
  <c r="L102" i="2" s="1"/>
  <c r="F102" i="2"/>
  <c r="J99" i="1" l="1"/>
  <c r="M99" i="1"/>
  <c r="F100" i="1" s="1"/>
  <c r="F102" i="1" s="1"/>
  <c r="N99" i="2"/>
  <c r="J100" i="2"/>
  <c r="J102" i="2" s="1"/>
  <c r="M100" i="2"/>
  <c r="M102" i="2" s="1"/>
  <c r="G102" i="2"/>
  <c r="H99" i="1" l="1"/>
  <c r="O99" i="1" s="1"/>
  <c r="G100" i="1" s="1"/>
  <c r="N99" i="1"/>
  <c r="E107" i="2"/>
  <c r="N100" i="2"/>
  <c r="N102" i="2" s="1"/>
  <c r="H100" i="2"/>
  <c r="L100" i="1" l="1"/>
  <c r="M100" i="1"/>
  <c r="M102" i="1" s="1"/>
  <c r="J100" i="1"/>
  <c r="J102" i="1" s="1"/>
  <c r="G102" i="1"/>
  <c r="O100" i="2"/>
  <c r="O102" i="2" s="1"/>
  <c r="H102" i="2"/>
  <c r="E107" i="1" l="1"/>
  <c r="N100" i="1"/>
  <c r="N102" i="1" s="1"/>
  <c r="H100" i="1"/>
  <c r="L102" i="1"/>
  <c r="O100" i="1" l="1"/>
  <c r="O102" i="1" s="1"/>
  <c r="H102" i="1"/>
</calcChain>
</file>

<file path=xl/sharedStrings.xml><?xml version="1.0" encoding="utf-8"?>
<sst xmlns="http://schemas.openxmlformats.org/spreadsheetml/2006/main" count="151" uniqueCount="70">
  <si>
    <t>EXERCISE 2: Dynamic IS-LM model with a Recurring Productivity Shock:  Fixing Money and Adjusting Interest Rates</t>
  </si>
  <si>
    <t xml:space="preserve"> </t>
  </si>
  <si>
    <t>Time</t>
  </si>
  <si>
    <t>p</t>
  </si>
  <si>
    <t>y</t>
  </si>
  <si>
    <t>yd</t>
  </si>
  <si>
    <t>yn</t>
  </si>
  <si>
    <t>Gap</t>
  </si>
  <si>
    <t>m</t>
  </si>
  <si>
    <t>i</t>
  </si>
  <si>
    <t>∆p</t>
  </si>
  <si>
    <t>Real i</t>
  </si>
  <si>
    <t>∆y</t>
  </si>
  <si>
    <t>epsilon</t>
  </si>
  <si>
    <t>z</t>
  </si>
  <si>
    <t>Z</t>
  </si>
  <si>
    <t>Endogenous variables</t>
  </si>
  <si>
    <t>Change over time</t>
  </si>
  <si>
    <t>p: Price level</t>
  </si>
  <si>
    <t>∆p: Inflation</t>
  </si>
  <si>
    <t>y: Output</t>
  </si>
  <si>
    <t>∆y: Output growth</t>
  </si>
  <si>
    <t>yd: Aggregate demand</t>
  </si>
  <si>
    <t>i: Nominal interest rate</t>
  </si>
  <si>
    <t>Parameters</t>
  </si>
  <si>
    <t>Psi</t>
  </si>
  <si>
    <t>Theta</t>
  </si>
  <si>
    <t>Beta1</t>
  </si>
  <si>
    <t>Mi</t>
  </si>
  <si>
    <t>Ni</t>
  </si>
  <si>
    <t>Exogenous variables</t>
  </si>
  <si>
    <t>Initial value</t>
  </si>
  <si>
    <t>Final value</t>
  </si>
  <si>
    <t>m: Money</t>
  </si>
  <si>
    <t>Beta0: Government spending</t>
  </si>
  <si>
    <t>Ypot: Potential output</t>
  </si>
  <si>
    <t>Steady State</t>
  </si>
  <si>
    <t>Initial SS</t>
  </si>
  <si>
    <t>Final SS</t>
  </si>
  <si>
    <t>Steady state for p</t>
  </si>
  <si>
    <t>Steady state for y</t>
  </si>
  <si>
    <t>Eigenvalues</t>
  </si>
  <si>
    <t>Real</t>
  </si>
  <si>
    <t>Imaginary</t>
  </si>
  <si>
    <t>λ1</t>
  </si>
  <si>
    <t>λ2</t>
  </si>
  <si>
    <t>Stability condition</t>
  </si>
  <si>
    <t>Modulus (1+λ1)</t>
  </si>
  <si>
    <t>Modulus (1+λ2)</t>
  </si>
  <si>
    <t>Rho_z</t>
  </si>
  <si>
    <t>Std Dev z</t>
  </si>
  <si>
    <t>Std Dev</t>
  </si>
  <si>
    <t>lambda_inf</t>
  </si>
  <si>
    <t>lambda_gdp</t>
  </si>
  <si>
    <t>Loss  Function</t>
  </si>
  <si>
    <t>ΔM_step</t>
  </si>
  <si>
    <t>n_raise</t>
  </si>
  <si>
    <t>ΔM_policy</t>
  </si>
  <si>
    <t>n_hold</t>
  </si>
  <si>
    <t>n_return</t>
  </si>
  <si>
    <t>target_m0</t>
  </si>
  <si>
    <t>return_step</t>
  </si>
  <si>
    <t>Range: t = 1…30</t>
  </si>
  <si>
    <t>Δp (inflation)</t>
  </si>
  <si>
    <t>GAP (output gap)</t>
  </si>
  <si>
    <t>|Δp-π*|</t>
  </si>
  <si>
    <t>|GAP|</t>
  </si>
  <si>
    <t>std</t>
  </si>
  <si>
    <t>loss</t>
  </si>
  <si>
    <t>variance of real interest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</si>
</sst>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65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Aggregate demand</a:t>
            </a:r>
          </a:p>
        </c:rich>
      </c:tx>
      <c:layout>
        <c:manualLayout>
          <c:xMode val="edge"/>
          <c:yMode val="edge"/>
          <c:x val="0.31413660825553302"/>
          <c:y val="3.663047800843075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8575109770370571"/>
          <c:y val="0.22727311529091199"/>
          <c:w val="0.77862788900457469"/>
          <c:h val="0.5244764199021045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'Fixing Money'!$E$3:$E$32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'Fixing Money'!$H$3:$H$32</c:f>
              <c:numCache>
                <c:formatCode>General</c:formatCode>
                <c:ptCount val="30"/>
                <c:pt idx="0">
                  <c:v>2000.0000000000014</c:v>
                </c:pt>
                <c:pt idx="1">
                  <c:v>2000</c:v>
                </c:pt>
                <c:pt idx="2">
                  <c:v>2000.1136076412188</c:v>
                </c:pt>
                <c:pt idx="3">
                  <c:v>1999.9101243322557</c:v>
                </c:pt>
                <c:pt idx="4">
                  <c:v>1999.3787396794849</c:v>
                </c:pt>
                <c:pt idx="5">
                  <c:v>1999.3887668826462</c:v>
                </c:pt>
                <c:pt idx="6">
                  <c:v>1999.8729305110614</c:v>
                </c:pt>
                <c:pt idx="7">
                  <c:v>2001.5491760345808</c:v>
                </c:pt>
                <c:pt idx="8">
                  <c:v>2001.3358984331464</c:v>
                </c:pt>
                <c:pt idx="9">
                  <c:v>2001.8330814440787</c:v>
                </c:pt>
                <c:pt idx="10">
                  <c:v>2002.5381515401764</c:v>
                </c:pt>
                <c:pt idx="11">
                  <c:v>2001.9774136933929</c:v>
                </c:pt>
                <c:pt idx="12">
                  <c:v>2002.5236833597482</c:v>
                </c:pt>
                <c:pt idx="13">
                  <c:v>2001.6062232386305</c:v>
                </c:pt>
                <c:pt idx="14">
                  <c:v>2000.7677752482709</c:v>
                </c:pt>
                <c:pt idx="15">
                  <c:v>2000.3566810645787</c:v>
                </c:pt>
                <c:pt idx="16">
                  <c:v>2000.3229324734596</c:v>
                </c:pt>
                <c:pt idx="17">
                  <c:v>2000.4009969616743</c:v>
                </c:pt>
                <c:pt idx="18">
                  <c:v>2002.2496848293999</c:v>
                </c:pt>
                <c:pt idx="19">
                  <c:v>2003.0275392785788</c:v>
                </c:pt>
                <c:pt idx="20">
                  <c:v>2002.4181763749671</c:v>
                </c:pt>
                <c:pt idx="21">
                  <c:v>2002.4422441563954</c:v>
                </c:pt>
                <c:pt idx="22">
                  <c:v>2001.9960911186095</c:v>
                </c:pt>
                <c:pt idx="23">
                  <c:v>2001.6962407149151</c:v>
                </c:pt>
                <c:pt idx="24">
                  <c:v>2001.1279057237473</c:v>
                </c:pt>
                <c:pt idx="25">
                  <c:v>2001.1276271021031</c:v>
                </c:pt>
                <c:pt idx="26">
                  <c:v>2001.1009909701675</c:v>
                </c:pt>
                <c:pt idx="27">
                  <c:v>2001.6947960280538</c:v>
                </c:pt>
                <c:pt idx="28">
                  <c:v>2000.906749994389</c:v>
                </c:pt>
                <c:pt idx="29">
                  <c:v>2000.7138355783281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2-9B4C-8A97-9C4331C76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933248"/>
        <c:axId val="292385680"/>
      </c:lineChart>
      <c:catAx>
        <c:axId val="29093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50785382596406226"/>
              <c:y val="0.86080887616320678"/>
            </c:manualLayout>
          </c:layout>
          <c:overlay val="0"/>
          <c:spPr>
            <a:solidFill>
              <a:srgbClr val="FFFFFF"/>
            </a:solidFill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23856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238568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0933248"/>
        <c:crosses val="autoZero"/>
        <c:crossBetween val="between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Nominal  interest rate</a:t>
            </a:r>
          </a:p>
        </c:rich>
      </c:tx>
      <c:layout>
        <c:manualLayout>
          <c:xMode val="edge"/>
          <c:yMode val="edge"/>
          <c:x val="0.33837082271986813"/>
          <c:y val="3.6765084146061312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935354806423949"/>
          <c:y val="0.24663731133800301"/>
          <c:w val="0.83582292595354757"/>
          <c:h val="0.4708530489180057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'Fixing Money'!$E$3:$E$32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'Fixing Money'!$L$3:$L$32</c:f>
              <c:numCache>
                <c:formatCode>General</c:formatCode>
                <c:ptCount val="30"/>
                <c:pt idx="0">
                  <c:v>1.9999999999999716</c:v>
                </c:pt>
                <c:pt idx="1">
                  <c:v>2</c:v>
                </c:pt>
                <c:pt idx="2">
                  <c:v>2</c:v>
                </c:pt>
                <c:pt idx="3">
                  <c:v>2.0056803820609446</c:v>
                </c:pt>
                <c:pt idx="4">
                  <c:v>2.0124337551544045</c:v>
                </c:pt>
                <c:pt idx="5">
                  <c:v>2.0062258782280935</c:v>
                </c:pt>
                <c:pt idx="6">
                  <c:v>1.9887261050486984</c:v>
                </c:pt>
                <c:pt idx="7">
                  <c:v>1.9609851874253934</c:v>
                </c:pt>
                <c:pt idx="8">
                  <c:v>1.9615857455477794</c:v>
                </c:pt>
                <c:pt idx="9">
                  <c:v>1.951057225654381</c:v>
                </c:pt>
                <c:pt idx="10">
                  <c:v>1.9430444113522753</c:v>
                </c:pt>
                <c:pt idx="11">
                  <c:v>1.9526045255882138</c:v>
                </c:pt>
                <c:pt idx="12">
                  <c:v>1.9510534529644872</c:v>
                </c:pt>
                <c:pt idx="13">
                  <c:v>1.9722993855646109</c:v>
                </c:pt>
                <c:pt idx="14">
                  <c:v>1.9883450080809837</c:v>
                </c:pt>
                <c:pt idx="15">
                  <c:v>1.9938396839279733</c:v>
                </c:pt>
                <c:pt idx="16">
                  <c:v>1.9899596373088571</c:v>
                </c:pt>
                <c:pt idx="17">
                  <c:v>1.9772147336014143</c:v>
                </c:pt>
                <c:pt idx="18">
                  <c:v>1.9434413946161158</c:v>
                </c:pt>
                <c:pt idx="19">
                  <c:v>1.9349800395120553</c:v>
                </c:pt>
                <c:pt idx="20">
                  <c:v>1.9470218504100387</c:v>
                </c:pt>
                <c:pt idx="21">
                  <c:v>1.9505811218503482</c:v>
                </c:pt>
                <c:pt idx="22">
                  <c:v>1.9611834736805349</c:v>
                </c:pt>
                <c:pt idx="23">
                  <c:v>1.9695078430943909</c:v>
                </c:pt>
                <c:pt idx="24">
                  <c:v>1.9788770534204332</c:v>
                </c:pt>
                <c:pt idx="25">
                  <c:v>1.9783175452860746</c:v>
                </c:pt>
                <c:pt idx="26">
                  <c:v>1.9769680741933371</c:v>
                </c:pt>
                <c:pt idx="27">
                  <c:v>1.9718968188932706</c:v>
                </c:pt>
                <c:pt idx="28">
                  <c:v>1.9866780101366999</c:v>
                </c:pt>
                <c:pt idx="29">
                  <c:v>1.9912997109502442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4-C540-9E5B-C4A91F86B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555520"/>
        <c:axId val="859556080"/>
      </c:lineChart>
      <c:catAx>
        <c:axId val="85955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48041771966833058"/>
              <c:y val="0.86029428139664355"/>
            </c:manualLayout>
          </c:layout>
          <c:overlay val="0"/>
          <c:spPr>
            <a:solidFill>
              <a:srgbClr val="FFFFFF"/>
            </a:solidFill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9556080"/>
        <c:crossesAt val="0"/>
        <c:auto val="1"/>
        <c:lblAlgn val="ctr"/>
        <c:lblOffset val="100"/>
        <c:tickLblSkip val="4"/>
        <c:tickMarkSkip val="1"/>
        <c:noMultiLvlLbl val="0"/>
      </c:catAx>
      <c:valAx>
        <c:axId val="8595560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9555520"/>
        <c:crosses val="autoZero"/>
        <c:crossBetween val="between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'Fixing Money'!$M$2</c:f>
              <c:strCache>
                <c:ptCount val="1"/>
                <c:pt idx="0">
                  <c:v>∆p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'Fixing Money'!$M$3:$M$100</c:f>
              <c:numCache>
                <c:formatCode>General</c:formatCode>
                <c:ptCount val="98"/>
                <c:pt idx="0">
                  <c:v>0</c:v>
                </c:pt>
                <c:pt idx="1">
                  <c:v>2.2204460492503129E-17</c:v>
                </c:pt>
                <c:pt idx="2">
                  <c:v>2.2721528243766316E-3</c:v>
                </c:pt>
                <c:pt idx="3">
                  <c:v>3.8828687060592929E-3</c:v>
                </c:pt>
                <c:pt idx="4">
                  <c:v>8.5487441010122589E-6</c:v>
                </c:pt>
                <c:pt idx="5">
                  <c:v>-5.9987841189837032E-3</c:v>
                </c:pt>
                <c:pt idx="6">
                  <c:v>-1.3815284730073535E-2</c:v>
                </c:pt>
                <c:pt idx="7">
                  <c:v>-8.0312918829915942E-3</c:v>
                </c:pt>
                <c:pt idx="8">
                  <c:v>-1.1696285789290533E-2</c:v>
                </c:pt>
                <c:pt idx="9">
                  <c:v>-1.2281145464045642E-2</c:v>
                </c:pt>
                <c:pt idx="10">
                  <c:v>-6.19255784419719E-3</c:v>
                </c:pt>
                <c:pt idx="11">
                  <c:v>-7.8472005439273618E-3</c:v>
                </c:pt>
                <c:pt idx="12">
                  <c:v>1.5271201594527556E-3</c:v>
                </c:pt>
                <c:pt idx="13">
                  <c:v>4.4238503372223976E-3</c:v>
                </c:pt>
                <c:pt idx="14">
                  <c:v>3.7005130464048104E-3</c:v>
                </c:pt>
                <c:pt idx="15">
                  <c:v>9.7330521954554737E-4</c:v>
                </c:pt>
                <c:pt idx="16">
                  <c:v>-3.5817132219517177E-3</c:v>
                </c:pt>
                <c:pt idx="17">
                  <c:v>-1.4765327165101642E-2</c:v>
                </c:pt>
                <c:pt idx="18">
                  <c:v>-1.1564908795883981E-2</c:v>
                </c:pt>
                <c:pt idx="19">
                  <c:v>-4.4691749163673885E-3</c:v>
                </c:pt>
                <c:pt idx="20">
                  <c:v>-4.6146220906208594E-3</c:v>
                </c:pt>
                <c:pt idx="21">
                  <c:v>-5.7399502174192672E-4</c:v>
                </c:pt>
                <c:pt idx="22">
                  <c:v>1.105296052725854E-3</c:v>
                </c:pt>
                <c:pt idx="23">
                  <c:v>3.4326573926917302E-3</c:v>
                </c:pt>
                <c:pt idx="24">
                  <c:v>1.4351678953792944E-3</c:v>
                </c:pt>
                <c:pt idx="25">
                  <c:v>8.7008732813603296E-4</c:v>
                </c:pt>
                <c:pt idx="26">
                  <c:v>-1.0121064033114632E-3</c:v>
                </c:pt>
                <c:pt idx="27">
                  <c:v>5.792739454348432E-3</c:v>
                </c:pt>
                <c:pt idx="28">
                  <c:v>4.8130100244770596E-3</c:v>
                </c:pt>
                <c:pt idx="29">
                  <c:v>5.5764225168064372E-3</c:v>
                </c:pt>
                <c:pt idx="30">
                  <c:v>1.6503750281433795E-3</c:v>
                </c:pt>
                <c:pt idx="31">
                  <c:v>1.9417501053310628E-3</c:v>
                </c:pt>
                <c:pt idx="32">
                  <c:v>3.2986542731645824E-3</c:v>
                </c:pt>
                <c:pt idx="33">
                  <c:v>-2.1681479976140678E-3</c:v>
                </c:pt>
                <c:pt idx="34">
                  <c:v>-1.8177596965332323E-3</c:v>
                </c:pt>
                <c:pt idx="35">
                  <c:v>2.5006983693955549E-3</c:v>
                </c:pt>
                <c:pt idx="36">
                  <c:v>4.2655642108228257E-3</c:v>
                </c:pt>
                <c:pt idx="37">
                  <c:v>7.1638764274257298E-3</c:v>
                </c:pt>
                <c:pt idx="38">
                  <c:v>4.1586086586338179E-3</c:v>
                </c:pt>
                <c:pt idx="39">
                  <c:v>-2.4301844337946098E-3</c:v>
                </c:pt>
                <c:pt idx="40">
                  <c:v>-4.2460019705188147E-3</c:v>
                </c:pt>
                <c:pt idx="41">
                  <c:v>-1.1167577941692867E-3</c:v>
                </c:pt>
                <c:pt idx="42">
                  <c:v>-4.5883670998490009E-3</c:v>
                </c:pt>
                <c:pt idx="43">
                  <c:v>4.3876371088178931E-4</c:v>
                </c:pt>
                <c:pt idx="44">
                  <c:v>1.9031786615738744E-3</c:v>
                </c:pt>
                <c:pt idx="45">
                  <c:v>2.6693971996349097E-3</c:v>
                </c:pt>
                <c:pt idx="46">
                  <c:v>-1.9614813611423796E-3</c:v>
                </c:pt>
                <c:pt idx="47">
                  <c:v>6.0046672182260423E-3</c:v>
                </c:pt>
                <c:pt idx="48">
                  <c:v>8.9698065170427076E-3</c:v>
                </c:pt>
                <c:pt idx="49">
                  <c:v>-3.3564038644440117E-4</c:v>
                </c:pt>
                <c:pt idx="50">
                  <c:v>6.1311023729322747E-3</c:v>
                </c:pt>
                <c:pt idx="51">
                  <c:v>1.8538118767530993E-3</c:v>
                </c:pt>
                <c:pt idx="52">
                  <c:v>1.924541046412368E-3</c:v>
                </c:pt>
                <c:pt idx="53">
                  <c:v>9.1385872416625286E-3</c:v>
                </c:pt>
                <c:pt idx="54">
                  <c:v>1.1785840238860666E-2</c:v>
                </c:pt>
                <c:pt idx="55">
                  <c:v>5.9142234277491483E-3</c:v>
                </c:pt>
                <c:pt idx="56">
                  <c:v>5.0752811740131902E-3</c:v>
                </c:pt>
                <c:pt idx="57">
                  <c:v>7.8800808071437696E-3</c:v>
                </c:pt>
                <c:pt idx="58">
                  <c:v>2.3362110666057495E-3</c:v>
                </c:pt>
                <c:pt idx="59">
                  <c:v>-9.9457026789282598E-3</c:v>
                </c:pt>
                <c:pt idx="60">
                  <c:v>-2.17088607365687E-3</c:v>
                </c:pt>
                <c:pt idx="61">
                  <c:v>8.0470962959041856E-4</c:v>
                </c:pt>
                <c:pt idx="62">
                  <c:v>-1.4280993683902386E-3</c:v>
                </c:pt>
                <c:pt idx="63">
                  <c:v>-5.6846458698613517E-3</c:v>
                </c:pt>
                <c:pt idx="64">
                  <c:v>-2.2146861798645646E-3</c:v>
                </c:pt>
                <c:pt idx="65">
                  <c:v>-5.7863719468628895E-3</c:v>
                </c:pt>
                <c:pt idx="66">
                  <c:v>-2.9941208200136636E-3</c:v>
                </c:pt>
                <c:pt idx="67">
                  <c:v>1.0761615927545761E-3</c:v>
                </c:pt>
                <c:pt idx="68">
                  <c:v>5.3433106339034345E-3</c:v>
                </c:pt>
                <c:pt idx="69">
                  <c:v>3.9123277530267687E-3</c:v>
                </c:pt>
                <c:pt idx="70">
                  <c:v>9.6157897336344392E-4</c:v>
                </c:pt>
                <c:pt idx="71">
                  <c:v>-4.7848238399923818E-3</c:v>
                </c:pt>
                <c:pt idx="72">
                  <c:v>-1.5978541038169144E-2</c:v>
                </c:pt>
                <c:pt idx="73">
                  <c:v>-1.5541068306635106E-2</c:v>
                </c:pt>
                <c:pt idx="74">
                  <c:v>-2.8773664122817035E-2</c:v>
                </c:pt>
                <c:pt idx="75">
                  <c:v>-2.7009832220595071E-2</c:v>
                </c:pt>
                <c:pt idx="76">
                  <c:v>-2.2395944402804173E-2</c:v>
                </c:pt>
                <c:pt idx="77">
                  <c:v>-1.694797462084122E-2</c:v>
                </c:pt>
                <c:pt idx="78">
                  <c:v>-1.2465669221282599E-2</c:v>
                </c:pt>
                <c:pt idx="79">
                  <c:v>-1.2902703441475954E-2</c:v>
                </c:pt>
                <c:pt idx="80">
                  <c:v>-7.6728210939061266E-3</c:v>
                </c:pt>
                <c:pt idx="81">
                  <c:v>-4.7348286846755666E-4</c:v>
                </c:pt>
                <c:pt idx="82">
                  <c:v>1.0813000735641896E-3</c:v>
                </c:pt>
                <c:pt idx="83">
                  <c:v>-9.1982125321102878E-4</c:v>
                </c:pt>
                <c:pt idx="84">
                  <c:v>-3.635865492223448E-3</c:v>
                </c:pt>
                <c:pt idx="85">
                  <c:v>-6.8655785136600344E-3</c:v>
                </c:pt>
                <c:pt idx="86">
                  <c:v>-2.6723164947713299E-3</c:v>
                </c:pt>
                <c:pt idx="87">
                  <c:v>9.2690996980742681E-4</c:v>
                </c:pt>
                <c:pt idx="88">
                  <c:v>-4.0285068555816622E-3</c:v>
                </c:pt>
                <c:pt idx="89">
                  <c:v>-4.0018747967133558E-3</c:v>
                </c:pt>
                <c:pt idx="90">
                  <c:v>-4.6249153361324893E-3</c:v>
                </c:pt>
                <c:pt idx="91">
                  <c:v>-5.7701293194806456E-3</c:v>
                </c:pt>
                <c:pt idx="92">
                  <c:v>-2.4726801545467492E-3</c:v>
                </c:pt>
                <c:pt idx="93">
                  <c:v>-2.5918857762649156E-3</c:v>
                </c:pt>
                <c:pt idx="94">
                  <c:v>-6.5113060385644508E-3</c:v>
                </c:pt>
                <c:pt idx="95">
                  <c:v>-2.6580825766054778E-3</c:v>
                </c:pt>
                <c:pt idx="96">
                  <c:v>1.010792145303769E-3</c:v>
                </c:pt>
                <c:pt idx="97">
                  <c:v>3.4816452152520543E-3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A-4F7D-A49E-1701012B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199615"/>
        <c:axId val="810370783"/>
      </c:lineChart>
      <c:catAx>
        <c:axId val="58019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70783"/>
        <c:crosses val="autoZero"/>
        <c:auto val="1"/>
        <c:lblAlgn val="ctr"/>
        <c:lblOffset val="100"/>
        <c:noMultiLvlLbl val="0"/>
      </c:catAx>
      <c:valAx>
        <c:axId val="81037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9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'Fixing Money'!$J$3:$J$100</c:f>
              <c:numCache>
                <c:formatCode>General</c:formatCode>
                <c:ptCount val="98"/>
                <c:pt idx="0">
                  <c:v>0</c:v>
                </c:pt>
                <c:pt idx="1">
                  <c:v>2.2204460492503128E-16</c:v>
                </c:pt>
                <c:pt idx="2">
                  <c:v>2.2721528243766314E-2</c:v>
                </c:pt>
                <c:pt idx="3">
                  <c:v>3.8828687060592927E-2</c:v>
                </c:pt>
                <c:pt idx="4">
                  <c:v>8.5487441010122589E-5</c:v>
                </c:pt>
                <c:pt idx="5">
                  <c:v>-5.9987841189837028E-2</c:v>
                </c:pt>
                <c:pt idx="6">
                  <c:v>-0.13815284730073535</c:v>
                </c:pt>
                <c:pt idx="7">
                  <c:v>-8.0312918829915939E-2</c:v>
                </c:pt>
                <c:pt idx="8">
                  <c:v>-0.11696285789290532</c:v>
                </c:pt>
                <c:pt idx="9">
                  <c:v>-0.12281145464045641</c:v>
                </c:pt>
                <c:pt idx="10">
                  <c:v>-6.1925578441971899E-2</c:v>
                </c:pt>
                <c:pt idx="11">
                  <c:v>-7.8472005439273615E-2</c:v>
                </c:pt>
                <c:pt idx="12">
                  <c:v>1.5271201594527556E-2</c:v>
                </c:pt>
                <c:pt idx="13">
                  <c:v>4.4238503372223972E-2</c:v>
                </c:pt>
                <c:pt idx="14">
                  <c:v>3.7005130464048103E-2</c:v>
                </c:pt>
                <c:pt idx="15">
                  <c:v>9.7330521954554737E-3</c:v>
                </c:pt>
                <c:pt idx="16">
                  <c:v>-3.5817132219517177E-2</c:v>
                </c:pt>
                <c:pt idx="17">
                  <c:v>-0.14765327165101641</c:v>
                </c:pt>
                <c:pt idx="18">
                  <c:v>-0.1156490879588398</c:v>
                </c:pt>
                <c:pt idx="19">
                  <c:v>-4.4691749163673883E-2</c:v>
                </c:pt>
                <c:pt idx="20">
                  <c:v>-4.6146220906208589E-2</c:v>
                </c:pt>
                <c:pt idx="21">
                  <c:v>-5.7399502174192672E-3</c:v>
                </c:pt>
                <c:pt idx="22">
                  <c:v>1.1052960527258539E-2</c:v>
                </c:pt>
                <c:pt idx="23">
                  <c:v>3.4326573926917299E-2</c:v>
                </c:pt>
                <c:pt idx="24">
                  <c:v>1.4351678953792942E-2</c:v>
                </c:pt>
                <c:pt idx="25">
                  <c:v>8.7008732813603287E-3</c:v>
                </c:pt>
                <c:pt idx="26">
                  <c:v>-1.0121064033114632E-2</c:v>
                </c:pt>
                <c:pt idx="27">
                  <c:v>5.7927394543484313E-2</c:v>
                </c:pt>
                <c:pt idx="28">
                  <c:v>4.8130100244770595E-2</c:v>
                </c:pt>
                <c:pt idx="29">
                  <c:v>5.5764225168064369E-2</c:v>
                </c:pt>
                <c:pt idx="30">
                  <c:v>1.6503750281433794E-2</c:v>
                </c:pt>
                <c:pt idx="31">
                  <c:v>1.9417501053310627E-2</c:v>
                </c:pt>
                <c:pt idx="32">
                  <c:v>3.2986542731645821E-2</c:v>
                </c:pt>
                <c:pt idx="33">
                  <c:v>-2.1681479976140679E-2</c:v>
                </c:pt>
                <c:pt idx="34">
                  <c:v>-1.8177596965332322E-2</c:v>
                </c:pt>
                <c:pt idx="35">
                  <c:v>2.5006983693955549E-2</c:v>
                </c:pt>
                <c:pt idx="36">
                  <c:v>4.2655642108228253E-2</c:v>
                </c:pt>
                <c:pt idx="37">
                  <c:v>7.1638764274257291E-2</c:v>
                </c:pt>
                <c:pt idx="38">
                  <c:v>4.1586086586338181E-2</c:v>
                </c:pt>
                <c:pt idx="39">
                  <c:v>-2.4301844337946098E-2</c:v>
                </c:pt>
                <c:pt idx="40">
                  <c:v>-4.2460019705188146E-2</c:v>
                </c:pt>
                <c:pt idx="41">
                  <c:v>-1.1167577941692866E-2</c:v>
                </c:pt>
                <c:pt idx="42">
                  <c:v>-4.5883670998490007E-2</c:v>
                </c:pt>
                <c:pt idx="43">
                  <c:v>4.3876371088178929E-3</c:v>
                </c:pt>
                <c:pt idx="44">
                  <c:v>1.9031786615738743E-2</c:v>
                </c:pt>
                <c:pt idx="45">
                  <c:v>2.6693971996349094E-2</c:v>
                </c:pt>
                <c:pt idx="46">
                  <c:v>-1.9614813611423795E-2</c:v>
                </c:pt>
                <c:pt idx="47">
                  <c:v>6.0046672182260417E-2</c:v>
                </c:pt>
                <c:pt idx="48">
                  <c:v>8.9698065170427069E-2</c:v>
                </c:pt>
                <c:pt idx="49">
                  <c:v>-3.3564038644440116E-3</c:v>
                </c:pt>
                <c:pt idx="50">
                  <c:v>6.131102372932274E-2</c:v>
                </c:pt>
                <c:pt idx="51">
                  <c:v>1.8538118767530993E-2</c:v>
                </c:pt>
                <c:pt idx="52">
                  <c:v>1.9245410464123678E-2</c:v>
                </c:pt>
                <c:pt idx="53">
                  <c:v>9.1385872416625283E-2</c:v>
                </c:pt>
                <c:pt idx="54">
                  <c:v>0.11785840238860665</c:v>
                </c:pt>
                <c:pt idx="55">
                  <c:v>5.9142234277491476E-2</c:v>
                </c:pt>
                <c:pt idx="56">
                  <c:v>5.0752811740131895E-2</c:v>
                </c:pt>
                <c:pt idx="57">
                  <c:v>7.8800808071437689E-2</c:v>
                </c:pt>
                <c:pt idx="58">
                  <c:v>2.3362110666057496E-2</c:v>
                </c:pt>
                <c:pt idx="59">
                  <c:v>-9.9457026789282588E-2</c:v>
                </c:pt>
                <c:pt idx="60">
                  <c:v>-2.1708860736568698E-2</c:v>
                </c:pt>
                <c:pt idx="61">
                  <c:v>8.0470962959041849E-3</c:v>
                </c:pt>
                <c:pt idx="62">
                  <c:v>-1.4280993683902385E-2</c:v>
                </c:pt>
                <c:pt idx="63">
                  <c:v>-5.6846458698613517E-2</c:v>
                </c:pt>
                <c:pt idx="64">
                  <c:v>-2.2146861798645646E-2</c:v>
                </c:pt>
                <c:pt idx="65">
                  <c:v>-5.7863719468628894E-2</c:v>
                </c:pt>
                <c:pt idx="66">
                  <c:v>-2.9941208200136633E-2</c:v>
                </c:pt>
                <c:pt idx="67">
                  <c:v>1.0761615927545759E-2</c:v>
                </c:pt>
                <c:pt idx="68">
                  <c:v>5.3433106339034343E-2</c:v>
                </c:pt>
                <c:pt idx="69">
                  <c:v>3.9123277530267682E-2</c:v>
                </c:pt>
                <c:pt idx="70">
                  <c:v>9.6157897336344392E-3</c:v>
                </c:pt>
                <c:pt idx="71">
                  <c:v>-4.7848238399923811E-2</c:v>
                </c:pt>
                <c:pt idx="72">
                  <c:v>-0.15978541038169142</c:v>
                </c:pt>
                <c:pt idx="73">
                  <c:v>-0.15541068306635106</c:v>
                </c:pt>
                <c:pt idx="74">
                  <c:v>-0.28773664122817033</c:v>
                </c:pt>
                <c:pt idx="75">
                  <c:v>-0.2700983222059507</c:v>
                </c:pt>
                <c:pt idx="76">
                  <c:v>-0.22395944402804172</c:v>
                </c:pt>
                <c:pt idx="77">
                  <c:v>-0.16947974620841219</c:v>
                </c:pt>
                <c:pt idx="78">
                  <c:v>-0.12465669221282598</c:v>
                </c:pt>
                <c:pt idx="79">
                  <c:v>-0.12902703441475954</c:v>
                </c:pt>
                <c:pt idx="80">
                  <c:v>-7.6728210939061264E-2</c:v>
                </c:pt>
                <c:pt idx="81">
                  <c:v>-4.7348286846755662E-3</c:v>
                </c:pt>
                <c:pt idx="82">
                  <c:v>1.0813000735641896E-2</c:v>
                </c:pt>
                <c:pt idx="83">
                  <c:v>-9.1982125321102871E-3</c:v>
                </c:pt>
                <c:pt idx="84">
                  <c:v>-3.635865492223448E-2</c:v>
                </c:pt>
                <c:pt idx="85">
                  <c:v>-6.8655785136600339E-2</c:v>
                </c:pt>
                <c:pt idx="86">
                  <c:v>-2.6723164947713297E-2</c:v>
                </c:pt>
                <c:pt idx="87">
                  <c:v>9.2690996980742679E-3</c:v>
                </c:pt>
                <c:pt idx="88">
                  <c:v>-4.0285068555816622E-2</c:v>
                </c:pt>
                <c:pt idx="89">
                  <c:v>-4.0018747967133554E-2</c:v>
                </c:pt>
                <c:pt idx="90">
                  <c:v>-4.6249153361324895E-2</c:v>
                </c:pt>
                <c:pt idx="91">
                  <c:v>-5.7701293194806449E-2</c:v>
                </c:pt>
                <c:pt idx="92">
                  <c:v>-2.472680154546749E-2</c:v>
                </c:pt>
                <c:pt idx="93">
                  <c:v>-2.5918857762649152E-2</c:v>
                </c:pt>
                <c:pt idx="94">
                  <c:v>-6.5113060385644503E-2</c:v>
                </c:pt>
                <c:pt idx="95">
                  <c:v>-2.6580825766054774E-2</c:v>
                </c:pt>
                <c:pt idx="96">
                  <c:v>1.010792145303769E-2</c:v>
                </c:pt>
                <c:pt idx="97">
                  <c:v>3.4816452152520543E-2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C-4FD0-97AA-B58AAE403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690559"/>
        <c:axId val="681691519"/>
      </c:lineChart>
      <c:catAx>
        <c:axId val="681690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91519"/>
        <c:crosses val="autoZero"/>
        <c:auto val="1"/>
        <c:lblAlgn val="ctr"/>
        <c:lblOffset val="100"/>
        <c:noMultiLvlLbl val="0"/>
      </c:catAx>
      <c:valAx>
        <c:axId val="6816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9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'Money-Path'!$M$2</c:f>
              <c:strCache>
                <c:ptCount val="1"/>
                <c:pt idx="0">
                  <c:v>∆p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'Money-Path'!$M$3:$M$100</c:f>
              <c:numCache>
                <c:formatCode>General</c:formatCode>
                <c:ptCount val="98"/>
                <c:pt idx="0">
                  <c:v>0</c:v>
                </c:pt>
                <c:pt idx="1">
                  <c:v>2.2204460492503129E-17</c:v>
                </c:pt>
                <c:pt idx="2">
                  <c:v>2.7709069754805454E-3</c:v>
                </c:pt>
                <c:pt idx="3">
                  <c:v>4.8285027519576959E-3</c:v>
                </c:pt>
                <c:pt idx="4">
                  <c:v>1.3561949471866189E-3</c:v>
                </c:pt>
                <c:pt idx="5">
                  <c:v>-4.2888965615304007E-3</c:v>
                </c:pt>
                <c:pt idx="6">
                  <c:v>-1.1781911987307971E-2</c:v>
                </c:pt>
                <c:pt idx="7">
                  <c:v>-5.7119107107499664E-3</c:v>
                </c:pt>
                <c:pt idx="8">
                  <c:v>-9.127096684807599E-3</c:v>
                </c:pt>
                <c:pt idx="9">
                  <c:v>-9.4874609058724323E-3</c:v>
                </c:pt>
                <c:pt idx="10">
                  <c:v>-3.199854930974866E-3</c:v>
                </c:pt>
                <c:pt idx="11">
                  <c:v>-4.6777491852134454E-3</c:v>
                </c:pt>
                <c:pt idx="12">
                  <c:v>4.8577908065397532E-3</c:v>
                </c:pt>
                <c:pt idx="13">
                  <c:v>7.8989483019282075E-3</c:v>
                </c:pt>
                <c:pt idx="14">
                  <c:v>7.3107130641485414E-3</c:v>
                </c:pt>
                <c:pt idx="15">
                  <c:v>4.7089815117650272E-3</c:v>
                </c:pt>
                <c:pt idx="16">
                  <c:v>2.6818825615191857E-4</c:v>
                </c:pt>
                <c:pt idx="17">
                  <c:v>-1.0813626840159509E-2</c:v>
                </c:pt>
                <c:pt idx="18">
                  <c:v>-7.5247230264885697E-3</c:v>
                </c:pt>
                <c:pt idx="19">
                  <c:v>-3.5786675925460058E-4</c:v>
                </c:pt>
                <c:pt idx="20">
                  <c:v>-4.4152552577098378E-4</c:v>
                </c:pt>
                <c:pt idx="21">
                  <c:v>3.6576922234244241E-3</c:v>
                </c:pt>
                <c:pt idx="22">
                  <c:v>5.390540064964703E-3</c:v>
                </c:pt>
                <c:pt idx="23">
                  <c:v>7.7687162698596521E-3</c:v>
                </c:pt>
                <c:pt idx="24">
                  <c:v>5.8190021973841093E-3</c:v>
                </c:pt>
                <c:pt idx="25">
                  <c:v>5.2992726047466241E-3</c:v>
                </c:pt>
                <c:pt idx="26">
                  <c:v>3.4577557281427031E-3</c:v>
                </c:pt>
                <c:pt idx="27">
                  <c:v>1.0298890984962748E-2</c:v>
                </c:pt>
                <c:pt idx="28">
                  <c:v>9.3504779996969548E-3</c:v>
                </c:pt>
                <c:pt idx="29">
                  <c:v>1.0145777176430986E-2</c:v>
                </c:pt>
                <c:pt idx="30">
                  <c:v>6.2495740852367941E-3</c:v>
                </c:pt>
                <c:pt idx="31">
                  <c:v>9.6782371447822462E-3</c:v>
                </c:pt>
                <c:pt idx="32">
                  <c:v>8.3450366266729827E-3</c:v>
                </c:pt>
                <c:pt idx="33">
                  <c:v>3.9070833889340451E-3</c:v>
                </c:pt>
                <c:pt idx="34">
                  <c:v>3.5282331046424102E-3</c:v>
                </c:pt>
                <c:pt idx="35">
                  <c:v>-1.5908937364552665E-3</c:v>
                </c:pt>
                <c:pt idx="36">
                  <c:v>2.5333891358865208E-4</c:v>
                </c:pt>
                <c:pt idx="37">
                  <c:v>-1.3503262385187115E-3</c:v>
                </c:pt>
                <c:pt idx="38">
                  <c:v>-4.6288008427134552E-3</c:v>
                </c:pt>
                <c:pt idx="39">
                  <c:v>-1.3837883322712935E-3</c:v>
                </c:pt>
                <c:pt idx="40">
                  <c:v>4.3264888449267777E-3</c:v>
                </c:pt>
                <c:pt idx="41">
                  <c:v>1.4523325100960385E-3</c:v>
                </c:pt>
                <c:pt idx="42">
                  <c:v>9.6791686512613887E-3</c:v>
                </c:pt>
                <c:pt idx="43">
                  <c:v>1.0696795755732244E-2</c:v>
                </c:pt>
                <c:pt idx="44">
                  <c:v>1.2613004039595527E-2</c:v>
                </c:pt>
                <c:pt idx="45">
                  <c:v>1.454464106475282E-2</c:v>
                </c:pt>
                <c:pt idx="46">
                  <c:v>1.0196988984079631E-2</c:v>
                </c:pt>
                <c:pt idx="47">
                  <c:v>1.4031982950710212E-2</c:v>
                </c:pt>
                <c:pt idx="48">
                  <c:v>1.5439480406580046E-2</c:v>
                </c:pt>
                <c:pt idx="49">
                  <c:v>1.6530713038342981E-2</c:v>
                </c:pt>
                <c:pt idx="50">
                  <c:v>1.4522971265736677E-2</c:v>
                </c:pt>
                <c:pt idx="51">
                  <c:v>1.6968852589614489E-2</c:v>
                </c:pt>
                <c:pt idx="52">
                  <c:v>6.3023892855889989E-3</c:v>
                </c:pt>
                <c:pt idx="53">
                  <c:v>-3.3599113612579183E-3</c:v>
                </c:pt>
                <c:pt idx="54">
                  <c:v>1.7474421409667325E-3</c:v>
                </c:pt>
                <c:pt idx="55">
                  <c:v>-5.2872968549240416E-3</c:v>
                </c:pt>
                <c:pt idx="56">
                  <c:v>1.0258460221168589E-3</c:v>
                </c:pt>
                <c:pt idx="57">
                  <c:v>-2.3156530304633329E-4</c:v>
                </c:pt>
                <c:pt idx="58">
                  <c:v>5.9774109193806435E-3</c:v>
                </c:pt>
                <c:pt idx="59">
                  <c:v>1.3500386552398685E-2</c:v>
                </c:pt>
                <c:pt idx="60">
                  <c:v>1.5987888766015864E-2</c:v>
                </c:pt>
                <c:pt idx="61">
                  <c:v>1.5693589720413983E-2</c:v>
                </c:pt>
                <c:pt idx="62">
                  <c:v>5.5335321558814093E-5</c:v>
                </c:pt>
                <c:pt idx="63">
                  <c:v>-1.2886950121440283E-3</c:v>
                </c:pt>
                <c:pt idx="64">
                  <c:v>1.7853573364005869E-3</c:v>
                </c:pt>
                <c:pt idx="65">
                  <c:v>-1.9229260435524153E-3</c:v>
                </c:pt>
                <c:pt idx="66">
                  <c:v>4.6222735171349751E-3</c:v>
                </c:pt>
                <c:pt idx="67">
                  <c:v>9.6947419812333218E-3</c:v>
                </c:pt>
                <c:pt idx="68">
                  <c:v>6.0664837586710367E-3</c:v>
                </c:pt>
                <c:pt idx="69">
                  <c:v>-1.3257562901299149E-3</c:v>
                </c:pt>
                <c:pt idx="70">
                  <c:v>-8.3608170241166666E-3</c:v>
                </c:pt>
                <c:pt idx="71">
                  <c:v>-1.1641405433185157E-2</c:v>
                </c:pt>
                <c:pt idx="72">
                  <c:v>-1.0720537054270247E-2</c:v>
                </c:pt>
                <c:pt idx="73">
                  <c:v>-7.9330107426850063E-3</c:v>
                </c:pt>
                <c:pt idx="74">
                  <c:v>-6.0139548831021732E-3</c:v>
                </c:pt>
                <c:pt idx="75">
                  <c:v>-6.5366848416456361E-3</c:v>
                </c:pt>
                <c:pt idx="76">
                  <c:v>-1.1816188669453005E-2</c:v>
                </c:pt>
                <c:pt idx="77">
                  <c:v>-7.8653432489792559E-3</c:v>
                </c:pt>
                <c:pt idx="78">
                  <c:v>-1.5548032676067492E-2</c:v>
                </c:pt>
                <c:pt idx="79">
                  <c:v>-1.7657326685194374E-2</c:v>
                </c:pt>
                <c:pt idx="80">
                  <c:v>-1.8862582520299001E-2</c:v>
                </c:pt>
                <c:pt idx="81">
                  <c:v>-2.1847252686374649E-2</c:v>
                </c:pt>
                <c:pt idx="82">
                  <c:v>-2.8266981190848452E-2</c:v>
                </c:pt>
                <c:pt idx="83">
                  <c:v>-3.4205303585371299E-2</c:v>
                </c:pt>
                <c:pt idx="84">
                  <c:v>-3.0389857835235724E-2</c:v>
                </c:pt>
                <c:pt idx="85">
                  <c:v>-2.7056161390420514E-2</c:v>
                </c:pt>
                <c:pt idx="86">
                  <c:v>-2.539469055950069E-2</c:v>
                </c:pt>
                <c:pt idx="87">
                  <c:v>-2.537167737486401E-2</c:v>
                </c:pt>
                <c:pt idx="88">
                  <c:v>-2.5694150197045282E-2</c:v>
                </c:pt>
                <c:pt idx="89">
                  <c:v>-3.1295230018173907E-2</c:v>
                </c:pt>
                <c:pt idx="90">
                  <c:v>-3.6060953109922793E-2</c:v>
                </c:pt>
                <c:pt idx="91">
                  <c:v>-4.2064986061361664E-2</c:v>
                </c:pt>
                <c:pt idx="92">
                  <c:v>-3.9987299412258294E-2</c:v>
                </c:pt>
                <c:pt idx="93">
                  <c:v>-4.1451103263612059E-2</c:v>
                </c:pt>
                <c:pt idx="94">
                  <c:v>-3.6788745384175259E-2</c:v>
                </c:pt>
                <c:pt idx="95">
                  <c:v>-3.1136344896520174E-2</c:v>
                </c:pt>
                <c:pt idx="96">
                  <c:v>-3.6296844279375559E-2</c:v>
                </c:pt>
                <c:pt idx="97">
                  <c:v>-2.7485126353802042E-2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9-440E-AA58-DC1A26E15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682879"/>
        <c:axId val="681683359"/>
      </c:lineChart>
      <c:catAx>
        <c:axId val="681682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83359"/>
        <c:crosses val="autoZero"/>
        <c:auto val="1"/>
        <c:lblAlgn val="ctr"/>
        <c:lblOffset val="100"/>
        <c:noMultiLvlLbl val="0"/>
      </c:catAx>
      <c:valAx>
        <c:axId val="6816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8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'Money-Path'!$J$2</c:f>
              <c:strCache>
                <c:ptCount val="1"/>
                <c:pt idx="0">
                  <c:v>Gap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'Money-Path'!$J$3:$J$100</c:f>
              <c:numCache>
                <c:formatCode>General</c:formatCode>
                <c:ptCount val="98"/>
                <c:pt idx="0">
                  <c:v>0</c:v>
                </c:pt>
                <c:pt idx="1">
                  <c:v>2.2204460492503128E-16</c:v>
                </c:pt>
                <c:pt idx="2">
                  <c:v>2.770906975480545E-2</c:v>
                </c:pt>
                <c:pt idx="3">
                  <c:v>4.8285027519576952E-2</c:v>
                </c:pt>
                <c:pt idx="4">
                  <c:v>1.3561949471866187E-2</c:v>
                </c:pt>
                <c:pt idx="5">
                  <c:v>-4.2888965615304003E-2</c:v>
                </c:pt>
                <c:pt idx="6">
                  <c:v>-0.11781911987307969</c:v>
                </c:pt>
                <c:pt idx="7">
                  <c:v>-5.7119107107499657E-2</c:v>
                </c:pt>
                <c:pt idx="8">
                  <c:v>-9.1270966848075979E-2</c:v>
                </c:pt>
                <c:pt idx="9">
                  <c:v>-9.4874609058724316E-2</c:v>
                </c:pt>
                <c:pt idx="10">
                  <c:v>-3.1998549309748658E-2</c:v>
                </c:pt>
                <c:pt idx="11">
                  <c:v>-4.6777491852134451E-2</c:v>
                </c:pt>
                <c:pt idx="12">
                  <c:v>4.8577908065397531E-2</c:v>
                </c:pt>
                <c:pt idx="13">
                  <c:v>7.8989483019282075E-2</c:v>
                </c:pt>
                <c:pt idx="14">
                  <c:v>7.3107130641485413E-2</c:v>
                </c:pt>
                <c:pt idx="15">
                  <c:v>4.7089815117650272E-2</c:v>
                </c:pt>
                <c:pt idx="16">
                  <c:v>2.6818825615191858E-3</c:v>
                </c:pt>
                <c:pt idx="17">
                  <c:v>-0.10813626840159508</c:v>
                </c:pt>
                <c:pt idx="18">
                  <c:v>-7.5247230264885695E-2</c:v>
                </c:pt>
                <c:pt idx="19">
                  <c:v>-3.5786675925460055E-3</c:v>
                </c:pt>
                <c:pt idx="20">
                  <c:v>-4.4152552577098377E-3</c:v>
                </c:pt>
                <c:pt idx="21">
                  <c:v>3.657692223424424E-2</c:v>
                </c:pt>
                <c:pt idx="22">
                  <c:v>5.390540064964703E-2</c:v>
                </c:pt>
                <c:pt idx="23">
                  <c:v>7.7687162698596518E-2</c:v>
                </c:pt>
                <c:pt idx="24">
                  <c:v>5.8190021973841086E-2</c:v>
                </c:pt>
                <c:pt idx="25">
                  <c:v>5.2992726047466236E-2</c:v>
                </c:pt>
                <c:pt idx="26">
                  <c:v>3.4577557281427029E-2</c:v>
                </c:pt>
                <c:pt idx="27">
                  <c:v>0.10298890984962748</c:v>
                </c:pt>
                <c:pt idx="28">
                  <c:v>9.3504779996969545E-2</c:v>
                </c:pt>
                <c:pt idx="29">
                  <c:v>0.10145777176430985</c:v>
                </c:pt>
                <c:pt idx="30">
                  <c:v>6.2495740852367941E-2</c:v>
                </c:pt>
                <c:pt idx="31">
                  <c:v>9.6782371447822452E-2</c:v>
                </c:pt>
                <c:pt idx="32">
                  <c:v>8.3450366266729817E-2</c:v>
                </c:pt>
                <c:pt idx="33">
                  <c:v>3.9070833889340448E-2</c:v>
                </c:pt>
                <c:pt idx="34">
                  <c:v>3.5282331046424101E-2</c:v>
                </c:pt>
                <c:pt idx="35">
                  <c:v>-1.5908937364552664E-2</c:v>
                </c:pt>
                <c:pt idx="36">
                  <c:v>2.5333891358865208E-3</c:v>
                </c:pt>
                <c:pt idx="37">
                  <c:v>-1.3503262385187113E-2</c:v>
                </c:pt>
                <c:pt idx="38">
                  <c:v>-4.6288008427134548E-2</c:v>
                </c:pt>
                <c:pt idx="39">
                  <c:v>-1.3837883322712935E-2</c:v>
                </c:pt>
                <c:pt idx="40">
                  <c:v>4.3264888449267777E-2</c:v>
                </c:pt>
                <c:pt idx="41">
                  <c:v>1.4523325100960384E-2</c:v>
                </c:pt>
                <c:pt idx="42">
                  <c:v>9.6791686512613884E-2</c:v>
                </c:pt>
                <c:pt idx="43">
                  <c:v>0.10696795755732244</c:v>
                </c:pt>
                <c:pt idx="44">
                  <c:v>0.12613004039595527</c:v>
                </c:pt>
                <c:pt idx="45">
                  <c:v>0.1454464106475282</c:v>
                </c:pt>
                <c:pt idx="46">
                  <c:v>0.1019698898407963</c:v>
                </c:pt>
                <c:pt idx="47">
                  <c:v>0.14031982950710212</c:v>
                </c:pt>
                <c:pt idx="48">
                  <c:v>0.15439480406580045</c:v>
                </c:pt>
                <c:pt idx="49">
                  <c:v>0.16530713038342981</c:v>
                </c:pt>
                <c:pt idx="50">
                  <c:v>0.14522971265736676</c:v>
                </c:pt>
                <c:pt idx="51">
                  <c:v>0.16968852589614489</c:v>
                </c:pt>
                <c:pt idx="52">
                  <c:v>6.3023892855889982E-2</c:v>
                </c:pt>
                <c:pt idx="53">
                  <c:v>-3.3599113612579182E-2</c:v>
                </c:pt>
                <c:pt idx="54">
                  <c:v>1.7474421409667325E-2</c:v>
                </c:pt>
                <c:pt idx="55">
                  <c:v>-5.2872968549240409E-2</c:v>
                </c:pt>
                <c:pt idx="56">
                  <c:v>1.0258460221168587E-2</c:v>
                </c:pt>
                <c:pt idx="57">
                  <c:v>-2.3156530304633328E-3</c:v>
                </c:pt>
                <c:pt idx="58">
                  <c:v>5.9774109193806435E-2</c:v>
                </c:pt>
                <c:pt idx="59">
                  <c:v>0.13500386552398685</c:v>
                </c:pt>
                <c:pt idx="60">
                  <c:v>0.15987888766015862</c:v>
                </c:pt>
                <c:pt idx="61">
                  <c:v>0.15693589720413983</c:v>
                </c:pt>
                <c:pt idx="62">
                  <c:v>5.533532155881409E-4</c:v>
                </c:pt>
                <c:pt idx="63">
                  <c:v>-1.2886950121440283E-2</c:v>
                </c:pt>
                <c:pt idx="64">
                  <c:v>1.7853573364005868E-2</c:v>
                </c:pt>
                <c:pt idx="65">
                  <c:v>-1.9229260435524153E-2</c:v>
                </c:pt>
                <c:pt idx="66">
                  <c:v>4.6222735171349748E-2</c:v>
                </c:pt>
                <c:pt idx="67">
                  <c:v>9.6947419812333208E-2</c:v>
                </c:pt>
                <c:pt idx="68">
                  <c:v>6.0664837586710367E-2</c:v>
                </c:pt>
                <c:pt idx="69">
                  <c:v>-1.3257562901299149E-2</c:v>
                </c:pt>
                <c:pt idx="70">
                  <c:v>-8.3608170241166666E-2</c:v>
                </c:pt>
                <c:pt idx="71">
                  <c:v>-0.11641405433185156</c:v>
                </c:pt>
                <c:pt idx="72">
                  <c:v>-0.10720537054270246</c:v>
                </c:pt>
                <c:pt idx="73">
                  <c:v>-7.9330107426850066E-2</c:v>
                </c:pt>
                <c:pt idx="74">
                  <c:v>-6.0139548831021725E-2</c:v>
                </c:pt>
                <c:pt idx="75">
                  <c:v>-6.5366848416456361E-2</c:v>
                </c:pt>
                <c:pt idx="76">
                  <c:v>-0.11816188669453005</c:v>
                </c:pt>
                <c:pt idx="77">
                  <c:v>-7.8653432489792549E-2</c:v>
                </c:pt>
                <c:pt idx="78">
                  <c:v>-0.15548032676067491</c:v>
                </c:pt>
                <c:pt idx="79">
                  <c:v>-0.17657326685194374</c:v>
                </c:pt>
                <c:pt idx="80">
                  <c:v>-0.18862582520298998</c:v>
                </c:pt>
                <c:pt idx="81">
                  <c:v>-0.21847252686374649</c:v>
                </c:pt>
                <c:pt idx="82">
                  <c:v>-0.2826698119084845</c:v>
                </c:pt>
                <c:pt idx="83">
                  <c:v>-0.34205303585371299</c:v>
                </c:pt>
                <c:pt idx="84">
                  <c:v>-0.30389857835235723</c:v>
                </c:pt>
                <c:pt idx="85">
                  <c:v>-0.27056161390420513</c:v>
                </c:pt>
                <c:pt idx="86">
                  <c:v>-0.25394690559500688</c:v>
                </c:pt>
                <c:pt idx="87">
                  <c:v>-0.2537167737486401</c:v>
                </c:pt>
                <c:pt idx="88">
                  <c:v>-0.25694150197045279</c:v>
                </c:pt>
                <c:pt idx="89">
                  <c:v>-0.31295230018173903</c:v>
                </c:pt>
                <c:pt idx="90">
                  <c:v>-0.36060953109922794</c:v>
                </c:pt>
                <c:pt idx="91">
                  <c:v>-0.42064986061361664</c:v>
                </c:pt>
                <c:pt idx="92">
                  <c:v>-0.39987299412258293</c:v>
                </c:pt>
                <c:pt idx="93">
                  <c:v>-0.41451103263612055</c:v>
                </c:pt>
                <c:pt idx="94">
                  <c:v>-0.36788745384175259</c:v>
                </c:pt>
                <c:pt idx="95">
                  <c:v>-0.31136344896520174</c:v>
                </c:pt>
                <c:pt idx="96">
                  <c:v>-0.36296844279375556</c:v>
                </c:pt>
                <c:pt idx="97">
                  <c:v>-0.27485126353802042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0-4C0A-AB21-28F0D6E16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359999"/>
        <c:axId val="692353759"/>
      </c:lineChart>
      <c:catAx>
        <c:axId val="692359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53759"/>
        <c:crosses val="autoZero"/>
        <c:auto val="1"/>
        <c:lblAlgn val="ctr"/>
        <c:lblOffset val="100"/>
        <c:noMultiLvlLbl val="0"/>
      </c:catAx>
      <c:valAx>
        <c:axId val="69235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5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Δp (inflation)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summary!$B$10:$B$39</c:f>
              <c:numCache>
                <c:formatCode>General</c:formatCode>
                <c:ptCount val="30"/>
                <c:pt idx="0">
                  <c:v>2.2204460492503129E-17</c:v>
                </c:pt>
                <c:pt idx="1">
                  <c:v>2.7709069754805454E-3</c:v>
                </c:pt>
                <c:pt idx="2">
                  <c:v>4.8285027519576959E-3</c:v>
                </c:pt>
                <c:pt idx="3">
                  <c:v>1.3561949471866189E-3</c:v>
                </c:pt>
                <c:pt idx="4">
                  <c:v>-4.2888965615304007E-3</c:v>
                </c:pt>
                <c:pt idx="5">
                  <c:v>-1.1781911987307971E-2</c:v>
                </c:pt>
                <c:pt idx="6">
                  <c:v>-5.7119107107499664E-3</c:v>
                </c:pt>
                <c:pt idx="7">
                  <c:v>-9.127096684807599E-3</c:v>
                </c:pt>
                <c:pt idx="8">
                  <c:v>-9.4874609058724323E-3</c:v>
                </c:pt>
                <c:pt idx="9">
                  <c:v>-3.199854930974866E-3</c:v>
                </c:pt>
                <c:pt idx="10">
                  <c:v>-4.6777491852134454E-3</c:v>
                </c:pt>
                <c:pt idx="11">
                  <c:v>4.8577908065397532E-3</c:v>
                </c:pt>
                <c:pt idx="12">
                  <c:v>7.8989483019282075E-3</c:v>
                </c:pt>
                <c:pt idx="13">
                  <c:v>7.3107130641485414E-3</c:v>
                </c:pt>
                <c:pt idx="14">
                  <c:v>4.7089815117650272E-3</c:v>
                </c:pt>
                <c:pt idx="15">
                  <c:v>2.6818825615191857E-4</c:v>
                </c:pt>
                <c:pt idx="16">
                  <c:v>-1.0813626840159509E-2</c:v>
                </c:pt>
                <c:pt idx="17">
                  <c:v>-7.5247230264885697E-3</c:v>
                </c:pt>
                <c:pt idx="18">
                  <c:v>-3.5786675925460058E-4</c:v>
                </c:pt>
                <c:pt idx="19">
                  <c:v>-4.4152552577098378E-4</c:v>
                </c:pt>
                <c:pt idx="20">
                  <c:v>3.6576922234244241E-3</c:v>
                </c:pt>
                <c:pt idx="21">
                  <c:v>5.390540064964703E-3</c:v>
                </c:pt>
                <c:pt idx="22">
                  <c:v>7.7687162698596521E-3</c:v>
                </c:pt>
                <c:pt idx="23">
                  <c:v>5.8190021973841093E-3</c:v>
                </c:pt>
                <c:pt idx="24">
                  <c:v>5.2992726047466241E-3</c:v>
                </c:pt>
                <c:pt idx="25">
                  <c:v>3.4577557281427031E-3</c:v>
                </c:pt>
                <c:pt idx="26">
                  <c:v>1.0298890984962748E-2</c:v>
                </c:pt>
                <c:pt idx="27">
                  <c:v>9.3504779996969548E-3</c:v>
                </c:pt>
                <c:pt idx="28">
                  <c:v>1.0145777176430986E-2</c:v>
                </c:pt>
                <c:pt idx="29">
                  <c:v>6.2495740852367941E-3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D-4D09-AB7B-32A464957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267759"/>
        <c:axId val="1247268239"/>
      </c:lineChart>
      <c:catAx>
        <c:axId val="1247267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68239"/>
        <c:crosses val="autoZero"/>
        <c:auto val="1"/>
        <c:lblAlgn val="ctr"/>
        <c:lblOffset val="100"/>
        <c:noMultiLvlLbl val="0"/>
      </c:catAx>
      <c:valAx>
        <c:axId val="12472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6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750223</xdr:colOff>
      <xdr:row>0</xdr:row>
      <xdr:rowOff>168679</xdr:rowOff>
    </xdr:from>
    <xdr:to>
      <xdr:col>29</xdr:col>
      <xdr:colOff>559723</xdr:colOff>
      <xdr:row>15</xdr:row>
      <xdr:rowOff>122959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13508</xdr:colOff>
      <xdr:row>17</xdr:row>
      <xdr:rowOff>17319</xdr:rowOff>
    </xdr:from>
    <xdr:to>
      <xdr:col>29</xdr:col>
      <xdr:colOff>581198</xdr:colOff>
      <xdr:row>31</xdr:row>
      <xdr:rowOff>139239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393988</xdr:colOff>
      <xdr:row>78</xdr:row>
      <xdr:rowOff>135082</xdr:rowOff>
    </xdr:from>
    <xdr:to>
      <xdr:col>14</xdr:col>
      <xdr:colOff>445943</xdr:colOff>
      <xdr:row>93</xdr:row>
      <xdr:rowOff>20782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398079-59C1-B274-B31B-8CC59FDEB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393988</xdr:colOff>
      <xdr:row>83</xdr:row>
      <xdr:rowOff>135082</xdr:rowOff>
    </xdr:from>
    <xdr:to>
      <xdr:col>14</xdr:col>
      <xdr:colOff>445943</xdr:colOff>
      <xdr:row>98</xdr:row>
      <xdr:rowOff>20782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804A03-EAF7-DC89-E1E4-40AD2DAAC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79</xdr:row>
      <xdr:rowOff>66675</xdr:rowOff>
    </xdr:from>
    <xdr:to>
      <xdr:col>16</xdr:col>
      <xdr:colOff>409575</xdr:colOff>
      <xdr:row>93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E1D22-A66C-EF6E-B6B2-3E3B8DCF6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</xdr:colOff>
      <xdr:row>79</xdr:row>
      <xdr:rowOff>66675</xdr:rowOff>
    </xdr:from>
    <xdr:to>
      <xdr:col>16</xdr:col>
      <xdr:colOff>409575</xdr:colOff>
      <xdr:row>93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DE827E-38EE-1BAA-B9F8-8649CF0B6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477297</xdr:colOff>
      <xdr:row>14</xdr:row>
      <xdr:rowOff>109485</xdr:rowOff>
    </xdr:from>
    <xdr:to>
      <xdr:col>20</xdr:col>
      <xdr:colOff>360066</xdr:colOff>
      <xdr:row>32</xdr:row>
      <xdr:rowOff>26586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92235-17F4-0601-B8A7-8D385611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ssica/Downloads/Inflation_LineChart_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7"/>
  <sheetViews>
    <sheetView zoomScale="110" zoomScaleNormal="110" workbookViewId="0">
      <selection activeCell="H5" sqref="H5"/>
    </sheetView>
  </sheetViews>
  <sheetFormatPr defaultColWidth="11.42578125" defaultRowHeight="15" x14ac:dyDescent="0.25"/>
  <cols>
    <col min="1" max="1" width="28.42578125" style="1" customWidth="1"/>
    <col min="2" max="2" width="12.42578125" style="1" customWidth="1"/>
    <col min="3" max="3" width="13.28515625" style="1" customWidth="1"/>
    <col min="4" max="4" width="5.85546875" style="1" customWidth="1"/>
    <col min="5" max="5" width="11.42578125" style="2" customWidth="1"/>
    <col min="6" max="6" width="9.7109375" style="2" customWidth="1"/>
    <col min="7" max="7" width="8" style="2" customWidth="1"/>
    <col min="8" max="11" width="9.28515625" style="2" customWidth="1"/>
    <col min="12" max="12" width="6.42578125" style="2" customWidth="1"/>
    <col min="13" max="14" width="7.85546875" style="2" customWidth="1"/>
    <col min="15" max="19" width="6.7109375" style="2" customWidth="1"/>
    <col min="20" max="20" width="3.85546875" style="1" customWidth="1"/>
    <col min="21" max="28" width="11.42578125" style="1" customWidth="1"/>
  </cols>
  <sheetData>
    <row r="1" spans="1:67" ht="14.1" customHeight="1" x14ac:dyDescent="0.25">
      <c r="A1" t="s">
        <v>0</v>
      </c>
      <c r="BL1" s="7"/>
    </row>
    <row r="2" spans="1:67" ht="14.1" customHeight="1" x14ac:dyDescent="0.25">
      <c r="A2" s="2" t="s">
        <v>1</v>
      </c>
      <c r="B2" s="2"/>
      <c r="C2" s="2"/>
      <c r="D2" s="2"/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s="3" t="s">
        <v>13</v>
      </c>
      <c r="Q2" s="3" t="s">
        <v>14</v>
      </c>
      <c r="R2" s="3" t="s">
        <v>15</v>
      </c>
      <c r="S2" s="3"/>
      <c r="BL2" s="6"/>
      <c r="BM2" s="6"/>
      <c r="BN2" s="6"/>
    </row>
    <row r="3" spans="1:67" ht="14.1" customHeight="1" x14ac:dyDescent="0.25">
      <c r="A3" t="s">
        <v>16</v>
      </c>
      <c r="B3" t="s">
        <v>17</v>
      </c>
      <c r="D3" s="2"/>
      <c r="E3">
        <v>0</v>
      </c>
      <c r="F3">
        <f>(Theta*Beta0_0)/Beta1+m_0-(Psi+Theta/Beta1)*ypot_0</f>
        <v>0.99999999999998579</v>
      </c>
      <c r="G3">
        <f>ypot_0</f>
        <v>2000</v>
      </c>
      <c r="H3">
        <f t="shared" ref="H3:H34" si="0">Beta0_0 -Beta1*(L3-M3)</f>
        <v>2000.0000000000014</v>
      </c>
      <c r="I3">
        <f t="shared" ref="I3:I34" si="1">ypot_0*R3</f>
        <v>2000</v>
      </c>
      <c r="J3">
        <f t="shared" ref="J3:J34" si="2">LN(G3/I3)</f>
        <v>0</v>
      </c>
      <c r="K3">
        <f>100</f>
        <v>100</v>
      </c>
      <c r="L3">
        <f t="shared" ref="L3:L34" si="3">-1/Theta*(m_0-F3-Psi*G3)</f>
        <v>1.9999999999999716</v>
      </c>
      <c r="M3">
        <f>Mi*J3</f>
        <v>0</v>
      </c>
      <c r="N3">
        <f t="shared" ref="N3:N34" si="4">L3-M3</f>
        <v>1.9999999999999716</v>
      </c>
      <c r="O3">
        <f t="shared" ref="O3:O34" si="5">Ni*(H3-G3)</f>
        <v>1.3642420526593926E-13</v>
      </c>
      <c r="P3" s="3">
        <v>0</v>
      </c>
      <c r="Q3" s="3">
        <v>0</v>
      </c>
      <c r="R3" s="3">
        <v>1</v>
      </c>
      <c r="S3" s="3"/>
    </row>
    <row r="4" spans="1:67" ht="14.1" customHeight="1" x14ac:dyDescent="0.25">
      <c r="A4" t="s">
        <v>18</v>
      </c>
      <c r="B4" t="s">
        <v>19</v>
      </c>
      <c r="D4" s="2"/>
      <c r="E4">
        <v>1</v>
      </c>
      <c r="F4">
        <f t="shared" ref="F4:F35" si="6">F3+M3</f>
        <v>0.99999999999998579</v>
      </c>
      <c r="G4">
        <f t="shared" ref="G4:G35" si="7">G3+O3</f>
        <v>2000.0000000000002</v>
      </c>
      <c r="H4">
        <f t="shared" si="0"/>
        <v>2000</v>
      </c>
      <c r="I4">
        <f t="shared" si="1"/>
        <v>2000</v>
      </c>
      <c r="J4">
        <f t="shared" si="2"/>
        <v>2.2204460492503128E-16</v>
      </c>
      <c r="K4">
        <f>100</f>
        <v>100</v>
      </c>
      <c r="L4">
        <f t="shared" si="3"/>
        <v>2</v>
      </c>
      <c r="M4">
        <f t="shared" ref="M4:M35" si="8">Mi*LN(G4/(I4))</f>
        <v>2.2204460492503129E-17</v>
      </c>
      <c r="N4">
        <f t="shared" si="4"/>
        <v>2</v>
      </c>
      <c r="O4">
        <f t="shared" si="5"/>
        <v>-2.2737367544323207E-14</v>
      </c>
      <c r="P4" s="3">
        <v>0</v>
      </c>
      <c r="Q4" s="3">
        <f t="shared" ref="Q4:Q67" si="9">$C$33*Q3+P4</f>
        <v>0</v>
      </c>
      <c r="R4" s="3">
        <f t="shared" ref="R4:R67" si="10">EXP(Q4)</f>
        <v>1</v>
      </c>
      <c r="S4" s="3"/>
    </row>
    <row r="5" spans="1:67" ht="14.1" customHeight="1" x14ac:dyDescent="0.25">
      <c r="A5" t="s">
        <v>20</v>
      </c>
      <c r="B5" t="s">
        <v>21</v>
      </c>
      <c r="D5" s="2"/>
      <c r="E5">
        <v>2</v>
      </c>
      <c r="F5">
        <f t="shared" si="6"/>
        <v>0.99999999999998579</v>
      </c>
      <c r="G5">
        <f t="shared" si="7"/>
        <v>2000.0000000000002</v>
      </c>
      <c r="H5">
        <f t="shared" si="0"/>
        <v>2000.1136076412188</v>
      </c>
      <c r="I5">
        <f t="shared" si="1"/>
        <v>1955.0693233372083</v>
      </c>
      <c r="J5">
        <f t="shared" si="2"/>
        <v>2.2721528243766314E-2</v>
      </c>
      <c r="K5">
        <f>100</f>
        <v>100</v>
      </c>
      <c r="L5">
        <f t="shared" si="3"/>
        <v>2</v>
      </c>
      <c r="M5">
        <f t="shared" si="8"/>
        <v>2.2721528243766316E-3</v>
      </c>
      <c r="N5">
        <f t="shared" si="4"/>
        <v>1.9977278471756235</v>
      </c>
      <c r="O5">
        <f t="shared" si="5"/>
        <v>1.1360764121855028E-2</v>
      </c>
      <c r="P5" s="3">
        <v>-2.2721528243766279E-2</v>
      </c>
      <c r="Q5" s="3">
        <f t="shared" si="9"/>
        <v>-2.2721528243766279E-2</v>
      </c>
      <c r="R5" s="3">
        <f t="shared" si="10"/>
        <v>0.97753466166860414</v>
      </c>
      <c r="S5" s="3"/>
    </row>
    <row r="6" spans="1:67" ht="14.1" customHeight="1" x14ac:dyDescent="0.25">
      <c r="A6" t="s">
        <v>22</v>
      </c>
      <c r="D6" s="2"/>
      <c r="E6">
        <v>3</v>
      </c>
      <c r="F6">
        <f t="shared" si="6"/>
        <v>1.0022721528243623</v>
      </c>
      <c r="G6">
        <f t="shared" si="7"/>
        <v>2000.0113607641222</v>
      </c>
      <c r="H6">
        <f t="shared" si="0"/>
        <v>1999.9101243322557</v>
      </c>
      <c r="I6">
        <f t="shared" si="1"/>
        <v>1923.8418952967597</v>
      </c>
      <c r="J6">
        <f t="shared" si="2"/>
        <v>3.8828687060592927E-2</v>
      </c>
      <c r="K6">
        <f>100</f>
        <v>100</v>
      </c>
      <c r="L6">
        <f t="shared" si="3"/>
        <v>2.0056803820609446</v>
      </c>
      <c r="M6">
        <f t="shared" si="8"/>
        <v>3.8828687060592929E-3</v>
      </c>
      <c r="N6">
        <f t="shared" si="4"/>
        <v>2.0017975133548851</v>
      </c>
      <c r="O6">
        <f t="shared" si="5"/>
        <v>-1.0123643186648225E-2</v>
      </c>
      <c r="P6" s="3">
        <v>-1.837363127527545E-2</v>
      </c>
      <c r="Q6" s="3">
        <f t="shared" si="9"/>
        <v>-3.8823006694665096E-2</v>
      </c>
      <c r="R6" s="3">
        <f t="shared" si="10"/>
        <v>0.96192094764837988</v>
      </c>
      <c r="S6" s="3"/>
    </row>
    <row r="7" spans="1:67" ht="14.1" customHeight="1" x14ac:dyDescent="0.25">
      <c r="A7" t="s">
        <v>23</v>
      </c>
      <c r="D7" s="2"/>
      <c r="E7">
        <v>4</v>
      </c>
      <c r="F7">
        <f t="shared" si="6"/>
        <v>1.0061550215304216</v>
      </c>
      <c r="G7">
        <f t="shared" si="7"/>
        <v>2000.0012371209355</v>
      </c>
      <c r="H7">
        <f t="shared" si="0"/>
        <v>1999.3787396794849</v>
      </c>
      <c r="I7">
        <f t="shared" si="1"/>
        <v>1999.8302694410559</v>
      </c>
      <c r="J7">
        <f t="shared" si="2"/>
        <v>8.5487441010122589E-5</v>
      </c>
      <c r="K7">
        <f>100</f>
        <v>100</v>
      </c>
      <c r="L7">
        <f t="shared" si="3"/>
        <v>2.0124337551544045</v>
      </c>
      <c r="M7">
        <f t="shared" si="8"/>
        <v>8.5487441010122589E-6</v>
      </c>
      <c r="N7">
        <f t="shared" si="4"/>
        <v>2.0124252064103034</v>
      </c>
      <c r="O7">
        <f t="shared" si="5"/>
        <v>-6.2249744145060508E-2</v>
      </c>
      <c r="P7" s="3">
        <v>3.4855837144464913E-2</v>
      </c>
      <c r="Q7" s="3">
        <f t="shared" si="9"/>
        <v>-8.4868880733675323E-5</v>
      </c>
      <c r="R7" s="3">
        <f t="shared" si="10"/>
        <v>0.99991513472052795</v>
      </c>
      <c r="S7" s="3"/>
    </row>
    <row r="8" spans="1:67" ht="14.1" customHeight="1" x14ac:dyDescent="0.25">
      <c r="D8" s="2"/>
      <c r="E8">
        <v>5</v>
      </c>
      <c r="F8">
        <f t="shared" si="6"/>
        <v>1.0061635702745226</v>
      </c>
      <c r="G8">
        <f t="shared" si="7"/>
        <v>1999.9389873767905</v>
      </c>
      <c r="H8">
        <f t="shared" si="0"/>
        <v>1999.3887668826462</v>
      </c>
      <c r="I8">
        <f t="shared" si="1"/>
        <v>2123.5824872642943</v>
      </c>
      <c r="J8">
        <f t="shared" si="2"/>
        <v>-5.9987841189837028E-2</v>
      </c>
      <c r="K8">
        <f>100</f>
        <v>100</v>
      </c>
      <c r="L8">
        <f t="shared" si="3"/>
        <v>2.0062258782280935</v>
      </c>
      <c r="M8">
        <f t="shared" si="8"/>
        <v>-5.9987841189837032E-3</v>
      </c>
      <c r="N8">
        <f t="shared" si="4"/>
        <v>2.0122246623470774</v>
      </c>
      <c r="O8">
        <f t="shared" si="5"/>
        <v>-5.5022049414424151E-2</v>
      </c>
      <c r="P8" s="3">
        <v>6.0033716405565499E-2</v>
      </c>
      <c r="Q8" s="3">
        <f t="shared" si="9"/>
        <v>5.995733441290519E-2</v>
      </c>
      <c r="R8" s="3">
        <f t="shared" si="10"/>
        <v>1.0617912436321471</v>
      </c>
      <c r="S8" s="3"/>
      <c r="BO8" s="5"/>
    </row>
    <row r="9" spans="1:67" ht="14.1" customHeight="1" x14ac:dyDescent="0.25">
      <c r="A9" t="s">
        <v>24</v>
      </c>
      <c r="D9" s="2"/>
      <c r="E9">
        <v>6</v>
      </c>
      <c r="F9">
        <f t="shared" si="6"/>
        <v>1.0001647861555389</v>
      </c>
      <c r="G9">
        <f t="shared" si="7"/>
        <v>1999.883965327376</v>
      </c>
      <c r="H9">
        <f t="shared" si="0"/>
        <v>1999.8729305110614</v>
      </c>
      <c r="I9">
        <f t="shared" si="1"/>
        <v>2296.1688319686768</v>
      </c>
      <c r="J9">
        <f t="shared" si="2"/>
        <v>-0.13815284730073535</v>
      </c>
      <c r="K9">
        <f>100</f>
        <v>100</v>
      </c>
      <c r="L9">
        <f t="shared" si="3"/>
        <v>1.9887261050486984</v>
      </c>
      <c r="M9">
        <f t="shared" si="8"/>
        <v>-1.3815284730073535E-2</v>
      </c>
      <c r="N9">
        <f t="shared" si="4"/>
        <v>2.0025413897787718</v>
      </c>
      <c r="O9">
        <f t="shared" si="5"/>
        <v>-1.1034816314577256E-3</v>
      </c>
      <c r="P9" s="3">
        <v>8.4133227309737879E-2</v>
      </c>
      <c r="Q9" s="3">
        <f t="shared" si="9"/>
        <v>0.13809482828135256</v>
      </c>
      <c r="R9" s="3">
        <f t="shared" si="10"/>
        <v>1.1480844159843384</v>
      </c>
      <c r="S9" s="3"/>
    </row>
    <row r="10" spans="1:67" ht="14.1" customHeight="1" x14ac:dyDescent="0.25">
      <c r="A10" t="s">
        <v>25</v>
      </c>
      <c r="B10">
        <v>0.05</v>
      </c>
      <c r="D10" s="2"/>
      <c r="E10">
        <v>7</v>
      </c>
      <c r="F10">
        <f t="shared" si="6"/>
        <v>0.9863495014254654</v>
      </c>
      <c r="G10">
        <f t="shared" si="7"/>
        <v>1999.8828618457446</v>
      </c>
      <c r="H10">
        <f t="shared" si="0"/>
        <v>2001.5491760345808</v>
      </c>
      <c r="I10">
        <f t="shared" si="1"/>
        <v>2167.1252693164065</v>
      </c>
      <c r="J10">
        <f t="shared" si="2"/>
        <v>-8.0312918829915939E-2</v>
      </c>
      <c r="K10">
        <f>100</f>
        <v>100</v>
      </c>
      <c r="L10">
        <f t="shared" si="3"/>
        <v>1.9609851874253934</v>
      </c>
      <c r="M10">
        <f t="shared" si="8"/>
        <v>-8.0312918829915942E-3</v>
      </c>
      <c r="N10">
        <f t="shared" si="4"/>
        <v>1.9690164793083851</v>
      </c>
      <c r="O10">
        <f t="shared" si="5"/>
        <v>0.16663141888361679</v>
      </c>
      <c r="P10" s="3">
        <v>-4.4030997415664443E-2</v>
      </c>
      <c r="Q10" s="3">
        <f t="shared" si="9"/>
        <v>8.0254348037552853E-2</v>
      </c>
      <c r="R10" s="3">
        <f t="shared" si="10"/>
        <v>1.0835626346582032</v>
      </c>
      <c r="S10" s="3"/>
    </row>
    <row r="11" spans="1:67" ht="14.1" customHeight="1" x14ac:dyDescent="0.25">
      <c r="A11" t="s">
        <v>26</v>
      </c>
      <c r="B11">
        <v>0.5</v>
      </c>
      <c r="D11" s="2"/>
      <c r="E11">
        <v>8</v>
      </c>
      <c r="F11">
        <f t="shared" si="6"/>
        <v>0.97831820954247384</v>
      </c>
      <c r="G11">
        <f t="shared" si="7"/>
        <v>2000.0494932646282</v>
      </c>
      <c r="H11">
        <f t="shared" si="0"/>
        <v>2001.3358984331464</v>
      </c>
      <c r="I11">
        <f t="shared" si="1"/>
        <v>2248.2109908773232</v>
      </c>
      <c r="J11">
        <f t="shared" si="2"/>
        <v>-0.11696285789290532</v>
      </c>
      <c r="K11">
        <f>100</f>
        <v>100</v>
      </c>
      <c r="L11">
        <f t="shared" si="3"/>
        <v>1.9615857455477794</v>
      </c>
      <c r="M11">
        <f t="shared" si="8"/>
        <v>-1.1696285789290533E-2</v>
      </c>
      <c r="N11">
        <f t="shared" si="4"/>
        <v>1.97328203133707</v>
      </c>
      <c r="O11">
        <f t="shared" si="5"/>
        <v>0.12864051685182859</v>
      </c>
      <c r="P11" s="3">
        <v>4.4758690985229041E-2</v>
      </c>
      <c r="Q11" s="3">
        <f t="shared" si="9"/>
        <v>0.11698760421902661</v>
      </c>
      <c r="R11" s="3">
        <f t="shared" si="10"/>
        <v>1.1241054954386616</v>
      </c>
      <c r="S11" s="3"/>
    </row>
    <row r="12" spans="1:67" ht="14.1" customHeight="1" x14ac:dyDescent="0.25">
      <c r="A12" t="s">
        <v>27</v>
      </c>
      <c r="B12">
        <v>50</v>
      </c>
      <c r="C12" t="s">
        <v>1</v>
      </c>
      <c r="D12" s="2"/>
      <c r="E12">
        <v>9</v>
      </c>
      <c r="F12">
        <f t="shared" si="6"/>
        <v>0.96662192375318334</v>
      </c>
      <c r="G12">
        <f t="shared" si="7"/>
        <v>2000.17813378148</v>
      </c>
      <c r="H12">
        <f t="shared" si="0"/>
        <v>2001.8330814440787</v>
      </c>
      <c r="I12">
        <f t="shared" si="1"/>
        <v>2261.5438468148413</v>
      </c>
      <c r="J12">
        <f t="shared" si="2"/>
        <v>-0.12281145464045641</v>
      </c>
      <c r="K12">
        <f>100</f>
        <v>100</v>
      </c>
      <c r="L12">
        <f t="shared" si="3"/>
        <v>1.951057225654381</v>
      </c>
      <c r="M12">
        <f t="shared" si="8"/>
        <v>-1.2281145464045642E-2</v>
      </c>
      <c r="N12">
        <f t="shared" si="4"/>
        <v>1.9633383711184267</v>
      </c>
      <c r="O12">
        <f t="shared" si="5"/>
        <v>0.16549476625987156</v>
      </c>
      <c r="P12" s="3">
        <v>1.761167376785245E-2</v>
      </c>
      <c r="Q12" s="3">
        <f t="shared" si="9"/>
        <v>0.12290051756497641</v>
      </c>
      <c r="R12" s="3">
        <f t="shared" si="10"/>
        <v>1.1307719234074207</v>
      </c>
      <c r="S12" s="3"/>
    </row>
    <row r="13" spans="1:67" ht="14.1" customHeight="1" x14ac:dyDescent="0.25">
      <c r="A13" t="s">
        <v>28</v>
      </c>
      <c r="B13">
        <v>0.1</v>
      </c>
      <c r="D13" s="2"/>
      <c r="E13">
        <v>10</v>
      </c>
      <c r="F13">
        <f t="shared" si="6"/>
        <v>0.95434077828913766</v>
      </c>
      <c r="G13">
        <f t="shared" si="7"/>
        <v>2000.3436285477399</v>
      </c>
      <c r="H13">
        <f t="shared" si="0"/>
        <v>2002.5381515401764</v>
      </c>
      <c r="I13">
        <f t="shared" si="1"/>
        <v>2128.1319125052701</v>
      </c>
      <c r="J13">
        <f t="shared" si="2"/>
        <v>-6.1925578441971899E-2</v>
      </c>
      <c r="K13">
        <f>100</f>
        <v>100</v>
      </c>
      <c r="L13">
        <f t="shared" si="3"/>
        <v>1.9430444113522753</v>
      </c>
      <c r="M13">
        <f t="shared" si="8"/>
        <v>-6.19255784419719E-3</v>
      </c>
      <c r="N13">
        <f t="shared" si="4"/>
        <v>1.9492369691964726</v>
      </c>
      <c r="O13">
        <f t="shared" si="5"/>
        <v>0.21945229924365323</v>
      </c>
      <c r="P13" s="3">
        <v>-4.851308785101871E-2</v>
      </c>
      <c r="Q13" s="3">
        <f t="shared" si="9"/>
        <v>6.2097377957460065E-2</v>
      </c>
      <c r="R13" s="3">
        <f t="shared" si="10"/>
        <v>1.0640659562526351</v>
      </c>
      <c r="S13" s="3"/>
      <c r="U13" s="1" t="s">
        <v>1</v>
      </c>
    </row>
    <row r="14" spans="1:67" ht="14.1" customHeight="1" x14ac:dyDescent="0.25">
      <c r="A14" t="s">
        <v>29</v>
      </c>
      <c r="B14">
        <v>0.1</v>
      </c>
      <c r="D14" s="2"/>
      <c r="E14">
        <v>11</v>
      </c>
      <c r="F14">
        <f t="shared" si="6"/>
        <v>0.94814822044494051</v>
      </c>
      <c r="G14">
        <f t="shared" si="7"/>
        <v>2000.5630808469834</v>
      </c>
      <c r="H14">
        <f t="shared" si="0"/>
        <v>2001.9774136933929</v>
      </c>
      <c r="I14">
        <f t="shared" si="1"/>
        <v>2163.8751966592145</v>
      </c>
      <c r="J14">
        <f t="shared" si="2"/>
        <v>-7.8472005439273615E-2</v>
      </c>
      <c r="K14">
        <f>100</f>
        <v>100</v>
      </c>
      <c r="L14">
        <f t="shared" si="3"/>
        <v>1.9526045255882138</v>
      </c>
      <c r="M14">
        <f t="shared" si="8"/>
        <v>-7.8472005439273618E-3</v>
      </c>
      <c r="N14">
        <f t="shared" si="4"/>
        <v>1.9604517261321412</v>
      </c>
      <c r="O14">
        <f t="shared" si="5"/>
        <v>0.14143328464094793</v>
      </c>
      <c r="P14" s="3">
        <v>2.2865866075983388E-2</v>
      </c>
      <c r="Q14" s="3">
        <f t="shared" si="9"/>
        <v>7.8753506237697446E-2</v>
      </c>
      <c r="R14" s="3">
        <f t="shared" si="10"/>
        <v>1.0819375983296071</v>
      </c>
      <c r="S14" s="3"/>
    </row>
    <row r="15" spans="1:67" ht="14.1" customHeight="1" x14ac:dyDescent="0.25">
      <c r="C15" t="s">
        <v>1</v>
      </c>
      <c r="D15" s="2"/>
      <c r="E15">
        <v>12</v>
      </c>
      <c r="F15">
        <f t="shared" si="6"/>
        <v>0.94030101990101311</v>
      </c>
      <c r="G15">
        <f t="shared" si="7"/>
        <v>2000.7045141316244</v>
      </c>
      <c r="H15">
        <f t="shared" si="0"/>
        <v>2002.5236833597482</v>
      </c>
      <c r="I15">
        <f t="shared" si="1"/>
        <v>1970.3834608846819</v>
      </c>
      <c r="J15">
        <f t="shared" si="2"/>
        <v>1.5271201594527556E-2</v>
      </c>
      <c r="K15">
        <f>100</f>
        <v>100</v>
      </c>
      <c r="L15">
        <f t="shared" si="3"/>
        <v>1.9510534529644872</v>
      </c>
      <c r="M15">
        <f t="shared" si="8"/>
        <v>1.5271201594527556E-3</v>
      </c>
      <c r="N15">
        <f t="shared" si="4"/>
        <v>1.9495263328050345</v>
      </c>
      <c r="O15">
        <f t="shared" si="5"/>
        <v>0.1819169228123883</v>
      </c>
      <c r="P15" s="3">
        <v>-8.5797162170597088E-2</v>
      </c>
      <c r="Q15" s="3">
        <f t="shared" si="9"/>
        <v>-1.491900655666939E-2</v>
      </c>
      <c r="R15" s="3">
        <f t="shared" si="10"/>
        <v>0.98519173044234098</v>
      </c>
      <c r="S15" s="3"/>
    </row>
    <row r="16" spans="1:67" ht="14.1" customHeight="1" x14ac:dyDescent="0.25">
      <c r="A16" t="s">
        <v>30</v>
      </c>
      <c r="B16" t="s">
        <v>31</v>
      </c>
      <c r="C16" t="s">
        <v>32</v>
      </c>
      <c r="D16" s="2"/>
      <c r="E16">
        <v>13</v>
      </c>
      <c r="F16">
        <f t="shared" si="6"/>
        <v>0.94182814006046589</v>
      </c>
      <c r="G16">
        <f t="shared" si="7"/>
        <v>2000.8864310544368</v>
      </c>
      <c r="H16">
        <f t="shared" si="0"/>
        <v>2001.6062232386305</v>
      </c>
      <c r="I16">
        <f t="shared" si="1"/>
        <v>1914.2995672987145</v>
      </c>
      <c r="J16">
        <f t="shared" si="2"/>
        <v>4.4238503372223972E-2</v>
      </c>
      <c r="K16">
        <f>100</f>
        <v>100</v>
      </c>
      <c r="L16">
        <f t="shared" si="3"/>
        <v>1.9722993855646109</v>
      </c>
      <c r="M16">
        <f t="shared" si="8"/>
        <v>4.4238503372223976E-3</v>
      </c>
      <c r="N16">
        <f t="shared" si="4"/>
        <v>1.9678755352273885</v>
      </c>
      <c r="O16">
        <f t="shared" si="5"/>
        <v>7.1979218419369315E-2</v>
      </c>
      <c r="P16" s="3">
        <v>-3.036828013499273E-2</v>
      </c>
      <c r="Q16" s="3">
        <f t="shared" si="9"/>
        <v>-4.3795386035995185E-2</v>
      </c>
      <c r="R16" s="3">
        <f t="shared" si="10"/>
        <v>0.95714978364935721</v>
      </c>
      <c r="S16" s="3"/>
    </row>
    <row r="17" spans="1:19" ht="14.1" customHeight="1" x14ac:dyDescent="0.25">
      <c r="A17" t="s">
        <v>33</v>
      </c>
      <c r="B17">
        <v>100</v>
      </c>
      <c r="C17">
        <v>100</v>
      </c>
      <c r="D17" s="2"/>
      <c r="E17">
        <v>14</v>
      </c>
      <c r="F17">
        <f t="shared" si="6"/>
        <v>0.94625199039768826</v>
      </c>
      <c r="G17">
        <f t="shared" si="7"/>
        <v>2000.9584102728561</v>
      </c>
      <c r="H17">
        <f t="shared" si="0"/>
        <v>2000.7677752482709</v>
      </c>
      <c r="I17">
        <f t="shared" si="1"/>
        <v>1928.2659748812948</v>
      </c>
      <c r="J17">
        <f t="shared" si="2"/>
        <v>3.7005130464048103E-2</v>
      </c>
      <c r="K17">
        <f>100</f>
        <v>100</v>
      </c>
      <c r="L17">
        <f t="shared" si="3"/>
        <v>1.9883450080809837</v>
      </c>
      <c r="M17">
        <f t="shared" si="8"/>
        <v>3.7005130464048104E-3</v>
      </c>
      <c r="N17">
        <f t="shared" si="4"/>
        <v>1.984644495034579</v>
      </c>
      <c r="O17">
        <f t="shared" si="5"/>
        <v>-1.906350245851627E-2</v>
      </c>
      <c r="P17" s="3">
        <v>2.889807322662339E-3</v>
      </c>
      <c r="Q17" s="3">
        <f t="shared" si="9"/>
        <v>-3.6526040109733329E-2</v>
      </c>
      <c r="R17" s="3">
        <f t="shared" si="10"/>
        <v>0.96413298744064746</v>
      </c>
      <c r="S17" s="3"/>
    </row>
    <row r="18" spans="1:19" ht="14.1" customHeight="1" x14ac:dyDescent="0.25">
      <c r="A18" t="s">
        <v>34</v>
      </c>
      <c r="B18">
        <v>2100</v>
      </c>
      <c r="C18">
        <v>2100</v>
      </c>
      <c r="D18" s="2"/>
      <c r="E18">
        <v>15</v>
      </c>
      <c r="F18">
        <f t="shared" si="6"/>
        <v>0.9499525034440931</v>
      </c>
      <c r="G18">
        <f t="shared" si="7"/>
        <v>2000.9393467703976</v>
      </c>
      <c r="H18">
        <f t="shared" si="0"/>
        <v>2000.3566810645787</v>
      </c>
      <c r="I18">
        <f t="shared" si="1"/>
        <v>1981.5585697241959</v>
      </c>
      <c r="J18">
        <f t="shared" si="2"/>
        <v>9.7330521954554737E-3</v>
      </c>
      <c r="K18">
        <f>100</f>
        <v>100</v>
      </c>
      <c r="L18">
        <f t="shared" si="3"/>
        <v>1.9938396839279733</v>
      </c>
      <c r="M18">
        <f t="shared" si="8"/>
        <v>9.7330521954554737E-4</v>
      </c>
      <c r="N18">
        <f t="shared" si="4"/>
        <v>1.9928663787084278</v>
      </c>
      <c r="O18">
        <f t="shared" si="5"/>
        <v>-5.8266570581895397E-2</v>
      </c>
      <c r="P18" s="3">
        <v>2.3609947026482531E-2</v>
      </c>
      <c r="Q18" s="3">
        <f t="shared" si="9"/>
        <v>-9.2634890722774685E-3</v>
      </c>
      <c r="R18" s="3">
        <f t="shared" si="10"/>
        <v>0.99077928486209799</v>
      </c>
      <c r="S18" s="3"/>
    </row>
    <row r="19" spans="1:19" ht="14.1" customHeight="1" x14ac:dyDescent="0.25">
      <c r="A19" t="s">
        <v>35</v>
      </c>
      <c r="B19">
        <v>2000</v>
      </c>
      <c r="C19">
        <v>2000</v>
      </c>
      <c r="D19" s="2"/>
      <c r="E19">
        <v>16</v>
      </c>
      <c r="F19">
        <f t="shared" si="6"/>
        <v>0.95092580866363863</v>
      </c>
      <c r="G19">
        <f t="shared" si="7"/>
        <v>2000.8810801998156</v>
      </c>
      <c r="H19">
        <f t="shared" si="0"/>
        <v>2000.3229324734596</v>
      </c>
      <c r="I19">
        <f t="shared" si="1"/>
        <v>2073.8457956670327</v>
      </c>
      <c r="J19">
        <f t="shared" si="2"/>
        <v>-3.5817132219517177E-2</v>
      </c>
      <c r="K19">
        <f>100</f>
        <v>100</v>
      </c>
      <c r="L19">
        <f t="shared" si="3"/>
        <v>1.9899596373088571</v>
      </c>
      <c r="M19">
        <f t="shared" si="8"/>
        <v>-3.5817132219517177E-3</v>
      </c>
      <c r="N19">
        <f t="shared" si="4"/>
        <v>1.9935413505308088</v>
      </c>
      <c r="O19">
        <f t="shared" si="5"/>
        <v>-5.581477263560828E-2</v>
      </c>
      <c r="P19" s="3">
        <v>4.4594715475174893E-2</v>
      </c>
      <c r="Q19" s="3">
        <f t="shared" si="9"/>
        <v>3.6257575310125169E-2</v>
      </c>
      <c r="R19" s="3">
        <f t="shared" si="10"/>
        <v>1.0369228978335163</v>
      </c>
      <c r="S19" s="3"/>
    </row>
    <row r="20" spans="1:19" ht="14.1" customHeight="1" x14ac:dyDescent="0.25">
      <c r="D20" s="2"/>
      <c r="E20">
        <v>17</v>
      </c>
      <c r="F20">
        <f t="shared" si="6"/>
        <v>0.94734409544168696</v>
      </c>
      <c r="G20">
        <f t="shared" si="7"/>
        <v>2000.8252654271801</v>
      </c>
      <c r="H20">
        <f t="shared" si="0"/>
        <v>2000.4009969616743</v>
      </c>
      <c r="I20">
        <f t="shared" si="1"/>
        <v>2319.1784342995979</v>
      </c>
      <c r="J20">
        <f t="shared" si="2"/>
        <v>-0.14765327165101641</v>
      </c>
      <c r="K20">
        <f>100</f>
        <v>100</v>
      </c>
      <c r="L20">
        <f t="shared" si="3"/>
        <v>1.9772147336014143</v>
      </c>
      <c r="M20">
        <f t="shared" si="8"/>
        <v>-1.4765327165101642E-2</v>
      </c>
      <c r="N20">
        <f t="shared" si="4"/>
        <v>1.9919800607665159</v>
      </c>
      <c r="O20">
        <f t="shared" si="5"/>
        <v>-4.2426846550574743E-2</v>
      </c>
      <c r="P20" s="3">
        <v>0.11543400147602741</v>
      </c>
      <c r="Q20" s="3">
        <f t="shared" si="9"/>
        <v>0.14806581925514006</v>
      </c>
      <c r="R20" s="3">
        <f t="shared" si="10"/>
        <v>1.159589217149799</v>
      </c>
      <c r="S20" s="3"/>
    </row>
    <row r="21" spans="1:19" ht="14.1" customHeight="1" x14ac:dyDescent="0.25">
      <c r="A21" t="s">
        <v>36</v>
      </c>
      <c r="B21" t="s">
        <v>37</v>
      </c>
      <c r="C21" t="s">
        <v>38</v>
      </c>
      <c r="D21" s="2"/>
      <c r="E21">
        <v>18</v>
      </c>
      <c r="F21">
        <f t="shared" si="6"/>
        <v>0.93257876827658537</v>
      </c>
      <c r="G21">
        <f t="shared" si="7"/>
        <v>2000.7828385806295</v>
      </c>
      <c r="H21">
        <f t="shared" si="0"/>
        <v>2002.2496848293999</v>
      </c>
      <c r="I21">
        <f t="shared" si="1"/>
        <v>2246.0825530411512</v>
      </c>
      <c r="J21">
        <f t="shared" si="2"/>
        <v>-0.1156490879588398</v>
      </c>
      <c r="K21">
        <f>100</f>
        <v>100</v>
      </c>
      <c r="L21">
        <f t="shared" si="3"/>
        <v>1.9434413946161158</v>
      </c>
      <c r="M21">
        <f t="shared" si="8"/>
        <v>-1.1564908795883981E-2</v>
      </c>
      <c r="N21">
        <f t="shared" si="4"/>
        <v>1.9550063034119998</v>
      </c>
      <c r="O21">
        <f t="shared" si="5"/>
        <v>0.146684624877048</v>
      </c>
      <c r="P21" s="3">
        <v>-1.7218806665018259E-2</v>
      </c>
      <c r="Q21" s="3">
        <f t="shared" si="9"/>
        <v>0.11604043066460779</v>
      </c>
      <c r="R21" s="3">
        <f t="shared" si="10"/>
        <v>1.1230412765205755</v>
      </c>
      <c r="S21" s="3"/>
    </row>
    <row r="22" spans="1:19" ht="14.1" customHeight="1" x14ac:dyDescent="0.25">
      <c r="A22" t="s">
        <v>39</v>
      </c>
      <c r="B22">
        <f>(Theta*Beta0_0)/Beta1+m_0-(Psi+Theta/Beta1)*ybar0</f>
        <v>0.99999999999998579</v>
      </c>
      <c r="C22">
        <f>(Theta*Beta0_1)/Beta1+m_1-(Psi+Theta/Beta1)*ybar1</f>
        <v>0.99999999999998579</v>
      </c>
      <c r="D22" s="2"/>
      <c r="E22">
        <v>19</v>
      </c>
      <c r="F22">
        <f t="shared" si="6"/>
        <v>0.92101385948070136</v>
      </c>
      <c r="G22">
        <f t="shared" si="7"/>
        <v>2000.9295232055065</v>
      </c>
      <c r="H22">
        <f t="shared" si="0"/>
        <v>2003.0275392785788</v>
      </c>
      <c r="I22">
        <f t="shared" si="1"/>
        <v>2092.3829487751095</v>
      </c>
      <c r="J22">
        <f t="shared" si="2"/>
        <v>-4.4691749163673883E-2</v>
      </c>
      <c r="K22">
        <f>100</f>
        <v>100</v>
      </c>
      <c r="L22">
        <f t="shared" si="3"/>
        <v>1.9349800395120553</v>
      </c>
      <c r="M22">
        <f t="shared" si="8"/>
        <v>-4.4691749163673885E-3</v>
      </c>
      <c r="N22">
        <f t="shared" si="4"/>
        <v>1.9394492144284228</v>
      </c>
      <c r="O22">
        <f t="shared" si="5"/>
        <v>0.20980160730723585</v>
      </c>
      <c r="P22" s="3">
        <v>-5.9279984799941933E-2</v>
      </c>
      <c r="Q22" s="3">
        <f t="shared" si="9"/>
        <v>4.5156402798205077E-2</v>
      </c>
      <c r="R22" s="3">
        <f t="shared" si="10"/>
        <v>1.0461914743875547</v>
      </c>
      <c r="S22" s="3"/>
    </row>
    <row r="23" spans="1:19" ht="14.1" customHeight="1" x14ac:dyDescent="0.25">
      <c r="A23" t="s">
        <v>40</v>
      </c>
      <c r="B23">
        <f>ypot0</f>
        <v>2000</v>
      </c>
      <c r="C23">
        <f>ypot1</f>
        <v>2000</v>
      </c>
      <c r="D23" s="2"/>
      <c r="E23">
        <v>20</v>
      </c>
      <c r="F23">
        <f t="shared" si="6"/>
        <v>0.91654468456433402</v>
      </c>
      <c r="G23">
        <f t="shared" si="7"/>
        <v>2001.1393248128138</v>
      </c>
      <c r="H23">
        <f t="shared" si="0"/>
        <v>2002.4181763749671</v>
      </c>
      <c r="I23">
        <f t="shared" si="1"/>
        <v>2095.6481849458701</v>
      </c>
      <c r="J23">
        <f t="shared" si="2"/>
        <v>-4.6146220906208589E-2</v>
      </c>
      <c r="K23">
        <f>100</f>
        <v>100</v>
      </c>
      <c r="L23">
        <f t="shared" si="3"/>
        <v>1.9470218504100387</v>
      </c>
      <c r="M23">
        <f t="shared" si="8"/>
        <v>-4.6146220906208594E-3</v>
      </c>
      <c r="N23">
        <f t="shared" si="4"/>
        <v>1.9516364725006596</v>
      </c>
      <c r="O23">
        <f t="shared" si="5"/>
        <v>0.12788515621532498</v>
      </c>
      <c r="P23" s="3">
        <v>6.074958598197208E-3</v>
      </c>
      <c r="Q23" s="3">
        <f t="shared" si="9"/>
        <v>4.6715721116581774E-2</v>
      </c>
      <c r="R23" s="3">
        <f t="shared" si="10"/>
        <v>1.047824092472935</v>
      </c>
      <c r="S23" s="3"/>
    </row>
    <row r="24" spans="1:19" ht="14.1" customHeight="1" x14ac:dyDescent="0.25">
      <c r="D24" s="2"/>
      <c r="E24">
        <v>21</v>
      </c>
      <c r="F24">
        <f t="shared" si="6"/>
        <v>0.91193006247371311</v>
      </c>
      <c r="G24">
        <f t="shared" si="7"/>
        <v>2001.2672099690292</v>
      </c>
      <c r="H24">
        <f t="shared" si="0"/>
        <v>2002.4422441563954</v>
      </c>
      <c r="I24">
        <f t="shared" si="1"/>
        <v>2012.7874151985675</v>
      </c>
      <c r="J24">
        <f t="shared" si="2"/>
        <v>-5.7399502174192672E-3</v>
      </c>
      <c r="K24">
        <f>100</f>
        <v>100</v>
      </c>
      <c r="L24">
        <f t="shared" si="3"/>
        <v>1.9505811218503482</v>
      </c>
      <c r="M24">
        <f t="shared" si="8"/>
        <v>-5.7399502174192672E-4</v>
      </c>
      <c r="N24">
        <f t="shared" si="4"/>
        <v>1.95115511687209</v>
      </c>
      <c r="O24">
        <f t="shared" si="5"/>
        <v>0.11750341873662365</v>
      </c>
      <c r="P24" s="3">
        <v>-3.5670794445880262E-2</v>
      </c>
      <c r="Q24" s="3">
        <f t="shared" si="9"/>
        <v>6.3733545590433371E-3</v>
      </c>
      <c r="R24" s="3">
        <f t="shared" si="10"/>
        <v>1.0063937075992837</v>
      </c>
      <c r="S24" s="3"/>
    </row>
    <row r="25" spans="1:19" ht="14.1" customHeight="1" x14ac:dyDescent="0.25">
      <c r="A25" t="s">
        <v>41</v>
      </c>
      <c r="B25" t="s">
        <v>42</v>
      </c>
      <c r="C25" t="s">
        <v>43</v>
      </c>
      <c r="D25" s="2"/>
      <c r="E25">
        <v>22</v>
      </c>
      <c r="F25">
        <f t="shared" si="6"/>
        <v>0.91135606745197117</v>
      </c>
      <c r="G25">
        <f t="shared" si="7"/>
        <v>2001.3847133877657</v>
      </c>
      <c r="H25">
        <f t="shared" si="0"/>
        <v>2001.9960911186095</v>
      </c>
      <c r="I25">
        <f t="shared" si="1"/>
        <v>1979.3852904954763</v>
      </c>
      <c r="J25">
        <f t="shared" si="2"/>
        <v>1.1052960527258539E-2</v>
      </c>
      <c r="K25">
        <f>100</f>
        <v>100</v>
      </c>
      <c r="L25">
        <f t="shared" si="3"/>
        <v>1.9611834736805349</v>
      </c>
      <c r="M25">
        <f t="shared" si="8"/>
        <v>1.105296052725854E-3</v>
      </c>
      <c r="N25">
        <f t="shared" si="4"/>
        <v>1.9600781776278091</v>
      </c>
      <c r="O25">
        <f t="shared" si="5"/>
        <v>6.1137773084374208E-2</v>
      </c>
      <c r="P25" s="3">
        <v>-1.6096862504839032E-2</v>
      </c>
      <c r="Q25" s="3">
        <f t="shared" si="9"/>
        <v>-1.0360843401700029E-2</v>
      </c>
      <c r="R25" s="3">
        <f t="shared" si="10"/>
        <v>0.98969264524773815</v>
      </c>
      <c r="S25" s="3"/>
    </row>
    <row r="26" spans="1:19" ht="14.1" customHeight="1" x14ac:dyDescent="0.25">
      <c r="A26" t="s">
        <v>44</v>
      </c>
      <c r="B26">
        <f>IF((Ni*(Beta1*Mi-((Beta1*Psi)/Theta)-1))^2-4*(Ni*Beta1*Mi)/Theta&gt;0,(Ni*(Beta1*Mi-((Beta1*Psi)/Theta)-1)+SQRT((Ni*(Beta1*Mi-((Beta1*Psi)/Theta)-1))^2-4*(Ni*Beta1*Mi)/Theta))/2,((Ni*(Beta1*Mi-((Beta1*Psi)/Theta)-1))/2))</f>
        <v>-0.05</v>
      </c>
      <c r="C26">
        <f>IF((Ni*((Beta1*Mi-(Beta1*Psi)/Theta)-1)^2-4*(Ni*Beta1*Mi)/Theta)&gt;0, 0, +SQRT(-(Ni*((Beta1*Mi-(Beta1*Psi)/Theta)-1)^2-4*(Ni*Beta1*Mi)/Theta))/2)</f>
        <v>0.98742088290657493</v>
      </c>
      <c r="D26" s="2"/>
      <c r="E26">
        <v>23</v>
      </c>
      <c r="F26">
        <f t="shared" si="6"/>
        <v>0.91246136350469698</v>
      </c>
      <c r="G26">
        <f t="shared" si="7"/>
        <v>2001.44585116085</v>
      </c>
      <c r="H26">
        <f t="shared" si="0"/>
        <v>2001.6962407149151</v>
      </c>
      <c r="I26">
        <f t="shared" si="1"/>
        <v>1933.9088604587484</v>
      </c>
      <c r="J26">
        <f t="shared" si="2"/>
        <v>3.4326573926917299E-2</v>
      </c>
      <c r="K26">
        <f>100</f>
        <v>100</v>
      </c>
      <c r="L26">
        <f t="shared" si="3"/>
        <v>1.9695078430943909</v>
      </c>
      <c r="M26">
        <f t="shared" si="8"/>
        <v>3.4326573926917302E-3</v>
      </c>
      <c r="N26">
        <f t="shared" si="4"/>
        <v>1.9660751857016991</v>
      </c>
      <c r="O26">
        <f t="shared" si="5"/>
        <v>2.5038955406512287E-2</v>
      </c>
      <c r="P26" s="3">
        <v>-2.4279150469789169E-2</v>
      </c>
      <c r="Q26" s="3">
        <f t="shared" si="9"/>
        <v>-3.3603909531319198E-2</v>
      </c>
      <c r="R26" s="3">
        <f t="shared" si="10"/>
        <v>0.96695443022937422</v>
      </c>
      <c r="S26" s="3"/>
    </row>
    <row r="27" spans="1:19" ht="14.1" customHeight="1" x14ac:dyDescent="0.25">
      <c r="A27" t="s">
        <v>45</v>
      </c>
      <c r="B27">
        <f>IF((Ni*(Beta1*Mi-((Beta1*Psi)/Theta)-1))^2-4*(Ni*Beta1*Mi)/Theta&gt;0,(Ni*(Beta1*Mi-((Beta1*Psi)/Theta)-1)-SQRT((Ni*(Beta1*Mi-((Beta1*Psi)/Theta)-1))^2-4*(Ni*Beta1*Mi)/Theta))/2,((Ni*(Beta1*Mi-((Beta1*Psi)/Theta)-1))/2))</f>
        <v>-0.05</v>
      </c>
      <c r="C27">
        <f>IF((Ni*((Beta1*Mi-(Beta1*Psi)/Theta)-1)^2-4*(Ni*Beta1*Mi)/Theta)&gt;0, 0, -SQRT(-(Ni*((Beta1*Mi-(Beta1*Psi)/Theta)-1)^2-4*(Ni*Beta1*Mi)/Theta))/2)</f>
        <v>-0.98742088290657493</v>
      </c>
      <c r="D27" s="2"/>
      <c r="E27">
        <v>24</v>
      </c>
      <c r="F27">
        <f t="shared" si="6"/>
        <v>0.91589402089738869</v>
      </c>
      <c r="G27">
        <f t="shared" si="7"/>
        <v>2001.4708901162564</v>
      </c>
      <c r="H27">
        <f t="shared" si="0"/>
        <v>2001.1279057237473</v>
      </c>
      <c r="I27">
        <f t="shared" si="1"/>
        <v>1972.951562096262</v>
      </c>
      <c r="J27">
        <f t="shared" si="2"/>
        <v>1.4351678953792942E-2</v>
      </c>
      <c r="K27">
        <f>100</f>
        <v>100</v>
      </c>
      <c r="L27">
        <f t="shared" si="3"/>
        <v>1.9788770534204332</v>
      </c>
      <c r="M27">
        <f t="shared" si="8"/>
        <v>1.4351678953792944E-3</v>
      </c>
      <c r="N27">
        <f t="shared" si="4"/>
        <v>1.977441885525054</v>
      </c>
      <c r="O27">
        <f t="shared" si="5"/>
        <v>-3.4298439250915184E-2</v>
      </c>
      <c r="P27" s="3">
        <v>1.6627014375328372E-2</v>
      </c>
      <c r="Q27" s="3">
        <f t="shared" si="9"/>
        <v>-1.3616504202858908E-2</v>
      </c>
      <c r="R27" s="3">
        <f t="shared" si="10"/>
        <v>0.98647578104813105</v>
      </c>
      <c r="S27" s="3"/>
    </row>
    <row r="28" spans="1:19" ht="14.1" customHeight="1" x14ac:dyDescent="0.25">
      <c r="D28" s="2"/>
      <c r="E28">
        <v>25</v>
      </c>
      <c r="F28">
        <f t="shared" si="6"/>
        <v>0.91732918879276804</v>
      </c>
      <c r="G28">
        <f t="shared" si="7"/>
        <v>2001.4365916770055</v>
      </c>
      <c r="H28">
        <f t="shared" si="0"/>
        <v>2001.1276271021031</v>
      </c>
      <c r="I28">
        <f t="shared" si="1"/>
        <v>1984.0978858390313</v>
      </c>
      <c r="J28">
        <f t="shared" si="2"/>
        <v>8.7008732813603287E-3</v>
      </c>
      <c r="K28">
        <f>100</f>
        <v>100</v>
      </c>
      <c r="L28">
        <f t="shared" si="3"/>
        <v>1.9783175452860746</v>
      </c>
      <c r="M28">
        <f t="shared" si="8"/>
        <v>8.7008732813603296E-4</v>
      </c>
      <c r="N28">
        <f t="shared" si="4"/>
        <v>1.9774474579579386</v>
      </c>
      <c r="O28">
        <f t="shared" si="5"/>
        <v>-3.0896457490234754E-2</v>
      </c>
      <c r="P28" s="3">
        <v>4.2720184887278514E-3</v>
      </c>
      <c r="Q28" s="3">
        <f t="shared" si="9"/>
        <v>-7.9828352938451676E-3</v>
      </c>
      <c r="R28" s="3">
        <f t="shared" si="10"/>
        <v>0.99204894291951562</v>
      </c>
      <c r="S28" s="3"/>
    </row>
    <row r="29" spans="1:19" ht="14.1" customHeight="1" x14ac:dyDescent="0.25">
      <c r="A29" t="s">
        <v>46</v>
      </c>
      <c r="D29" s="2"/>
      <c r="E29">
        <v>26</v>
      </c>
      <c r="F29">
        <f t="shared" si="6"/>
        <v>0.91819927612090402</v>
      </c>
      <c r="G29">
        <f t="shared" si="7"/>
        <v>2001.4056952195153</v>
      </c>
      <c r="H29">
        <f t="shared" si="0"/>
        <v>2001.1009909701675</v>
      </c>
      <c r="I29">
        <f t="shared" si="1"/>
        <v>2021.764905057692</v>
      </c>
      <c r="J29">
        <f t="shared" si="2"/>
        <v>-1.0121064033114632E-2</v>
      </c>
      <c r="K29">
        <f>100</f>
        <v>100</v>
      </c>
      <c r="L29">
        <f t="shared" si="3"/>
        <v>1.9769680741933371</v>
      </c>
      <c r="M29">
        <f t="shared" si="8"/>
        <v>-1.0121064033114632E-3</v>
      </c>
      <c r="N29">
        <f t="shared" si="4"/>
        <v>1.9779801805966486</v>
      </c>
      <c r="O29">
        <f t="shared" si="5"/>
        <v>-3.0470424934787844E-2</v>
      </c>
      <c r="P29" s="3">
        <v>1.8008216525624961E-2</v>
      </c>
      <c r="Q29" s="3">
        <f t="shared" si="9"/>
        <v>1.0823664761164309E-2</v>
      </c>
      <c r="R29" s="3">
        <f t="shared" si="10"/>
        <v>1.010882452528846</v>
      </c>
      <c r="S29" s="3"/>
    </row>
    <row r="30" spans="1:19" ht="14.1" customHeight="1" x14ac:dyDescent="0.25">
      <c r="A30" t="s">
        <v>47</v>
      </c>
      <c r="B30">
        <f>IF(C26=0,ABS(1+B26),SQRT((1+B26)^2+C26^2))</f>
        <v>1.3702189606044721</v>
      </c>
      <c r="D30" s="2"/>
      <c r="E30">
        <v>27</v>
      </c>
      <c r="F30">
        <f t="shared" si="6"/>
        <v>0.91718716971759251</v>
      </c>
      <c r="G30">
        <f t="shared" si="7"/>
        <v>2001.3752247945806</v>
      </c>
      <c r="H30">
        <f t="shared" si="0"/>
        <v>2001.6947960280538</v>
      </c>
      <c r="I30">
        <f t="shared" si="1"/>
        <v>1888.7347531495445</v>
      </c>
      <c r="J30">
        <f t="shared" si="2"/>
        <v>5.7927394543484313E-2</v>
      </c>
      <c r="K30">
        <f>100</f>
        <v>100</v>
      </c>
      <c r="L30">
        <f t="shared" si="3"/>
        <v>1.9718968188932706</v>
      </c>
      <c r="M30">
        <f t="shared" si="8"/>
        <v>5.792739454348432E-3</v>
      </c>
      <c r="N30">
        <f t="shared" si="4"/>
        <v>1.9661040794389222</v>
      </c>
      <c r="O30">
        <f t="shared" si="5"/>
        <v>3.1957123347319795E-2</v>
      </c>
      <c r="P30" s="3">
        <v>-6.6981316728332005E-2</v>
      </c>
      <c r="Q30" s="3">
        <f t="shared" si="9"/>
        <v>-5.7240018443284128E-2</v>
      </c>
      <c r="R30" s="3">
        <f t="shared" si="10"/>
        <v>0.94436737657477232</v>
      </c>
      <c r="S30" s="3"/>
    </row>
    <row r="31" spans="1:19" ht="14.1" customHeight="1" x14ac:dyDescent="0.25">
      <c r="A31" t="s">
        <v>48</v>
      </c>
      <c r="B31">
        <f>IF(B27=0,ABS(1+B27),SQRT((1+B27)^2+C27^2))</f>
        <v>1.3702189606044721</v>
      </c>
      <c r="D31" s="2"/>
      <c r="E31">
        <v>28</v>
      </c>
      <c r="F31">
        <f t="shared" si="6"/>
        <v>0.92297990917194095</v>
      </c>
      <c r="G31">
        <f t="shared" si="7"/>
        <v>2001.407181917928</v>
      </c>
      <c r="H31">
        <f t="shared" si="0"/>
        <v>2000.906749994389</v>
      </c>
      <c r="I31">
        <f t="shared" si="1"/>
        <v>1907.3606425563255</v>
      </c>
      <c r="J31">
        <f t="shared" si="2"/>
        <v>4.8130100244770595E-2</v>
      </c>
      <c r="K31">
        <f>100</f>
        <v>100</v>
      </c>
      <c r="L31">
        <f t="shared" si="3"/>
        <v>1.9866780101366999</v>
      </c>
      <c r="M31">
        <f t="shared" si="8"/>
        <v>4.8130100244770596E-3</v>
      </c>
      <c r="N31">
        <f t="shared" si="4"/>
        <v>1.9818650001122229</v>
      </c>
      <c r="O31">
        <f t="shared" si="5"/>
        <v>-5.0043192353905398E-2</v>
      </c>
      <c r="P31" s="3">
        <v>4.0892599090711452E-3</v>
      </c>
      <c r="Q31" s="3">
        <f t="shared" si="9"/>
        <v>-4.7426756689884574E-2</v>
      </c>
      <c r="R31" s="3">
        <f t="shared" si="10"/>
        <v>0.95368032127816271</v>
      </c>
      <c r="S31" s="3"/>
    </row>
    <row r="32" spans="1:19" ht="14.1" customHeight="1" x14ac:dyDescent="0.25">
      <c r="A32" s="2"/>
      <c r="B32" s="2"/>
      <c r="C32" s="2"/>
      <c r="D32" s="2"/>
      <c r="E32">
        <v>29</v>
      </c>
      <c r="F32">
        <f t="shared" si="6"/>
        <v>0.92779291919641804</v>
      </c>
      <c r="G32">
        <f t="shared" si="7"/>
        <v>2001.357138725574</v>
      </c>
      <c r="H32">
        <f t="shared" si="0"/>
        <v>2000.7138355783281</v>
      </c>
      <c r="I32">
        <f t="shared" si="1"/>
        <v>1892.8077233752808</v>
      </c>
      <c r="J32">
        <f t="shared" si="2"/>
        <v>5.5764225168064369E-2</v>
      </c>
      <c r="K32">
        <f>100</f>
        <v>100</v>
      </c>
      <c r="L32">
        <f t="shared" si="3"/>
        <v>1.9912997109502442</v>
      </c>
      <c r="M32">
        <f t="shared" si="8"/>
        <v>5.5764225168064372E-3</v>
      </c>
      <c r="N32">
        <f t="shared" si="4"/>
        <v>1.9857232884334377</v>
      </c>
      <c r="O32">
        <f t="shared" si="5"/>
        <v>-6.4330314724588791E-2</v>
      </c>
      <c r="P32" s="3">
        <v>-1.2401804908473609E-2</v>
      </c>
      <c r="Q32" s="3">
        <f t="shared" si="9"/>
        <v>-5.5085885929369728E-2</v>
      </c>
      <c r="R32" s="3">
        <f t="shared" si="10"/>
        <v>0.94640386168764046</v>
      </c>
      <c r="S32" s="3"/>
    </row>
    <row r="33" spans="1:19" ht="14.1" customHeight="1" x14ac:dyDescent="0.25">
      <c r="A33" s="2"/>
      <c r="B33" s="1" t="s">
        <v>49</v>
      </c>
      <c r="C33" s="3">
        <v>0.9</v>
      </c>
      <c r="D33" s="2"/>
      <c r="E33">
        <v>30</v>
      </c>
      <c r="F33">
        <f t="shared" si="6"/>
        <v>0.9333693417132245</v>
      </c>
      <c r="G33">
        <f t="shared" si="7"/>
        <v>2001.2928084108494</v>
      </c>
      <c r="H33">
        <f t="shared" si="0"/>
        <v>2000.2815425258366</v>
      </c>
      <c r="I33">
        <f t="shared" si="1"/>
        <v>1968.5350282988181</v>
      </c>
      <c r="J33">
        <f t="shared" si="2"/>
        <v>1.6503750281433794E-2</v>
      </c>
      <c r="K33">
        <f>100</f>
        <v>100</v>
      </c>
      <c r="L33">
        <f t="shared" si="3"/>
        <v>1.9960195245114107</v>
      </c>
      <c r="M33">
        <f t="shared" si="8"/>
        <v>1.6503750281433795E-3</v>
      </c>
      <c r="N33">
        <f t="shared" si="4"/>
        <v>1.9943691494832674</v>
      </c>
      <c r="O33">
        <f t="shared" si="5"/>
        <v>-0.10112658850127901</v>
      </c>
      <c r="P33" s="3">
        <v>3.3719742431212313E-2</v>
      </c>
      <c r="Q33" s="3">
        <f t="shared" si="9"/>
        <v>-1.5857554905220443E-2</v>
      </c>
      <c r="R33" s="3">
        <f t="shared" si="10"/>
        <v>0.98426751414940905</v>
      </c>
      <c r="S33" s="3"/>
    </row>
    <row r="34" spans="1:19" ht="14.1" customHeight="1" x14ac:dyDescent="0.25">
      <c r="A34" s="2"/>
      <c r="B34" s="1" t="s">
        <v>50</v>
      </c>
      <c r="C34" s="3">
        <v>0.05</v>
      </c>
      <c r="E34">
        <v>31</v>
      </c>
      <c r="F34">
        <f t="shared" si="6"/>
        <v>0.93501971674136786</v>
      </c>
      <c r="G34">
        <f t="shared" si="7"/>
        <v>2001.1916818223481</v>
      </c>
      <c r="H34">
        <f t="shared" ca="1" si="0"/>
        <v>2000.6367067193885</v>
      </c>
      <c r="I34">
        <f t="shared" ca="1" si="1"/>
        <v>1962.7083742016498</v>
      </c>
      <c r="J34">
        <f t="shared" ca="1" si="2"/>
        <v>1.9417501053310627E-2</v>
      </c>
      <c r="K34">
        <f>100</f>
        <v>100</v>
      </c>
      <c r="L34">
        <f t="shared" si="3"/>
        <v>1.9892076157175609</v>
      </c>
      <c r="M34">
        <f t="shared" ca="1" si="8"/>
        <v>1.9417501053310628E-3</v>
      </c>
      <c r="N34">
        <f t="shared" ca="1" si="4"/>
        <v>1.9872658656122297</v>
      </c>
      <c r="O34">
        <f t="shared" ca="1" si="5"/>
        <v>-5.549751029595882E-2</v>
      </c>
      <c r="P34" s="3">
        <f t="shared" ref="P34:P97" ca="1" si="11">NORMINV(RAND(), 0, $C$34)</f>
        <v>-4.550038170152231E-3</v>
      </c>
      <c r="Q34" s="3">
        <f t="shared" ca="1" si="9"/>
        <v>-1.8821837584850631E-2</v>
      </c>
      <c r="R34" s="3">
        <f t="shared" ca="1" si="10"/>
        <v>0.98135418710082489</v>
      </c>
      <c r="S34" s="3"/>
    </row>
    <row r="35" spans="1:19" ht="14.1" customHeight="1" x14ac:dyDescent="0.25">
      <c r="A35" s="2"/>
      <c r="B35" s="2"/>
      <c r="C35" s="2"/>
      <c r="E35">
        <v>32</v>
      </c>
      <c r="F35">
        <f t="shared" ca="1" si="6"/>
        <v>0.9369614668466989</v>
      </c>
      <c r="G35">
        <f t="shared" ca="1" si="7"/>
        <v>2001.1361843120521</v>
      </c>
      <c r="H35">
        <f t="shared" ref="H35:H66" ca="1" si="12">Beta0_0 -Beta1*(L35-M35)</f>
        <v>2000.7878644687273</v>
      </c>
      <c r="I35">
        <f t="shared" ref="I35:I66" ca="1" si="13">ypot_0*R35</f>
        <v>1936.2024771317767</v>
      </c>
      <c r="J35">
        <f t="shared" ref="J35:J66" ca="1" si="14">LN(G35/I35)</f>
        <v>3.2986542731645821E-2</v>
      </c>
      <c r="K35">
        <f>100</f>
        <v>100</v>
      </c>
      <c r="L35">
        <f t="shared" ref="L35:L66" ca="1" si="15">-1/Theta*(m_0-F35-Psi*G35)</f>
        <v>1.9875413648986182</v>
      </c>
      <c r="M35">
        <f t="shared" ca="1" si="8"/>
        <v>3.2986542731645824E-3</v>
      </c>
      <c r="N35">
        <f t="shared" ref="N35:N66" ca="1" si="16">L35-M35</f>
        <v>1.9842427106254537</v>
      </c>
      <c r="O35">
        <f t="shared" ref="O35:O66" ca="1" si="17">Ni*(H35-G35)</f>
        <v>-3.4831984332481629E-2</v>
      </c>
      <c r="P35" s="3">
        <f t="shared" ca="1" si="11"/>
        <v>-1.5478958052515972E-2</v>
      </c>
      <c r="Q35" s="3">
        <f t="shared" ca="1" si="9"/>
        <v>-3.2418611878881537E-2</v>
      </c>
      <c r="R35" s="3">
        <f t="shared" ca="1" si="10"/>
        <v>0.96810123856588837</v>
      </c>
      <c r="S35" s="3"/>
    </row>
    <row r="36" spans="1:19" ht="14.1" customHeight="1" x14ac:dyDescent="0.25">
      <c r="A36" s="2"/>
      <c r="B36" s="2"/>
      <c r="C36" s="2"/>
      <c r="E36">
        <v>33</v>
      </c>
      <c r="F36">
        <f t="shared" ref="F36:F67" ca="1" si="18">F35+M35</f>
        <v>0.94026012111986346</v>
      </c>
      <c r="G36">
        <f t="shared" ref="G36:G67" ca="1" si="19">G35+O35</f>
        <v>2001.1013523277197</v>
      </c>
      <c r="H36">
        <f t="shared" ca="1" si="12"/>
        <v>2000.3588188495332</v>
      </c>
      <c r="I36">
        <f t="shared" ca="1" si="13"/>
        <v>2044.9619544350539</v>
      </c>
      <c r="J36">
        <f t="shared" ca="1" si="14"/>
        <v>-2.1681479976140679E-2</v>
      </c>
      <c r="K36">
        <f>100</f>
        <v>100</v>
      </c>
      <c r="L36">
        <f t="shared" ca="1" si="15"/>
        <v>1.9906554750117209</v>
      </c>
      <c r="M36">
        <f t="shared" ref="M36:M67" ca="1" si="20">Mi*LN(G36/(I36))</f>
        <v>-2.1681479976140678E-3</v>
      </c>
      <c r="N36">
        <f t="shared" ca="1" si="16"/>
        <v>1.992823623009335</v>
      </c>
      <c r="O36">
        <f t="shared" ca="1" si="17"/>
        <v>-7.4253347818648771E-2</v>
      </c>
      <c r="P36" s="3">
        <f t="shared" ca="1" si="11"/>
        <v>5.140875526451532E-2</v>
      </c>
      <c r="Q36" s="3">
        <f t="shared" ca="1" si="9"/>
        <v>2.2232004573521934E-2</v>
      </c>
      <c r="R36" s="3">
        <f t="shared" ca="1" si="10"/>
        <v>1.022480977217527</v>
      </c>
      <c r="S36" s="3"/>
    </row>
    <row r="37" spans="1:19" ht="14.1" customHeight="1" x14ac:dyDescent="0.25">
      <c r="C37" s="4" t="s">
        <v>1</v>
      </c>
      <c r="E37">
        <v>34</v>
      </c>
      <c r="F37">
        <f t="shared" ca="1" si="18"/>
        <v>0.93809197312224935</v>
      </c>
      <c r="G37">
        <f t="shared" ca="1" si="19"/>
        <v>2001.027098979901</v>
      </c>
      <c r="H37">
        <f t="shared" ca="1" si="12"/>
        <v>2000.9644198034423</v>
      </c>
      <c r="I37">
        <f t="shared" ca="1" si="13"/>
        <v>2037.7335700983647</v>
      </c>
      <c r="J37">
        <f t="shared" ca="1" si="14"/>
        <v>-1.8177596965332322E-2</v>
      </c>
      <c r="K37">
        <f>100</f>
        <v>100</v>
      </c>
      <c r="L37">
        <f t="shared" ca="1" si="15"/>
        <v>1.9788938442346193</v>
      </c>
      <c r="M37">
        <f t="shared" ca="1" si="20"/>
        <v>-1.8177596965332323E-3</v>
      </c>
      <c r="N37">
        <f t="shared" ca="1" si="16"/>
        <v>1.9807116039311525</v>
      </c>
      <c r="O37">
        <f t="shared" ca="1" si="17"/>
        <v>-6.2679176458686932E-3</v>
      </c>
      <c r="P37" s="3">
        <f t="shared" ca="1" si="11"/>
        <v>-1.3177894822968413E-3</v>
      </c>
      <c r="Q37" s="3">
        <f t="shared" ca="1" si="9"/>
        <v>1.8691014633872901E-2</v>
      </c>
      <c r="R37" s="3">
        <f t="shared" ca="1" si="10"/>
        <v>1.0188667850491824</v>
      </c>
      <c r="S37" s="3"/>
    </row>
    <row r="38" spans="1:19" ht="14.1" customHeight="1" x14ac:dyDescent="0.25">
      <c r="E38">
        <v>35</v>
      </c>
      <c r="F38">
        <f t="shared" ca="1" si="18"/>
        <v>0.93627421342571615</v>
      </c>
      <c r="G38">
        <f t="shared" ca="1" si="19"/>
        <v>2001.0208310622552</v>
      </c>
      <c r="H38">
        <f t="shared" ca="1" si="12"/>
        <v>2001.3934582646211</v>
      </c>
      <c r="I38">
        <f t="shared" ca="1" si="13"/>
        <v>1951.6018212727547</v>
      </c>
      <c r="J38">
        <f t="shared" ca="1" si="14"/>
        <v>2.5006983693955549E-2</v>
      </c>
      <c r="K38">
        <f>100</f>
        <v>100</v>
      </c>
      <c r="L38">
        <f t="shared" ca="1" si="15"/>
        <v>1.9746315330769733</v>
      </c>
      <c r="M38">
        <f t="shared" ca="1" si="20"/>
        <v>2.5006983693955549E-3</v>
      </c>
      <c r="N38">
        <f t="shared" ca="1" si="16"/>
        <v>1.9721308347075777</v>
      </c>
      <c r="O38">
        <f t="shared" ca="1" si="17"/>
        <v>3.7262720236594764E-2</v>
      </c>
      <c r="P38" s="3">
        <f t="shared" ca="1" si="11"/>
        <v>-4.1318611551012518E-2</v>
      </c>
      <c r="Q38" s="3">
        <f t="shared" ca="1" si="9"/>
        <v>-2.4496698380526906E-2</v>
      </c>
      <c r="R38" s="3">
        <f t="shared" ca="1" si="10"/>
        <v>0.97580091063637731</v>
      </c>
      <c r="S38" s="3"/>
    </row>
    <row r="39" spans="1:19" ht="14.1" customHeight="1" x14ac:dyDescent="0.25">
      <c r="E39">
        <v>36</v>
      </c>
      <c r="F39">
        <f t="shared" ca="1" si="18"/>
        <v>0.93877491179511174</v>
      </c>
      <c r="G39">
        <f t="shared" ca="1" si="19"/>
        <v>2001.0580937824918</v>
      </c>
      <c r="H39">
        <f t="shared" ca="1" si="12"/>
        <v>2001.0453181185701</v>
      </c>
      <c r="I39">
        <f t="shared" ca="1" si="13"/>
        <v>1917.4965316055918</v>
      </c>
      <c r="J39">
        <f t="shared" ca="1" si="14"/>
        <v>4.2655642108228253E-2</v>
      </c>
      <c r="K39">
        <f>100</f>
        <v>100</v>
      </c>
      <c r="L39">
        <f t="shared" ca="1" si="15"/>
        <v>1.9833592018394199</v>
      </c>
      <c r="M39">
        <f t="shared" ca="1" si="20"/>
        <v>4.2655642108228257E-3</v>
      </c>
      <c r="N39">
        <f t="shared" ca="1" si="16"/>
        <v>1.979093637628597</v>
      </c>
      <c r="O39">
        <f t="shared" ca="1" si="17"/>
        <v>-1.2775663921729575E-3</v>
      </c>
      <c r="P39" s="3">
        <f t="shared" ca="1" si="11"/>
        <v>-2.0079706570475843E-2</v>
      </c>
      <c r="Q39" s="3">
        <f t="shared" ca="1" si="9"/>
        <v>-4.2126735112950058E-2</v>
      </c>
      <c r="R39" s="3">
        <f t="shared" ca="1" si="10"/>
        <v>0.95874826580279593</v>
      </c>
      <c r="S39" s="3"/>
    </row>
    <row r="40" spans="1:19" ht="15" customHeight="1" x14ac:dyDescent="0.25">
      <c r="E40">
        <v>37</v>
      </c>
      <c r="F40">
        <f t="shared" ca="1" si="18"/>
        <v>0.94304047600593455</v>
      </c>
      <c r="G40">
        <f t="shared" ca="1" si="19"/>
        <v>2001.0568162160996</v>
      </c>
      <c r="H40">
        <f t="shared" ca="1" si="12"/>
        <v>2000.7700651402799</v>
      </c>
      <c r="I40">
        <f t="shared" ca="1" si="13"/>
        <v>1862.7179505138306</v>
      </c>
      <c r="J40">
        <f t="shared" ca="1" si="14"/>
        <v>7.1638764274257291E-2</v>
      </c>
      <c r="K40">
        <f>100</f>
        <v>100</v>
      </c>
      <c r="L40">
        <f t="shared" ca="1" si="15"/>
        <v>1.991762573621827</v>
      </c>
      <c r="M40">
        <f t="shared" ca="1" si="20"/>
        <v>7.1638764274257298E-3</v>
      </c>
      <c r="N40">
        <f t="shared" ca="1" si="16"/>
        <v>1.9845986971944012</v>
      </c>
      <c r="O40">
        <f t="shared" ca="1" si="17"/>
        <v>-2.8675107581966588E-2</v>
      </c>
      <c r="P40" s="3">
        <f t="shared" ca="1" si="11"/>
        <v>-3.3196434122956517E-2</v>
      </c>
      <c r="Q40" s="3">
        <f t="shared" ca="1" si="9"/>
        <v>-7.1110495724611561E-2</v>
      </c>
      <c r="R40" s="3">
        <f t="shared" ca="1" si="10"/>
        <v>0.93135897525691524</v>
      </c>
    </row>
    <row r="41" spans="1:19" ht="15" customHeight="1" x14ac:dyDescent="0.25">
      <c r="E41">
        <v>38</v>
      </c>
      <c r="F41">
        <f t="shared" ca="1" si="18"/>
        <v>0.95020435243336032</v>
      </c>
      <c r="G41">
        <f t="shared" ca="1" si="19"/>
        <v>2001.0281411085177</v>
      </c>
      <c r="H41">
        <f t="shared" ca="1" si="12"/>
        <v>2000.0467896470059</v>
      </c>
      <c r="I41">
        <f t="shared" ca="1" si="13"/>
        <v>1919.5197651551584</v>
      </c>
      <c r="J41">
        <f t="shared" ca="1" si="14"/>
        <v>4.1586086586338181E-2</v>
      </c>
      <c r="K41">
        <f>100</f>
        <v>100</v>
      </c>
      <c r="L41">
        <f t="shared" ca="1" si="15"/>
        <v>2.0032228157185159</v>
      </c>
      <c r="M41">
        <f t="shared" ca="1" si="20"/>
        <v>4.1586086586338179E-3</v>
      </c>
      <c r="N41">
        <f t="shared" ca="1" si="16"/>
        <v>1.9990642070598821</v>
      </c>
      <c r="O41">
        <f t="shared" ca="1" si="17"/>
        <v>-9.8135146151184932E-2</v>
      </c>
      <c r="P41" s="3">
        <f t="shared" ca="1" si="11"/>
        <v>2.2927298031070527E-2</v>
      </c>
      <c r="Q41" s="3">
        <f t="shared" ca="1" si="9"/>
        <v>-4.1072148121079878E-2</v>
      </c>
      <c r="R41" s="3">
        <f t="shared" ca="1" si="10"/>
        <v>0.95975988257757927</v>
      </c>
    </row>
    <row r="42" spans="1:19" ht="15" customHeight="1" x14ac:dyDescent="0.25">
      <c r="E42">
        <v>39</v>
      </c>
      <c r="F42">
        <f t="shared" ca="1" si="18"/>
        <v>0.95436296109199414</v>
      </c>
      <c r="G42">
        <f t="shared" ca="1" si="19"/>
        <v>2000.9300059623665</v>
      </c>
      <c r="H42">
        <f t="shared" ca="1" si="12"/>
        <v>1999.7921648572783</v>
      </c>
      <c r="I42">
        <f t="shared" ca="1" si="13"/>
        <v>2050.1519652614379</v>
      </c>
      <c r="J42">
        <f t="shared" ca="1" si="14"/>
        <v>-2.4301844337946098E-2</v>
      </c>
      <c r="K42">
        <f>100</f>
        <v>100</v>
      </c>
      <c r="L42">
        <f t="shared" ca="1" si="15"/>
        <v>2.0017265184206394</v>
      </c>
      <c r="M42">
        <f t="shared" ca="1" si="20"/>
        <v>-2.4301844337946098E-3</v>
      </c>
      <c r="N42">
        <f t="shared" ca="1" si="16"/>
        <v>2.0041567028544338</v>
      </c>
      <c r="O42">
        <f t="shared" ca="1" si="17"/>
        <v>-0.11378411050882278</v>
      </c>
      <c r="P42" s="3">
        <f t="shared" ca="1" si="11"/>
        <v>6.173167254771892E-2</v>
      </c>
      <c r="Q42" s="3">
        <f t="shared" ca="1" si="9"/>
        <v>2.4766739238747032E-2</v>
      </c>
      <c r="R42" s="3">
        <f t="shared" ca="1" si="10"/>
        <v>1.025075982630719</v>
      </c>
    </row>
    <row r="43" spans="1:19" ht="15" customHeight="1" x14ac:dyDescent="0.25">
      <c r="E43">
        <v>40</v>
      </c>
      <c r="F43">
        <f t="shared" ca="1" si="18"/>
        <v>0.95193277665819953</v>
      </c>
      <c r="G43">
        <f t="shared" ca="1" si="19"/>
        <v>2000.8162218518578</v>
      </c>
      <c r="H43">
        <f t="shared" ca="1" si="12"/>
        <v>2000.5133129763653</v>
      </c>
      <c r="I43">
        <f t="shared" ca="1" si="13"/>
        <v>2087.6003071889595</v>
      </c>
      <c r="J43">
        <f t="shared" ca="1" si="14"/>
        <v>-4.2460019705188146E-2</v>
      </c>
      <c r="K43">
        <f>100</f>
        <v>100</v>
      </c>
      <c r="L43">
        <f t="shared" ca="1" si="15"/>
        <v>1.9854877385021723</v>
      </c>
      <c r="M43">
        <f t="shared" ca="1" si="20"/>
        <v>-4.2460019705188147E-3</v>
      </c>
      <c r="N43">
        <f t="shared" ca="1" si="16"/>
        <v>1.9897337404726911</v>
      </c>
      <c r="O43">
        <f t="shared" ca="1" si="17"/>
        <v>-3.0290887549244874E-2</v>
      </c>
      <c r="P43" s="3">
        <f t="shared" ca="1" si="11"/>
        <v>2.0577982061631254E-2</v>
      </c>
      <c r="Q43" s="3">
        <f t="shared" ca="1" si="9"/>
        <v>4.2868047376503585E-2</v>
      </c>
      <c r="R43" s="3">
        <f t="shared" ca="1" si="10"/>
        <v>1.0438001535944796</v>
      </c>
    </row>
    <row r="44" spans="1:19" ht="15" customHeight="1" x14ac:dyDescent="0.25">
      <c r="E44">
        <v>41</v>
      </c>
      <c r="F44">
        <f t="shared" ca="1" si="18"/>
        <v>0.9476867746876807</v>
      </c>
      <c r="G44">
        <f t="shared" ca="1" si="19"/>
        <v>2000.7859309643086</v>
      </c>
      <c r="H44">
        <f t="shared" ca="1" si="12"/>
        <v>2001.2458298199801</v>
      </c>
      <c r="I44">
        <f t="shared" ca="1" si="13"/>
        <v>2023.2550933347566</v>
      </c>
      <c r="J44">
        <f t="shared" ca="1" si="14"/>
        <v>-1.1167577941692866E-2</v>
      </c>
      <c r="K44">
        <f>100</f>
        <v>100</v>
      </c>
      <c r="L44">
        <f t="shared" ca="1" si="15"/>
        <v>1.9739666458062288</v>
      </c>
      <c r="M44">
        <f t="shared" ca="1" si="20"/>
        <v>-1.1167577941692867E-3</v>
      </c>
      <c r="N44">
        <f t="shared" ca="1" si="16"/>
        <v>1.9750834036003981</v>
      </c>
      <c r="O44">
        <f t="shared" ca="1" si="17"/>
        <v>4.59898855671554E-2</v>
      </c>
      <c r="P44" s="3">
        <f t="shared" ca="1" si="11"/>
        <v>-2.7020776405719617E-2</v>
      </c>
      <c r="Q44" s="3">
        <f t="shared" ca="1" si="9"/>
        <v>1.1560466233133612E-2</v>
      </c>
      <c r="R44" s="3">
        <f t="shared" ca="1" si="10"/>
        <v>1.0116275466673783</v>
      </c>
    </row>
    <row r="45" spans="1:19" ht="15" customHeight="1" x14ac:dyDescent="0.25">
      <c r="E45">
        <v>42</v>
      </c>
      <c r="F45">
        <f t="shared" ca="1" si="18"/>
        <v>0.94657001689351139</v>
      </c>
      <c r="G45">
        <f t="shared" ca="1" si="19"/>
        <v>2000.8319208498758</v>
      </c>
      <c r="H45">
        <f t="shared" ca="1" si="12"/>
        <v>2000.9539757062764</v>
      </c>
      <c r="I45">
        <f t="shared" ca="1" si="13"/>
        <v>2094.7762075488472</v>
      </c>
      <c r="J45">
        <f t="shared" ca="1" si="14"/>
        <v>-4.5883670998490007E-2</v>
      </c>
      <c r="K45">
        <f>100</f>
        <v>100</v>
      </c>
      <c r="L45">
        <f t="shared" ca="1" si="15"/>
        <v>1.9763321187746214</v>
      </c>
      <c r="M45">
        <f t="shared" ca="1" si="20"/>
        <v>-4.5883670998490009E-3</v>
      </c>
      <c r="N45">
        <f t="shared" ca="1" si="16"/>
        <v>1.9809204858744704</v>
      </c>
      <c r="O45">
        <f t="shared" ca="1" si="17"/>
        <v>1.2205485640060944E-2</v>
      </c>
      <c r="P45" s="3">
        <f t="shared" ca="1" si="11"/>
        <v>3.5895125326052824E-2</v>
      </c>
      <c r="Q45" s="3">
        <f t="shared" ca="1" si="9"/>
        <v>4.6299544935873072E-2</v>
      </c>
      <c r="R45" s="3">
        <f t="shared" ca="1" si="10"/>
        <v>1.0473881037744235</v>
      </c>
    </row>
    <row r="46" spans="1:19" ht="15" customHeight="1" x14ac:dyDescent="0.25">
      <c r="E46">
        <v>43</v>
      </c>
      <c r="F46">
        <f t="shared" ca="1" si="18"/>
        <v>0.94198164979366239</v>
      </c>
      <c r="G46">
        <f t="shared" ca="1" si="19"/>
        <v>2000.844126335516</v>
      </c>
      <c r="H46">
        <f t="shared" ca="1" si="12"/>
        <v>2001.6031415285977</v>
      </c>
      <c r="I46">
        <f t="shared" ca="1" si="13"/>
        <v>1992.0843797455282</v>
      </c>
      <c r="J46">
        <f t="shared" ca="1" si="14"/>
        <v>4.3876371088178929E-3</v>
      </c>
      <c r="K46">
        <f>100</f>
        <v>100</v>
      </c>
      <c r="L46">
        <f t="shared" ca="1" si="15"/>
        <v>1.9683759331389297</v>
      </c>
      <c r="M46">
        <f t="shared" ca="1" si="20"/>
        <v>4.3876371088178931E-4</v>
      </c>
      <c r="N46">
        <f t="shared" ca="1" si="16"/>
        <v>1.9679371694280479</v>
      </c>
      <c r="O46">
        <f t="shared" ca="1" si="17"/>
        <v>7.5901519308172294E-2</v>
      </c>
      <c r="P46" s="3">
        <f t="shared" ca="1" si="11"/>
        <v>-4.5635253426950698E-2</v>
      </c>
      <c r="Q46" s="3">
        <f t="shared" ca="1" si="9"/>
        <v>-3.9656629846649347E-3</v>
      </c>
      <c r="R46" s="3">
        <f t="shared" ca="1" si="10"/>
        <v>0.99604218987276405</v>
      </c>
    </row>
    <row r="47" spans="1:19" ht="15" customHeight="1" x14ac:dyDescent="0.25">
      <c r="E47">
        <v>44</v>
      </c>
      <c r="F47">
        <f t="shared" ca="1" si="18"/>
        <v>0.9424204135045442</v>
      </c>
      <c r="G47">
        <f t="shared" ca="1" si="19"/>
        <v>2000.9200278548242</v>
      </c>
      <c r="H47">
        <f t="shared" ca="1" si="12"/>
        <v>2001.252978308502</v>
      </c>
      <c r="I47">
        <f t="shared" ca="1" si="13"/>
        <v>1963.199032384385</v>
      </c>
      <c r="J47">
        <f t="shared" ca="1" si="14"/>
        <v>1.9031786615738743E-2</v>
      </c>
      <c r="K47">
        <f>100</f>
        <v>100</v>
      </c>
      <c r="L47">
        <f t="shared" ca="1" si="15"/>
        <v>1.9768436124915354</v>
      </c>
      <c r="M47">
        <f t="shared" ca="1" si="20"/>
        <v>1.9031786615738744E-3</v>
      </c>
      <c r="N47">
        <f t="shared" ca="1" si="16"/>
        <v>1.9749404338299614</v>
      </c>
      <c r="O47">
        <f t="shared" ca="1" si="17"/>
        <v>3.329504536777677E-2</v>
      </c>
      <c r="P47" s="3">
        <f t="shared" ca="1" si="11"/>
        <v>-1.5002781776097913E-2</v>
      </c>
      <c r="Q47" s="3">
        <f t="shared" ca="1" si="9"/>
        <v>-1.8571878462296354E-2</v>
      </c>
      <c r="R47" s="3">
        <f t="shared" ca="1" si="10"/>
        <v>0.98159951619219243</v>
      </c>
    </row>
    <row r="48" spans="1:19" ht="15" customHeight="1" x14ac:dyDescent="0.25">
      <c r="E48">
        <v>45</v>
      </c>
      <c r="F48">
        <f t="shared" ca="1" si="18"/>
        <v>0.94432359216611805</v>
      </c>
      <c r="G48">
        <f t="shared" ca="1" si="19"/>
        <v>2000.953322900192</v>
      </c>
      <c r="H48">
        <f t="shared" ca="1" si="12"/>
        <v>2000.9344961424104</v>
      </c>
      <c r="I48">
        <f t="shared" ca="1" si="13"/>
        <v>1948.2465373884386</v>
      </c>
      <c r="J48">
        <f t="shared" ca="1" si="14"/>
        <v>2.6693971996349094E-2</v>
      </c>
      <c r="K48">
        <f>100</f>
        <v>100</v>
      </c>
      <c r="L48">
        <f t="shared" ca="1" si="15"/>
        <v>1.983979474351429</v>
      </c>
      <c r="M48">
        <f t="shared" ca="1" si="20"/>
        <v>2.6693971996349097E-3</v>
      </c>
      <c r="N48">
        <f t="shared" ca="1" si="16"/>
        <v>1.981310077151794</v>
      </c>
      <c r="O48">
        <f t="shared" ca="1" si="17"/>
        <v>-1.8826757781653216E-3</v>
      </c>
      <c r="P48" s="3">
        <f t="shared" ca="1" si="11"/>
        <v>-9.502733497168089E-3</v>
      </c>
      <c r="Q48" s="3">
        <f t="shared" ca="1" si="9"/>
        <v>-2.6217424113234807E-2</v>
      </c>
      <c r="R48" s="3">
        <f t="shared" ca="1" si="10"/>
        <v>0.97412326869421928</v>
      </c>
    </row>
    <row r="49" spans="5:18" ht="15" customHeight="1" x14ac:dyDescent="0.25">
      <c r="E49">
        <v>46</v>
      </c>
      <c r="F49">
        <f t="shared" ca="1" si="18"/>
        <v>0.94699298936575294</v>
      </c>
      <c r="G49">
        <f t="shared" ca="1" si="19"/>
        <v>2000.9514402244138</v>
      </c>
      <c r="H49">
        <f t="shared" ca="1" si="12"/>
        <v>2000.4454258732981</v>
      </c>
      <c r="I49">
        <f t="shared" ca="1" si="13"/>
        <v>2040.5871828389581</v>
      </c>
      <c r="J49">
        <f t="shared" ca="1" si="14"/>
        <v>-1.9614813611423795E-2</v>
      </c>
      <c r="K49">
        <f>100</f>
        <v>100</v>
      </c>
      <c r="L49">
        <f t="shared" ca="1" si="15"/>
        <v>1.9891300011728958</v>
      </c>
      <c r="M49">
        <f t="shared" ca="1" si="20"/>
        <v>-1.9614813611423796E-3</v>
      </c>
      <c r="N49">
        <f t="shared" ca="1" si="16"/>
        <v>1.9910914825340382</v>
      </c>
      <c r="O49">
        <f t="shared" ca="1" si="17"/>
        <v>-5.060143511157094E-2</v>
      </c>
      <c r="P49" s="3">
        <f t="shared" ca="1" si="11"/>
        <v>4.3686102306603289E-2</v>
      </c>
      <c r="Q49" s="3">
        <f t="shared" ca="1" si="9"/>
        <v>2.0090420604691961E-2</v>
      </c>
      <c r="R49" s="3">
        <f t="shared" ca="1" si="10"/>
        <v>1.0202935914194791</v>
      </c>
    </row>
    <row r="50" spans="5:18" ht="15" customHeight="1" x14ac:dyDescent="0.25">
      <c r="E50">
        <v>47</v>
      </c>
      <c r="F50">
        <f t="shared" ca="1" si="18"/>
        <v>0.94503150800461055</v>
      </c>
      <c r="G50">
        <f t="shared" ca="1" si="19"/>
        <v>2000.9008387893023</v>
      </c>
      <c r="H50">
        <f t="shared" ca="1" si="12"/>
        <v>2001.2928886139387</v>
      </c>
      <c r="I50">
        <f t="shared" ca="1" si="13"/>
        <v>1884.2894992355007</v>
      </c>
      <c r="J50">
        <f t="shared" ca="1" si="14"/>
        <v>6.0046672182260417E-2</v>
      </c>
      <c r="K50">
        <f>100</f>
        <v>100</v>
      </c>
      <c r="L50">
        <f t="shared" ca="1" si="15"/>
        <v>1.9801468949394518</v>
      </c>
      <c r="M50">
        <f t="shared" ca="1" si="20"/>
        <v>6.0046672182260423E-3</v>
      </c>
      <c r="N50">
        <f t="shared" ca="1" si="16"/>
        <v>1.9741422277212257</v>
      </c>
      <c r="O50">
        <f t="shared" ca="1" si="17"/>
        <v>3.9204982463638773E-2</v>
      </c>
      <c r="P50" s="3">
        <f t="shared" ca="1" si="11"/>
        <v>-7.7677732740197888E-2</v>
      </c>
      <c r="Q50" s="3">
        <f t="shared" ca="1" si="9"/>
        <v>-5.9596354195975122E-2</v>
      </c>
      <c r="R50" s="3">
        <f t="shared" ca="1" si="10"/>
        <v>0.9421447496177503</v>
      </c>
    </row>
    <row r="51" spans="5:18" ht="15" customHeight="1" x14ac:dyDescent="0.25">
      <c r="E51">
        <v>48</v>
      </c>
      <c r="F51">
        <f t="shared" ca="1" si="18"/>
        <v>0.95103617522283657</v>
      </c>
      <c r="G51">
        <f t="shared" ca="1" si="19"/>
        <v>2000.9400437717659</v>
      </c>
      <c r="H51">
        <f t="shared" ca="1" si="12"/>
        <v>2000.6446539447388</v>
      </c>
      <c r="I51">
        <f t="shared" ca="1" si="13"/>
        <v>1829.2737439429618</v>
      </c>
      <c r="J51">
        <f t="shared" ca="1" si="14"/>
        <v>8.9698065170427069E-2</v>
      </c>
      <c r="K51">
        <f>100</f>
        <v>100</v>
      </c>
      <c r="L51">
        <f t="shared" ca="1" si="15"/>
        <v>1.9960767276222668</v>
      </c>
      <c r="M51">
        <f t="shared" ca="1" si="20"/>
        <v>8.9698065170427076E-3</v>
      </c>
      <c r="N51">
        <f t="shared" ca="1" si="16"/>
        <v>1.9871069211052241</v>
      </c>
      <c r="O51">
        <f t="shared" ca="1" si="17"/>
        <v>-2.9538982702706565E-2</v>
      </c>
      <c r="P51" s="3">
        <f t="shared" ca="1" si="11"/>
        <v>-3.5591434933852903E-2</v>
      </c>
      <c r="Q51" s="3">
        <f t="shared" ca="1" si="9"/>
        <v>-8.9228153710230518E-2</v>
      </c>
      <c r="R51" s="3">
        <f t="shared" ca="1" si="10"/>
        <v>0.91463687197148091</v>
      </c>
    </row>
    <row r="52" spans="5:18" ht="15" customHeight="1" x14ac:dyDescent="0.25">
      <c r="E52">
        <v>49</v>
      </c>
      <c r="F52">
        <f t="shared" ca="1" si="18"/>
        <v>0.96000598173987928</v>
      </c>
      <c r="G52">
        <f t="shared" ca="1" si="19"/>
        <v>2000.9105047890632</v>
      </c>
      <c r="H52">
        <f t="shared" ca="1" si="12"/>
        <v>1999.4300958613726</v>
      </c>
      <c r="I52">
        <f t="shared" ca="1" si="13"/>
        <v>2007.637651735389</v>
      </c>
      <c r="J52">
        <f t="shared" ca="1" si="14"/>
        <v>-3.3564038644440116E-3</v>
      </c>
      <c r="K52">
        <f>100</f>
        <v>100</v>
      </c>
      <c r="L52">
        <f t="shared" ca="1" si="15"/>
        <v>2.0110624423861054</v>
      </c>
      <c r="M52">
        <f t="shared" ca="1" si="20"/>
        <v>-3.3564038644440117E-4</v>
      </c>
      <c r="N52">
        <f t="shared" ca="1" si="16"/>
        <v>2.0113980827725499</v>
      </c>
      <c r="O52">
        <f t="shared" ca="1" si="17"/>
        <v>-0.14804089276906326</v>
      </c>
      <c r="P52" s="3">
        <f t="shared" ca="1" si="11"/>
        <v>8.4116891002252198E-2</v>
      </c>
      <c r="Q52" s="3">
        <f t="shared" ca="1" si="9"/>
        <v>3.8115526630447261E-3</v>
      </c>
      <c r="R52" s="3">
        <f t="shared" ca="1" si="10"/>
        <v>1.0038188258676946</v>
      </c>
    </row>
    <row r="53" spans="5:18" ht="15" customHeight="1" x14ac:dyDescent="0.25">
      <c r="E53">
        <v>50</v>
      </c>
      <c r="F53">
        <f t="shared" ca="1" si="18"/>
        <v>0.95967034135343487</v>
      </c>
      <c r="G53">
        <f t="shared" ca="1" si="19"/>
        <v>2000.7624638962941</v>
      </c>
      <c r="H53">
        <f t="shared" ca="1" si="12"/>
        <v>2000.527201501832</v>
      </c>
      <c r="I53">
        <f t="shared" ca="1" si="13"/>
        <v>1881.778454525386</v>
      </c>
      <c r="J53">
        <f t="shared" ca="1" si="14"/>
        <v>6.131102372932274E-2</v>
      </c>
      <c r="K53">
        <f>100</f>
        <v>100</v>
      </c>
      <c r="L53">
        <f t="shared" ca="1" si="15"/>
        <v>1.9955870723362921</v>
      </c>
      <c r="M53">
        <f t="shared" ca="1" si="20"/>
        <v>6.1311023729322747E-3</v>
      </c>
      <c r="N53">
        <f t="shared" ca="1" si="16"/>
        <v>1.9894559699633598</v>
      </c>
      <c r="O53">
        <f t="shared" ca="1" si="17"/>
        <v>-2.352623944620973E-2</v>
      </c>
      <c r="P53" s="3">
        <f t="shared" ca="1" si="11"/>
        <v>-6.4360261828351126E-2</v>
      </c>
      <c r="Q53" s="3">
        <f t="shared" ca="1" si="9"/>
        <v>-6.0929864431610872E-2</v>
      </c>
      <c r="R53" s="3">
        <f t="shared" ca="1" si="10"/>
        <v>0.94088922726269297</v>
      </c>
    </row>
    <row r="54" spans="5:18" ht="15" customHeight="1" x14ac:dyDescent="0.25">
      <c r="E54">
        <v>51</v>
      </c>
      <c r="F54">
        <f t="shared" ca="1" si="18"/>
        <v>0.96580144372636711</v>
      </c>
      <c r="G54">
        <f t="shared" ca="1" si="19"/>
        <v>2000.7389376568478</v>
      </c>
      <c r="H54">
        <f t="shared" ca="1" si="12"/>
        <v>1999.8178579369612</v>
      </c>
      <c r="I54">
        <f t="shared" ca="1" si="13"/>
        <v>1963.9906758373972</v>
      </c>
      <c r="J54">
        <f t="shared" ca="1" si="14"/>
        <v>1.8538118767530993E-2</v>
      </c>
      <c r="K54">
        <f>100</f>
        <v>100</v>
      </c>
      <c r="L54">
        <f t="shared" ca="1" si="15"/>
        <v>2.0054966531375271</v>
      </c>
      <c r="M54">
        <f t="shared" ca="1" si="20"/>
        <v>1.8538118767530993E-3</v>
      </c>
      <c r="N54">
        <f t="shared" ca="1" si="16"/>
        <v>2.0036428412607741</v>
      </c>
      <c r="O54">
        <f t="shared" ca="1" si="17"/>
        <v>-9.2107971988662038E-2</v>
      </c>
      <c r="P54" s="3">
        <f t="shared" ca="1" si="11"/>
        <v>3.6668159812542248E-2</v>
      </c>
      <c r="Q54" s="3">
        <f t="shared" ca="1" si="9"/>
        <v>-1.8168718175907539E-2</v>
      </c>
      <c r="R54" s="3">
        <f t="shared" ca="1" si="10"/>
        <v>0.98199533791869864</v>
      </c>
    </row>
    <row r="55" spans="5:18" ht="15" customHeight="1" x14ac:dyDescent="0.25">
      <c r="E55">
        <v>52</v>
      </c>
      <c r="F55">
        <f t="shared" ca="1" si="18"/>
        <v>0.96765525560312027</v>
      </c>
      <c r="G55">
        <f t="shared" ca="1" si="19"/>
        <v>2000.6468296848591</v>
      </c>
      <c r="H55">
        <f t="shared" ca="1" si="12"/>
        <v>2000.0965530677124</v>
      </c>
      <c r="I55">
        <f t="shared" ca="1" si="13"/>
        <v>1962.5117004137953</v>
      </c>
      <c r="J55">
        <f t="shared" ca="1" si="14"/>
        <v>1.9245410464123678E-2</v>
      </c>
      <c r="K55">
        <f>100</f>
        <v>100</v>
      </c>
      <c r="L55">
        <f t="shared" ca="1" si="15"/>
        <v>1.999993479692165</v>
      </c>
      <c r="M55">
        <f t="shared" ca="1" si="20"/>
        <v>1.924541046412368E-3</v>
      </c>
      <c r="N55">
        <f t="shared" ca="1" si="16"/>
        <v>1.9980689386457526</v>
      </c>
      <c r="O55">
        <f t="shared" ca="1" si="17"/>
        <v>-5.502766171466647E-2</v>
      </c>
      <c r="P55" s="3">
        <f t="shared" ca="1" si="11"/>
        <v>-2.5702015506840637E-3</v>
      </c>
      <c r="Q55" s="3">
        <f t="shared" ca="1" si="9"/>
        <v>-1.8922047909000851E-2</v>
      </c>
      <c r="R55" s="3">
        <f t="shared" ca="1" si="10"/>
        <v>0.98125585020689765</v>
      </c>
    </row>
    <row r="56" spans="5:18" ht="15" customHeight="1" x14ac:dyDescent="0.25">
      <c r="E56">
        <v>53</v>
      </c>
      <c r="F56">
        <f t="shared" ca="1" si="18"/>
        <v>0.96957979664953264</v>
      </c>
      <c r="G56">
        <f t="shared" ca="1" si="19"/>
        <v>2000.5918020231445</v>
      </c>
      <c r="H56">
        <f t="shared" ca="1" si="12"/>
        <v>2000.5399395814079</v>
      </c>
      <c r="I56">
        <f t="shared" ca="1" si="13"/>
        <v>1825.8710582979729</v>
      </c>
      <c r="J56">
        <f t="shared" ca="1" si="14"/>
        <v>9.1385872416625283E-2</v>
      </c>
      <c r="K56">
        <f>100</f>
        <v>100</v>
      </c>
      <c r="L56">
        <f t="shared" ca="1" si="15"/>
        <v>1.9983397956135036</v>
      </c>
      <c r="M56">
        <f t="shared" ca="1" si="20"/>
        <v>9.1385872416625286E-3</v>
      </c>
      <c r="N56">
        <f t="shared" ca="1" si="16"/>
        <v>1.9892012083718411</v>
      </c>
      <c r="O56">
        <f t="shared" ca="1" si="17"/>
        <v>-5.1862441736602706E-3</v>
      </c>
      <c r="P56" s="3">
        <f t="shared" ca="1" si="11"/>
        <v>-7.4060172057022464E-2</v>
      </c>
      <c r="Q56" s="3">
        <f t="shared" ca="1" si="9"/>
        <v>-9.1090015175123232E-2</v>
      </c>
      <c r="R56" s="3">
        <f t="shared" ca="1" si="10"/>
        <v>0.91293552914898646</v>
      </c>
    </row>
    <row r="57" spans="5:18" ht="15" customHeight="1" x14ac:dyDescent="0.25">
      <c r="E57">
        <v>54</v>
      </c>
      <c r="F57">
        <f t="shared" ca="1" si="18"/>
        <v>0.97871838389119514</v>
      </c>
      <c r="G57">
        <f t="shared" ca="1" si="19"/>
        <v>2000.5866157789708</v>
      </c>
      <c r="H57">
        <f t="shared" ca="1" si="12"/>
        <v>1999.7843747279696</v>
      </c>
      <c r="I57">
        <f t="shared" ca="1" si="13"/>
        <v>1778.1651944754467</v>
      </c>
      <c r="J57">
        <f t="shared" ca="1" si="14"/>
        <v>0.11785840238860665</v>
      </c>
      <c r="K57">
        <f>100</f>
        <v>100</v>
      </c>
      <c r="L57">
        <f t="shared" ca="1" si="15"/>
        <v>2.0160983456794668</v>
      </c>
      <c r="M57">
        <f t="shared" ca="1" si="20"/>
        <v>1.1785840238860666E-2</v>
      </c>
      <c r="N57">
        <f t="shared" ca="1" si="16"/>
        <v>2.0043125054406059</v>
      </c>
      <c r="O57">
        <f t="shared" ca="1" si="17"/>
        <v>-8.0224105100114684E-2</v>
      </c>
      <c r="P57" s="3">
        <f t="shared" ca="1" si="11"/>
        <v>-3.5584123847860284E-2</v>
      </c>
      <c r="Q57" s="3">
        <f t="shared" ca="1" si="9"/>
        <v>-0.11756513750547121</v>
      </c>
      <c r="R57" s="3">
        <f t="shared" ca="1" si="10"/>
        <v>0.88908259723772332</v>
      </c>
    </row>
    <row r="58" spans="5:18" ht="15" customHeight="1" x14ac:dyDescent="0.25">
      <c r="E58">
        <v>55</v>
      </c>
      <c r="F58">
        <f t="shared" ca="1" si="18"/>
        <v>0.99050422413005579</v>
      </c>
      <c r="G58">
        <f t="shared" ca="1" si="19"/>
        <v>2000.5063916738707</v>
      </c>
      <c r="H58">
        <f t="shared" ca="1" si="12"/>
        <v>1998.713330389028</v>
      </c>
      <c r="I58">
        <f t="shared" ca="1" si="13"/>
        <v>1885.6226979164085</v>
      </c>
      <c r="J58">
        <f t="shared" ca="1" si="14"/>
        <v>5.9142234277491476E-2</v>
      </c>
      <c r="K58">
        <f>100</f>
        <v>100</v>
      </c>
      <c r="L58">
        <f t="shared" ca="1" si="15"/>
        <v>2.0316476156471879</v>
      </c>
      <c r="M58">
        <f t="shared" ca="1" si="20"/>
        <v>5.9142234277491483E-3</v>
      </c>
      <c r="N58">
        <f t="shared" ca="1" si="16"/>
        <v>2.0257333922194389</v>
      </c>
      <c r="O58">
        <f t="shared" ca="1" si="17"/>
        <v>-0.17930612848426791</v>
      </c>
      <c r="P58" s="3">
        <f t="shared" ca="1" si="11"/>
        <v>4.6919553265711643E-2</v>
      </c>
      <c r="Q58" s="3">
        <f t="shared" ca="1" si="9"/>
        <v>-5.8889070489212443E-2</v>
      </c>
      <c r="R58" s="3">
        <f t="shared" ca="1" si="10"/>
        <v>0.94281134895820429</v>
      </c>
    </row>
    <row r="59" spans="5:18" ht="15" customHeight="1" x14ac:dyDescent="0.25">
      <c r="E59">
        <v>56</v>
      </c>
      <c r="F59">
        <f t="shared" ca="1" si="18"/>
        <v>0.99641844755780495</v>
      </c>
      <c r="G59">
        <f t="shared" ca="1" si="19"/>
        <v>2000.3270855453864</v>
      </c>
      <c r="H59">
        <f t="shared" ca="1" si="12"/>
        <v>1998.9764915759877</v>
      </c>
      <c r="I59">
        <f t="shared" ca="1" si="13"/>
        <v>1901.3380938538864</v>
      </c>
      <c r="J59">
        <f t="shared" ca="1" si="14"/>
        <v>5.0752811740131895E-2</v>
      </c>
      <c r="K59">
        <f>100</f>
        <v>100</v>
      </c>
      <c r="L59">
        <f t="shared" ca="1" si="15"/>
        <v>2.0255454496542598</v>
      </c>
      <c r="M59">
        <f t="shared" ca="1" si="20"/>
        <v>5.0752811740131902E-3</v>
      </c>
      <c r="N59">
        <f t="shared" ca="1" si="16"/>
        <v>2.0204701684802466</v>
      </c>
      <c r="O59">
        <f t="shared" ca="1" si="17"/>
        <v>-0.13505939693986876</v>
      </c>
      <c r="P59" s="3">
        <f t="shared" ca="1" si="11"/>
        <v>2.4108811011910986E-3</v>
      </c>
      <c r="Q59" s="3">
        <f t="shared" ca="1" si="9"/>
        <v>-5.0589282339100101E-2</v>
      </c>
      <c r="R59" s="3">
        <f t="shared" ca="1" si="10"/>
        <v>0.95066904692694321</v>
      </c>
    </row>
    <row r="60" spans="5:18" ht="15" customHeight="1" x14ac:dyDescent="0.25">
      <c r="E60">
        <v>57</v>
      </c>
      <c r="F60">
        <f t="shared" ca="1" si="18"/>
        <v>1.0014937287318182</v>
      </c>
      <c r="G60">
        <f t="shared" ca="1" si="19"/>
        <v>2000.1920261484465</v>
      </c>
      <c r="H60">
        <f t="shared" ca="1" si="12"/>
        <v>1999.2845004249427</v>
      </c>
      <c r="I60">
        <f t="shared" ca="1" si="13"/>
        <v>1848.6254833211738</v>
      </c>
      <c r="J60">
        <f t="shared" ca="1" si="14"/>
        <v>7.8800808071437689E-2</v>
      </c>
      <c r="K60">
        <f>100</f>
        <v>100</v>
      </c>
      <c r="L60">
        <f t="shared" ca="1" si="15"/>
        <v>2.0221900723082911</v>
      </c>
      <c r="M60">
        <f t="shared" ca="1" si="20"/>
        <v>7.8800808071437696E-3</v>
      </c>
      <c r="N60">
        <f t="shared" ca="1" si="16"/>
        <v>2.0143099915011473</v>
      </c>
      <c r="O60">
        <f t="shared" ca="1" si="17"/>
        <v>-9.0752572350379535E-2</v>
      </c>
      <c r="P60" s="3">
        <f t="shared" ca="1" si="11"/>
        <v>-3.3174445500984542E-2</v>
      </c>
      <c r="Q60" s="3">
        <f t="shared" ca="1" si="9"/>
        <v>-7.870479960617463E-2</v>
      </c>
      <c r="R60" s="3">
        <f t="shared" ca="1" si="10"/>
        <v>0.92431274166058686</v>
      </c>
    </row>
    <row r="61" spans="5:18" ht="15" customHeight="1" x14ac:dyDescent="0.25">
      <c r="E61">
        <v>58</v>
      </c>
      <c r="F61">
        <f t="shared" ca="1" si="18"/>
        <v>1.0093738095389619</v>
      </c>
      <c r="G61">
        <f t="shared" ca="1" si="19"/>
        <v>2000.1012735760962</v>
      </c>
      <c r="H61">
        <f t="shared" ca="1" si="12"/>
        <v>1998.673061718953</v>
      </c>
      <c r="I61">
        <f t="shared" ca="1" si="13"/>
        <v>1953.9162763705594</v>
      </c>
      <c r="J61">
        <f t="shared" ca="1" si="14"/>
        <v>2.3362110666057496E-2</v>
      </c>
      <c r="K61">
        <f>100</f>
        <v>100</v>
      </c>
      <c r="L61">
        <f t="shared" ca="1" si="15"/>
        <v>2.0288749766875469</v>
      </c>
      <c r="M61">
        <f t="shared" ca="1" si="20"/>
        <v>2.3362110666057495E-3</v>
      </c>
      <c r="N61">
        <f t="shared" ca="1" si="16"/>
        <v>2.0265387656209413</v>
      </c>
      <c r="O61">
        <f t="shared" ca="1" si="17"/>
        <v>-0.14282118571431965</v>
      </c>
      <c r="P61" s="3">
        <f t="shared" ca="1" si="11"/>
        <v>4.7522844485548991E-2</v>
      </c>
      <c r="Q61" s="3">
        <f t="shared" ca="1" si="9"/>
        <v>-2.3311475160008178E-2</v>
      </c>
      <c r="R61" s="3">
        <f t="shared" ca="1" si="10"/>
        <v>0.97695813818527977</v>
      </c>
    </row>
    <row r="62" spans="5:18" ht="15" customHeight="1" x14ac:dyDescent="0.25">
      <c r="E62">
        <v>59</v>
      </c>
      <c r="F62">
        <f t="shared" ca="1" si="18"/>
        <v>1.0117100206055676</v>
      </c>
      <c r="G62">
        <f t="shared" ca="1" si="19"/>
        <v>1999.9584523903818</v>
      </c>
      <c r="H62">
        <f t="shared" ca="1" si="12"/>
        <v>1998.5394508535871</v>
      </c>
      <c r="I62">
        <f t="shared" ca="1" si="13"/>
        <v>2209.0961132303432</v>
      </c>
      <c r="J62">
        <f t="shared" ca="1" si="14"/>
        <v>-9.9457026789282588E-2</v>
      </c>
      <c r="K62">
        <f>100</f>
        <v>100</v>
      </c>
      <c r="L62">
        <f t="shared" ca="1" si="15"/>
        <v>2.0192652802493285</v>
      </c>
      <c r="M62">
        <f t="shared" ca="1" si="20"/>
        <v>-9.9457026789282598E-3</v>
      </c>
      <c r="N62">
        <f t="shared" ca="1" si="16"/>
        <v>2.029210982928257</v>
      </c>
      <c r="O62">
        <f t="shared" ca="1" si="17"/>
        <v>-0.14190015367946671</v>
      </c>
      <c r="P62" s="3">
        <f t="shared" ca="1" si="11"/>
        <v>0.12041658041270231</v>
      </c>
      <c r="Q62" s="3">
        <f t="shared" ca="1" si="9"/>
        <v>9.9436252768694944E-2</v>
      </c>
      <c r="R62" s="3">
        <f t="shared" ca="1" si="10"/>
        <v>1.1045480566151715</v>
      </c>
    </row>
    <row r="63" spans="5:18" ht="15" customHeight="1" x14ac:dyDescent="0.25">
      <c r="E63">
        <v>60</v>
      </c>
      <c r="F63">
        <f t="shared" ca="1" si="18"/>
        <v>1.0017643179266393</v>
      </c>
      <c r="G63">
        <f t="shared" ca="1" si="19"/>
        <v>1999.8165522367024</v>
      </c>
      <c r="H63">
        <f t="shared" ca="1" si="12"/>
        <v>2000.6322627201398</v>
      </c>
      <c r="I63">
        <f t="shared" ca="1" si="13"/>
        <v>2043.704951228161</v>
      </c>
      <c r="J63">
        <f t="shared" ca="1" si="14"/>
        <v>-2.1708860736568698E-2</v>
      </c>
      <c r="K63">
        <f>100</f>
        <v>100</v>
      </c>
      <c r="L63">
        <f t="shared" ca="1" si="15"/>
        <v>1.9851838595235449</v>
      </c>
      <c r="M63">
        <f t="shared" ca="1" si="20"/>
        <v>-2.17088607365687E-3</v>
      </c>
      <c r="N63">
        <f t="shared" ca="1" si="16"/>
        <v>1.9873547455972018</v>
      </c>
      <c r="O63">
        <f t="shared" ca="1" si="17"/>
        <v>8.1571048343744235E-2</v>
      </c>
      <c r="P63" s="3">
        <f t="shared" ca="1" si="11"/>
        <v>-6.7875494843797943E-2</v>
      </c>
      <c r="Q63" s="3">
        <f t="shared" ca="1" si="9"/>
        <v>2.1617132648027504E-2</v>
      </c>
      <c r="R63" s="3">
        <f t="shared" ca="1" si="10"/>
        <v>1.0218524756140805</v>
      </c>
    </row>
    <row r="64" spans="5:18" ht="15" customHeight="1" x14ac:dyDescent="0.25">
      <c r="E64">
        <v>61</v>
      </c>
      <c r="F64">
        <f t="shared" ca="1" si="18"/>
        <v>0.99959343185298244</v>
      </c>
      <c r="G64">
        <f t="shared" ca="1" si="19"/>
        <v>1999.898123285046</v>
      </c>
      <c r="H64">
        <f t="shared" ca="1" si="12"/>
        <v>2000.5902758709497</v>
      </c>
      <c r="I64">
        <f t="shared" ca="1" si="13"/>
        <v>1983.8693296243187</v>
      </c>
      <c r="J64">
        <f t="shared" ca="1" si="14"/>
        <v>8.0470962959041849E-3</v>
      </c>
      <c r="K64">
        <f>100</f>
        <v>100</v>
      </c>
      <c r="L64">
        <f t="shared" ca="1" si="15"/>
        <v>1.9889991922105992</v>
      </c>
      <c r="M64">
        <f t="shared" ca="1" si="20"/>
        <v>8.0470962959041856E-4</v>
      </c>
      <c r="N64">
        <f t="shared" ca="1" si="16"/>
        <v>1.9881944825810087</v>
      </c>
      <c r="O64">
        <f t="shared" ca="1" si="17"/>
        <v>6.9215258590361373E-2</v>
      </c>
      <c r="P64" s="3">
        <f t="shared" ca="1" si="11"/>
        <v>-2.7553455334008173E-2</v>
      </c>
      <c r="Q64" s="3">
        <f t="shared" ca="1" si="9"/>
        <v>-8.0980359507834172E-3</v>
      </c>
      <c r="R64" s="3">
        <f t="shared" ca="1" si="10"/>
        <v>0.99193466481215931</v>
      </c>
    </row>
    <row r="65" spans="5:18" ht="15" customHeight="1" x14ac:dyDescent="0.25">
      <c r="E65">
        <v>62</v>
      </c>
      <c r="F65">
        <f t="shared" ca="1" si="18"/>
        <v>1.0003981414825729</v>
      </c>
      <c r="G65">
        <f t="shared" ca="1" si="19"/>
        <v>1999.9673385436363</v>
      </c>
      <c r="H65">
        <f t="shared" ca="1" si="12"/>
        <v>2000.0520881651407</v>
      </c>
      <c r="I65">
        <f t="shared" ca="1" si="13"/>
        <v>2028.7337772378207</v>
      </c>
      <c r="J65">
        <f t="shared" ca="1" si="14"/>
        <v>-1.4280993683902385E-2</v>
      </c>
      <c r="K65">
        <f>100</f>
        <v>100</v>
      </c>
      <c r="L65">
        <f t="shared" ca="1" si="15"/>
        <v>1.9975301373287948</v>
      </c>
      <c r="M65">
        <f t="shared" ca="1" si="20"/>
        <v>-1.4280993683902386E-3</v>
      </c>
      <c r="N65">
        <f t="shared" ca="1" si="16"/>
        <v>1.998958236697185</v>
      </c>
      <c r="O65">
        <f t="shared" ca="1" si="17"/>
        <v>8.4749621504442985E-3</v>
      </c>
      <c r="P65" s="3">
        <f t="shared" ca="1" si="11"/>
        <v>2.1552895178077659E-2</v>
      </c>
      <c r="Q65" s="3">
        <f t="shared" ca="1" si="9"/>
        <v>1.4264662822372584E-2</v>
      </c>
      <c r="R65" s="3">
        <f t="shared" ca="1" si="10"/>
        <v>1.0143668886189103</v>
      </c>
    </row>
    <row r="66" spans="5:18" ht="15" customHeight="1" x14ac:dyDescent="0.25">
      <c r="E66">
        <v>63</v>
      </c>
      <c r="F66">
        <f t="shared" ca="1" si="18"/>
        <v>0.99897004211418261</v>
      </c>
      <c r="G66">
        <f t="shared" ca="1" si="19"/>
        <v>1999.9758135057868</v>
      </c>
      <c r="H66">
        <f t="shared" ca="1" si="12"/>
        <v>1999.9396959661547</v>
      </c>
      <c r="I66">
        <f t="shared" ca="1" si="13"/>
        <v>2116.9609497242818</v>
      </c>
      <c r="J66">
        <f t="shared" ca="1" si="14"/>
        <v>-5.6846458698613517E-2</v>
      </c>
      <c r="K66">
        <f>100</f>
        <v>100</v>
      </c>
      <c r="L66">
        <f t="shared" ca="1" si="15"/>
        <v>1.9955214348070456</v>
      </c>
      <c r="M66">
        <f t="shared" ca="1" si="20"/>
        <v>-5.6846458698613517E-3</v>
      </c>
      <c r="N66">
        <f t="shared" ca="1" si="16"/>
        <v>2.0012060806769068</v>
      </c>
      <c r="O66">
        <f t="shared" ca="1" si="17"/>
        <v>-3.6117539632186894E-3</v>
      </c>
      <c r="P66" s="3">
        <f t="shared" ca="1" si="11"/>
        <v>4.3996168838247619E-2</v>
      </c>
      <c r="Q66" s="3">
        <f t="shared" ca="1" si="9"/>
        <v>5.6834365378382948E-2</v>
      </c>
      <c r="R66" s="3">
        <f t="shared" ca="1" si="10"/>
        <v>1.0584804748621408</v>
      </c>
    </row>
    <row r="67" spans="5:18" ht="15" customHeight="1" x14ac:dyDescent="0.25">
      <c r="E67">
        <v>64</v>
      </c>
      <c r="F67">
        <f t="shared" ca="1" si="18"/>
        <v>0.99328539624432122</v>
      </c>
      <c r="G67">
        <f t="shared" ca="1" si="19"/>
        <v>1999.9722017518236</v>
      </c>
      <c r="H67">
        <f t="shared" ref="H67:H100" ca="1" si="21">Beta0_0 -Beta1*(L67-M67)</f>
        <v>2000.6997173074562</v>
      </c>
      <c r="I67">
        <f t="shared" ref="I67:I100" ca="1" si="22">ypot_0*R67</f>
        <v>2044.7594273517548</v>
      </c>
      <c r="J67">
        <f t="shared" ref="J67:J98" ca="1" si="23">LN(G67/I67)</f>
        <v>-2.2146861798645646E-2</v>
      </c>
      <c r="K67">
        <f>100</f>
        <v>100</v>
      </c>
      <c r="L67">
        <f t="shared" ref="L67:L100" ca="1" si="24">-1/Theta*(m_0-F67-Psi*G67)</f>
        <v>1.9837909676710126</v>
      </c>
      <c r="M67">
        <f t="shared" ca="1" si="20"/>
        <v>-2.2146861798645646E-3</v>
      </c>
      <c r="N67">
        <f t="shared" ref="N67:N98" ca="1" si="25">L67-M67</f>
        <v>1.9860056538508772</v>
      </c>
      <c r="O67">
        <f t="shared" ref="O67:O100" ca="1" si="26">Ni*(H67-G67)</f>
        <v>7.2751555563263542E-2</v>
      </c>
      <c r="P67" s="3">
        <f t="shared" ca="1" si="11"/>
        <v>-2.901796626258081E-2</v>
      </c>
      <c r="Q67" s="3">
        <f t="shared" ca="1" si="9"/>
        <v>2.2132962577963843E-2</v>
      </c>
      <c r="R67" s="3">
        <f t="shared" ca="1" si="10"/>
        <v>1.0223797136758774</v>
      </c>
    </row>
    <row r="68" spans="5:18" ht="15" customHeight="1" x14ac:dyDescent="0.25">
      <c r="E68">
        <v>65</v>
      </c>
      <c r="F68">
        <f t="shared" ref="F68:F100" ca="1" si="27">F67+M67</f>
        <v>0.99107071006445668</v>
      </c>
      <c r="G68">
        <f t="shared" ref="G68:G100" ca="1" si="28">G67+O67</f>
        <v>2000.0449533073868</v>
      </c>
      <c r="H68">
        <f t="shared" ca="1" si="21"/>
        <v>2000.3788438592767</v>
      </c>
      <c r="I68">
        <f t="shared" ca="1" si="22"/>
        <v>2119.1888052579761</v>
      </c>
      <c r="J68">
        <f t="shared" ca="1" si="23"/>
        <v>-5.7863719468628894E-2</v>
      </c>
      <c r="K68">
        <f>100</f>
        <v>100</v>
      </c>
      <c r="L68">
        <f t="shared" ca="1" si="24"/>
        <v>1.9866367508676035</v>
      </c>
      <c r="M68">
        <f t="shared" ref="M68:M100" ca="1" si="29">Mi*LN(G68/(I68))</f>
        <v>-5.7863719468628895E-3</v>
      </c>
      <c r="N68">
        <f t="shared" ca="1" si="25"/>
        <v>1.9924231228144664</v>
      </c>
      <c r="O68">
        <f t="shared" ca="1" si="26"/>
        <v>3.3389055188990824E-2</v>
      </c>
      <c r="P68" s="3">
        <f t="shared" ca="1" si="11"/>
        <v>3.7966529549558592E-2</v>
      </c>
      <c r="Q68" s="3">
        <f t="shared" ref="Q68:Q100" ca="1" si="30">$C$33*Q67+P68</f>
        <v>5.788619586972605E-2</v>
      </c>
      <c r="R68" s="3">
        <f t="shared" ref="R68:R100" ca="1" si="31">EXP(Q68)</f>
        <v>1.0595944026289881</v>
      </c>
    </row>
    <row r="69" spans="5:18" ht="15" customHeight="1" x14ac:dyDescent="0.25">
      <c r="E69">
        <v>66</v>
      </c>
      <c r="F69">
        <f t="shared" ca="1" si="27"/>
        <v>0.98528433811759375</v>
      </c>
      <c r="G69">
        <f t="shared" ca="1" si="28"/>
        <v>2000.0783423625758</v>
      </c>
      <c r="H69">
        <f t="shared" ca="1" si="21"/>
        <v>2000.9301483343602</v>
      </c>
      <c r="I69">
        <f t="shared" ca="1" si="22"/>
        <v>2060.8686304119456</v>
      </c>
      <c r="J69">
        <f t="shared" ca="1" si="23"/>
        <v>-2.9941208200136633E-2</v>
      </c>
      <c r="K69">
        <f>100</f>
        <v>100</v>
      </c>
      <c r="L69">
        <f t="shared" ca="1" si="24"/>
        <v>1.9784029124927827</v>
      </c>
      <c r="M69">
        <f t="shared" ca="1" si="29"/>
        <v>-2.9941208200136636E-3</v>
      </c>
      <c r="N69">
        <f t="shared" ca="1" si="25"/>
        <v>1.9813970333127964</v>
      </c>
      <c r="O69">
        <f t="shared" ca="1" si="26"/>
        <v>8.5180597178441536E-2</v>
      </c>
      <c r="P69" s="3">
        <f t="shared" ca="1" si="11"/>
        <v>-2.2117197668499754E-2</v>
      </c>
      <c r="Q69" s="3">
        <f t="shared" ca="1" si="30"/>
        <v>2.9980378614253692E-2</v>
      </c>
      <c r="R69" s="3">
        <f t="shared" ca="1" si="31"/>
        <v>1.0304343152059727</v>
      </c>
    </row>
    <row r="70" spans="5:18" ht="15" customHeight="1" x14ac:dyDescent="0.25">
      <c r="E70">
        <v>67</v>
      </c>
      <c r="F70">
        <f t="shared" ca="1" si="27"/>
        <v>0.98229021729758004</v>
      </c>
      <c r="G70">
        <f t="shared" ca="1" si="28"/>
        <v>2000.1635229597541</v>
      </c>
      <c r="H70">
        <f t="shared" ca="1" si="21"/>
        <v>2001.0071715511092</v>
      </c>
      <c r="I70">
        <f t="shared" ca="1" si="22"/>
        <v>1978.7539388183941</v>
      </c>
      <c r="J70">
        <f t="shared" ca="1" si="23"/>
        <v>1.0761615927545759E-2</v>
      </c>
      <c r="K70">
        <f>100</f>
        <v>100</v>
      </c>
      <c r="L70">
        <f t="shared" ca="1" si="24"/>
        <v>1.9809327305705722</v>
      </c>
      <c r="M70">
        <f t="shared" ca="1" si="29"/>
        <v>1.0761615927545761E-3</v>
      </c>
      <c r="N70">
        <f t="shared" ca="1" si="25"/>
        <v>1.9798565689778176</v>
      </c>
      <c r="O70">
        <f t="shared" ca="1" si="26"/>
        <v>8.4364859135507689E-2</v>
      </c>
      <c r="P70" s="3">
        <f t="shared" ca="1" si="11"/>
        <v>-3.7662198542784721E-2</v>
      </c>
      <c r="Q70" s="3">
        <f t="shared" ca="1" si="30"/>
        <v>-1.0679857789956396E-2</v>
      </c>
      <c r="R70" s="3">
        <f t="shared" ca="1" si="31"/>
        <v>0.98937696940919706</v>
      </c>
    </row>
    <row r="71" spans="5:18" ht="15" customHeight="1" x14ac:dyDescent="0.25">
      <c r="E71">
        <v>68</v>
      </c>
      <c r="F71">
        <f t="shared" ca="1" si="27"/>
        <v>0.98336637889033462</v>
      </c>
      <c r="G71">
        <f t="shared" ca="1" si="28"/>
        <v>2000.2478878188897</v>
      </c>
      <c r="H71">
        <f t="shared" ca="1" si="21"/>
        <v>2000.6910885482121</v>
      </c>
      <c r="I71">
        <f t="shared" ca="1" si="22"/>
        <v>1896.1736941016914</v>
      </c>
      <c r="J71">
        <f t="shared" ca="1" si="23"/>
        <v>5.3433106339034343E-2</v>
      </c>
      <c r="K71">
        <f>100</f>
        <v>100</v>
      </c>
      <c r="L71">
        <f t="shared" ca="1" si="24"/>
        <v>1.9915215396696624</v>
      </c>
      <c r="M71">
        <f t="shared" ca="1" si="29"/>
        <v>5.3433106339034345E-3</v>
      </c>
      <c r="N71">
        <f t="shared" ca="1" si="25"/>
        <v>1.986178229035759</v>
      </c>
      <c r="O71">
        <f t="shared" ca="1" si="26"/>
        <v>4.4320072932237053E-2</v>
      </c>
      <c r="P71" s="3">
        <f t="shared" ca="1" si="11"/>
        <v>-4.3697298099040452E-2</v>
      </c>
      <c r="Q71" s="3">
        <f t="shared" ca="1" si="30"/>
        <v>-5.3309170110001206E-2</v>
      </c>
      <c r="R71" s="3">
        <f t="shared" ca="1" si="31"/>
        <v>0.94808684705084567</v>
      </c>
    </row>
    <row r="72" spans="5:18" ht="15" customHeight="1" x14ac:dyDescent="0.25">
      <c r="E72">
        <v>69</v>
      </c>
      <c r="F72">
        <f t="shared" ca="1" si="27"/>
        <v>0.9887096895242381</v>
      </c>
      <c r="G72">
        <f t="shared" ca="1" si="28"/>
        <v>2000.2922078918218</v>
      </c>
      <c r="H72">
        <f t="shared" ca="1" si="21"/>
        <v>1999.8636079761168</v>
      </c>
      <c r="I72">
        <f t="shared" ca="1" si="22"/>
        <v>1923.5453049083683</v>
      </c>
      <c r="J72">
        <f t="shared" ca="1" si="23"/>
        <v>3.9123277530267682E-2</v>
      </c>
      <c r="K72">
        <f>100</f>
        <v>100</v>
      </c>
      <c r="L72">
        <f t="shared" ca="1" si="24"/>
        <v>2.0066401682306889</v>
      </c>
      <c r="M72">
        <f t="shared" ca="1" si="29"/>
        <v>3.9123277530267687E-3</v>
      </c>
      <c r="N72">
        <f t="shared" ca="1" si="25"/>
        <v>2.0027278404776623</v>
      </c>
      <c r="O72">
        <f t="shared" ca="1" si="26"/>
        <v>-4.2859991570503554E-2</v>
      </c>
      <c r="P72" s="3">
        <f t="shared" ca="1" si="11"/>
        <v>9.0010688425021298E-3</v>
      </c>
      <c r="Q72" s="3">
        <f t="shared" ca="1" si="30"/>
        <v>-3.8977184256498952E-2</v>
      </c>
      <c r="R72" s="3">
        <f t="shared" ca="1" si="31"/>
        <v>0.96177265245418408</v>
      </c>
    </row>
    <row r="73" spans="5:18" ht="15" customHeight="1" x14ac:dyDescent="0.25">
      <c r="E73">
        <v>70</v>
      </c>
      <c r="F73">
        <f t="shared" ca="1" si="27"/>
        <v>0.99262201727726485</v>
      </c>
      <c r="G73">
        <f t="shared" ca="1" si="28"/>
        <v>2000.2493479002512</v>
      </c>
      <c r="H73">
        <f t="shared" ca="1" si="21"/>
        <v>1999.5391377196847</v>
      </c>
      <c r="I73">
        <f t="shared" ca="1" si="22"/>
        <v>1981.1075500006348</v>
      </c>
      <c r="J73">
        <f t="shared" ca="1" si="23"/>
        <v>9.6157897336344392E-3</v>
      </c>
      <c r="K73">
        <f>100</f>
        <v>100</v>
      </c>
      <c r="L73">
        <f t="shared" ca="1" si="24"/>
        <v>2.0101788245796683</v>
      </c>
      <c r="M73">
        <f t="shared" ca="1" si="29"/>
        <v>9.6157897336344392E-4</v>
      </c>
      <c r="N73">
        <f t="shared" ca="1" si="25"/>
        <v>2.0092172456063051</v>
      </c>
      <c r="O73">
        <f t="shared" ca="1" si="26"/>
        <v>-7.1021018056649163E-2</v>
      </c>
      <c r="P73" s="3">
        <f t="shared" ca="1" si="11"/>
        <v>2.5588342276189259E-2</v>
      </c>
      <c r="Q73" s="3">
        <f t="shared" ca="1" si="30"/>
        <v>-9.4911235546598013E-3</v>
      </c>
      <c r="R73" s="3">
        <f t="shared" ca="1" si="31"/>
        <v>0.99055377500031738</v>
      </c>
    </row>
    <row r="74" spans="5:18" ht="15" customHeight="1" x14ac:dyDescent="0.25">
      <c r="E74">
        <v>71</v>
      </c>
      <c r="F74">
        <f t="shared" ca="1" si="27"/>
        <v>0.99358359625062831</v>
      </c>
      <c r="G74">
        <f t="shared" ca="1" si="28"/>
        <v>2000.1783268821946</v>
      </c>
      <c r="H74">
        <f t="shared" ca="1" si="21"/>
        <v>1999.5107647719637</v>
      </c>
      <c r="I74">
        <f t="shared" ca="1" si="22"/>
        <v>2098.2099541170915</v>
      </c>
      <c r="J74">
        <f t="shared" ca="1" si="23"/>
        <v>-4.7848238399923811E-2</v>
      </c>
      <c r="K74">
        <f>100</f>
        <v>100</v>
      </c>
      <c r="L74">
        <f t="shared" ca="1" si="24"/>
        <v>2.0049998807207317</v>
      </c>
      <c r="M74">
        <f t="shared" ca="1" si="29"/>
        <v>-4.7848238399923818E-3</v>
      </c>
      <c r="N74">
        <f t="shared" ca="1" si="25"/>
        <v>2.0097847045607242</v>
      </c>
      <c r="O74">
        <f t="shared" ca="1" si="26"/>
        <v>-6.6756211023084697E-2</v>
      </c>
      <c r="P74" s="3">
        <f t="shared" ca="1" si="11"/>
        <v>5.6479409065391534E-2</v>
      </c>
      <c r="Q74" s="3">
        <f t="shared" ca="1" si="30"/>
        <v>4.793739786619771E-2</v>
      </c>
      <c r="R74" s="3">
        <f t="shared" ca="1" si="31"/>
        <v>1.0491049770585457</v>
      </c>
    </row>
    <row r="75" spans="5:18" ht="15" customHeight="1" x14ac:dyDescent="0.25">
      <c r="E75">
        <v>72</v>
      </c>
      <c r="F75">
        <f t="shared" ca="1" si="27"/>
        <v>0.98879877241063596</v>
      </c>
      <c r="G75">
        <f t="shared" ca="1" si="28"/>
        <v>2000.1115706711714</v>
      </c>
      <c r="H75">
        <f t="shared" ca="1" si="21"/>
        <v>1999.7633423511706</v>
      </c>
      <c r="I75">
        <f t="shared" ca="1" si="22"/>
        <v>2346.649050821065</v>
      </c>
      <c r="J75">
        <f t="shared" ca="1" si="23"/>
        <v>-0.15978541038169142</v>
      </c>
      <c r="K75">
        <f>100</f>
        <v>100</v>
      </c>
      <c r="L75">
        <f t="shared" ca="1" si="24"/>
        <v>1.9887546119384183</v>
      </c>
      <c r="M75">
        <f t="shared" ca="1" si="29"/>
        <v>-1.5978541038169144E-2</v>
      </c>
      <c r="N75">
        <f t="shared" ca="1" si="25"/>
        <v>2.0047331529765873</v>
      </c>
      <c r="O75">
        <f t="shared" ca="1" si="26"/>
        <v>-3.4822832000077145E-2</v>
      </c>
      <c r="P75" s="3">
        <f t="shared" ca="1" si="11"/>
        <v>0.11669753608175518</v>
      </c>
      <c r="Q75" s="3">
        <f t="shared" ca="1" si="30"/>
        <v>0.15984119416133313</v>
      </c>
      <c r="R75" s="3">
        <f t="shared" ca="1" si="31"/>
        <v>1.1733245254105324</v>
      </c>
    </row>
    <row r="76" spans="5:18" ht="15" customHeight="1" x14ac:dyDescent="0.25">
      <c r="E76">
        <v>73</v>
      </c>
      <c r="F76">
        <f t="shared" ca="1" si="27"/>
        <v>0.97282023137246687</v>
      </c>
      <c r="G76">
        <f t="shared" ca="1" si="28"/>
        <v>2000.0767478391713</v>
      </c>
      <c r="H76">
        <f t="shared" ca="1" si="21"/>
        <v>2001.5571842515646</v>
      </c>
      <c r="I76">
        <f t="shared" ca="1" si="22"/>
        <v>2336.3648459153342</v>
      </c>
      <c r="J76">
        <f t="shared" ca="1" si="23"/>
        <v>-0.15541068306635106</v>
      </c>
      <c r="K76">
        <f>100</f>
        <v>100</v>
      </c>
      <c r="L76">
        <f t="shared" ca="1" si="24"/>
        <v>1.953315246662072</v>
      </c>
      <c r="M76">
        <f t="shared" ca="1" si="29"/>
        <v>-1.5541068306635106E-2</v>
      </c>
      <c r="N76">
        <f t="shared" ca="1" si="25"/>
        <v>1.9688563149687071</v>
      </c>
      <c r="O76">
        <f t="shared" ca="1" si="26"/>
        <v>0.14804364123933739</v>
      </c>
      <c r="P76" s="3">
        <f t="shared" ca="1" si="11"/>
        <v>1.1591981504476916E-2</v>
      </c>
      <c r="Q76" s="3">
        <f t="shared" ca="1" si="30"/>
        <v>0.15544905624967673</v>
      </c>
      <c r="R76" s="3">
        <f t="shared" ca="1" si="31"/>
        <v>1.1681824229576672</v>
      </c>
    </row>
    <row r="77" spans="5:18" ht="15" customHeight="1" x14ac:dyDescent="0.25">
      <c r="E77">
        <v>74</v>
      </c>
      <c r="F77">
        <f t="shared" ca="1" si="27"/>
        <v>0.95727916306583172</v>
      </c>
      <c r="G77">
        <f t="shared" ca="1" si="28"/>
        <v>2000.2247914804107</v>
      </c>
      <c r="H77">
        <f t="shared" ca="1" si="21"/>
        <v>2001.7094430852221</v>
      </c>
      <c r="I77">
        <f t="shared" ca="1" si="22"/>
        <v>2667.1119257039009</v>
      </c>
      <c r="J77">
        <f t="shared" ca="1" si="23"/>
        <v>-0.28773664122817033</v>
      </c>
      <c r="K77">
        <f>100</f>
        <v>100</v>
      </c>
      <c r="L77">
        <f t="shared" ca="1" si="24"/>
        <v>1.9370374741727403</v>
      </c>
      <c r="M77">
        <f t="shared" ca="1" si="29"/>
        <v>-2.8773664122817035E-2</v>
      </c>
      <c r="N77">
        <f t="shared" ca="1" si="25"/>
        <v>1.9658111382955574</v>
      </c>
      <c r="O77">
        <f t="shared" ca="1" si="26"/>
        <v>0.14846516048114608</v>
      </c>
      <c r="P77" s="3">
        <f t="shared" ca="1" si="11"/>
        <v>0.14794488002773867</v>
      </c>
      <c r="Q77" s="3">
        <f t="shared" ca="1" si="30"/>
        <v>0.28784903065244771</v>
      </c>
      <c r="R77" s="3">
        <f t="shared" ca="1" si="31"/>
        <v>1.3335559628519504</v>
      </c>
    </row>
    <row r="78" spans="5:18" ht="15" customHeight="1" x14ac:dyDescent="0.25">
      <c r="E78">
        <v>75</v>
      </c>
      <c r="F78">
        <f t="shared" ca="1" si="27"/>
        <v>0.92850549894301471</v>
      </c>
      <c r="G78">
        <f t="shared" ca="1" si="28"/>
        <v>2000.3732566408919</v>
      </c>
      <c r="H78">
        <f t="shared" ca="1" si="21"/>
        <v>2003.9326752902093</v>
      </c>
      <c r="I78">
        <f t="shared" ca="1" si="22"/>
        <v>2620.6755123275607</v>
      </c>
      <c r="J78">
        <f t="shared" ca="1" si="23"/>
        <v>-0.2700983222059507</v>
      </c>
      <c r="K78">
        <f>100</f>
        <v>100</v>
      </c>
      <c r="L78">
        <f t="shared" ca="1" si="24"/>
        <v>1.8943366619752169</v>
      </c>
      <c r="M78">
        <f t="shared" ca="1" si="29"/>
        <v>-2.7009832220595071E-2</v>
      </c>
      <c r="N78">
        <f t="shared" ca="1" si="25"/>
        <v>1.921346494195812</v>
      </c>
      <c r="O78">
        <f t="shared" ca="1" si="26"/>
        <v>0.35594186493174224</v>
      </c>
      <c r="P78" s="3">
        <f t="shared" ca="1" si="11"/>
        <v>1.12208055262952E-2</v>
      </c>
      <c r="Q78" s="3">
        <f t="shared" ca="1" si="30"/>
        <v>0.2702849331134981</v>
      </c>
      <c r="R78" s="3">
        <f t="shared" ca="1" si="31"/>
        <v>1.3103377561637803</v>
      </c>
    </row>
    <row r="79" spans="5:18" ht="15" customHeight="1" x14ac:dyDescent="0.25">
      <c r="E79">
        <v>76</v>
      </c>
      <c r="F79">
        <f t="shared" ca="1" si="27"/>
        <v>0.90149566672241965</v>
      </c>
      <c r="G79">
        <f t="shared" ca="1" si="28"/>
        <v>2000.7291985058237</v>
      </c>
      <c r="H79">
        <f t="shared" ca="1" si="21"/>
        <v>2005.084643578499</v>
      </c>
      <c r="I79">
        <f t="shared" ca="1" si="22"/>
        <v>2502.9528062325089</v>
      </c>
      <c r="J79">
        <f t="shared" ca="1" si="23"/>
        <v>-0.22395944402804172</v>
      </c>
      <c r="K79">
        <f>100</f>
        <v>100</v>
      </c>
      <c r="L79">
        <f t="shared" ca="1" si="24"/>
        <v>1.8759111840272169</v>
      </c>
      <c r="M79">
        <f t="shared" ca="1" si="29"/>
        <v>-2.2395944402804173E-2</v>
      </c>
      <c r="N79">
        <f t="shared" ca="1" si="25"/>
        <v>1.898307128430021</v>
      </c>
      <c r="O79">
        <f t="shared" ca="1" si="26"/>
        <v>0.43554450726753657</v>
      </c>
      <c r="P79" s="3">
        <f t="shared" ca="1" si="11"/>
        <v>-1.8932462971350972E-2</v>
      </c>
      <c r="Q79" s="3">
        <f t="shared" ca="1" si="30"/>
        <v>0.22432397683079733</v>
      </c>
      <c r="R79" s="3">
        <f t="shared" ca="1" si="31"/>
        <v>1.2514764031162544</v>
      </c>
    </row>
    <row r="80" spans="5:18" ht="15" customHeight="1" x14ac:dyDescent="0.25">
      <c r="E80">
        <v>77</v>
      </c>
      <c r="F80">
        <f t="shared" ca="1" si="27"/>
        <v>0.87909972231961553</v>
      </c>
      <c r="G80">
        <f t="shared" ca="1" si="28"/>
        <v>2001.1647430130911</v>
      </c>
      <c r="H80">
        <f t="shared" ca="1" si="21"/>
        <v>2005.4189139715409</v>
      </c>
      <c r="I80">
        <f t="shared" ca="1" si="22"/>
        <v>2370.7565621993908</v>
      </c>
      <c r="J80">
        <f t="shared" ca="1" si="23"/>
        <v>-0.16947974620841219</v>
      </c>
      <c r="K80">
        <f>100</f>
        <v>100</v>
      </c>
      <c r="L80">
        <f t="shared" ca="1" si="24"/>
        <v>1.8746737459483427</v>
      </c>
      <c r="M80">
        <f t="shared" ca="1" si="29"/>
        <v>-1.694797462084122E-2</v>
      </c>
      <c r="N80">
        <f t="shared" ca="1" si="25"/>
        <v>1.8916217205691839</v>
      </c>
      <c r="O80">
        <f t="shared" ca="1" si="26"/>
        <v>0.42541709584497767</v>
      </c>
      <c r="P80" s="3">
        <f t="shared" ca="1" si="11"/>
        <v>-3.1829630945236151E-2</v>
      </c>
      <c r="Q80" s="3">
        <f t="shared" ca="1" si="30"/>
        <v>0.17006194820248144</v>
      </c>
      <c r="R80" s="3">
        <f t="shared" ca="1" si="31"/>
        <v>1.1853782810996953</v>
      </c>
    </row>
    <row r="81" spans="5:18" ht="15" customHeight="1" x14ac:dyDescent="0.25">
      <c r="E81">
        <v>78</v>
      </c>
      <c r="F81">
        <f t="shared" ca="1" si="27"/>
        <v>0.86215174769877434</v>
      </c>
      <c r="G81">
        <f t="shared" ca="1" si="28"/>
        <v>2001.5901601089361</v>
      </c>
      <c r="H81">
        <f t="shared" ca="1" si="21"/>
        <v>2005.2107412243772</v>
      </c>
      <c r="I81">
        <f t="shared" ca="1" si="22"/>
        <v>2267.3202712673351</v>
      </c>
      <c r="J81">
        <f t="shared" ca="1" si="23"/>
        <v>-0.12465669221282598</v>
      </c>
      <c r="K81">
        <f>100</f>
        <v>100</v>
      </c>
      <c r="L81">
        <f t="shared" ca="1" si="24"/>
        <v>1.8833195062911727</v>
      </c>
      <c r="M81">
        <f t="shared" ca="1" si="29"/>
        <v>-1.2465669221282599E-2</v>
      </c>
      <c r="N81">
        <f t="shared" ca="1" si="25"/>
        <v>1.8957851755124553</v>
      </c>
      <c r="O81">
        <f t="shared" ca="1" si="26"/>
        <v>0.36205811154411549</v>
      </c>
      <c r="P81" s="3">
        <f t="shared" ca="1" si="11"/>
        <v>-2.7604297023648468E-2</v>
      </c>
      <c r="Q81" s="3">
        <f t="shared" ca="1" si="30"/>
        <v>0.12545145635858482</v>
      </c>
      <c r="R81" s="3">
        <f t="shared" ca="1" si="31"/>
        <v>1.1336601356336675</v>
      </c>
    </row>
    <row r="82" spans="5:18" ht="15" customHeight="1" x14ac:dyDescent="0.25">
      <c r="E82">
        <v>79</v>
      </c>
      <c r="F82">
        <f t="shared" ca="1" si="27"/>
        <v>0.84968607847749178</v>
      </c>
      <c r="G82">
        <f t="shared" ca="1" si="28"/>
        <v>2001.9522182204801</v>
      </c>
      <c r="H82">
        <f t="shared" ca="1" si="21"/>
        <v>2004.6251658777767</v>
      </c>
      <c r="I82">
        <f t="shared" ca="1" si="22"/>
        <v>2277.6628421707592</v>
      </c>
      <c r="J82">
        <f t="shared" ca="1" si="23"/>
        <v>-0.12902703441475954</v>
      </c>
      <c r="K82">
        <f>100</f>
        <v>100</v>
      </c>
      <c r="L82">
        <f t="shared" ca="1" si="24"/>
        <v>1.8945939790029911</v>
      </c>
      <c r="M82">
        <f t="shared" ca="1" si="29"/>
        <v>-1.2902703441475954E-2</v>
      </c>
      <c r="N82">
        <f t="shared" ca="1" si="25"/>
        <v>1.907496682444467</v>
      </c>
      <c r="O82">
        <f t="shared" ca="1" si="26"/>
        <v>0.26729476572966177</v>
      </c>
      <c r="P82" s="3">
        <f t="shared" ca="1" si="11"/>
        <v>1.7096356717557749E-2</v>
      </c>
      <c r="Q82" s="3">
        <f t="shared" ca="1" si="30"/>
        <v>0.13000266744028408</v>
      </c>
      <c r="R82" s="3">
        <f t="shared" ca="1" si="31"/>
        <v>1.1388314210853796</v>
      </c>
    </row>
    <row r="83" spans="5:18" ht="15" customHeight="1" x14ac:dyDescent="0.25">
      <c r="E83">
        <v>80</v>
      </c>
      <c r="F83">
        <f t="shared" ca="1" si="27"/>
        <v>0.83678337503601585</v>
      </c>
      <c r="G83">
        <f t="shared" ca="1" si="28"/>
        <v>2002.2195129862098</v>
      </c>
      <c r="H83">
        <f t="shared" ca="1" si="21"/>
        <v>2004.8404565106537</v>
      </c>
      <c r="I83">
        <f t="shared" ca="1" si="22"/>
        <v>2161.8936612953407</v>
      </c>
      <c r="J83">
        <f t="shared" ca="1" si="23"/>
        <v>-7.6728210939061264E-2</v>
      </c>
      <c r="K83">
        <f>100</f>
        <v>100</v>
      </c>
      <c r="L83">
        <f t="shared" ca="1" si="24"/>
        <v>1.8955180486930203</v>
      </c>
      <c r="M83">
        <f t="shared" ca="1" si="29"/>
        <v>-7.6728210939061266E-3</v>
      </c>
      <c r="N83">
        <f t="shared" ca="1" si="25"/>
        <v>1.9031908697869264</v>
      </c>
      <c r="O83">
        <f t="shared" ca="1" si="26"/>
        <v>0.26209435244438739</v>
      </c>
      <c r="P83" s="3">
        <f t="shared" ca="1" si="11"/>
        <v>-3.9165048588628411E-2</v>
      </c>
      <c r="Q83" s="3">
        <f t="shared" ca="1" si="30"/>
        <v>7.7837352107627267E-2</v>
      </c>
      <c r="R83" s="3">
        <f t="shared" ca="1" si="31"/>
        <v>1.0809468306476704</v>
      </c>
    </row>
    <row r="84" spans="5:18" ht="15" customHeight="1" x14ac:dyDescent="0.25">
      <c r="E84">
        <v>81</v>
      </c>
      <c r="F84">
        <f t="shared" ca="1" si="27"/>
        <v>0.82911055394210975</v>
      </c>
      <c r="G84">
        <f t="shared" ca="1" si="28"/>
        <v>2002.4816073386542</v>
      </c>
      <c r="H84">
        <f t="shared" ca="1" si="21"/>
        <v>2004.6572337690934</v>
      </c>
      <c r="I84">
        <f t="shared" ca="1" si="22"/>
        <v>2011.9854965819993</v>
      </c>
      <c r="J84">
        <f t="shared" ca="1" si="23"/>
        <v>-4.7348286846755662E-3</v>
      </c>
      <c r="K84">
        <f>100</f>
        <v>100</v>
      </c>
      <c r="L84">
        <f t="shared" ca="1" si="24"/>
        <v>1.9063818417496634</v>
      </c>
      <c r="M84">
        <f t="shared" ca="1" si="29"/>
        <v>-4.7348286846755666E-4</v>
      </c>
      <c r="N84">
        <f t="shared" ca="1" si="25"/>
        <v>1.906855324618131</v>
      </c>
      <c r="O84">
        <f t="shared" ca="1" si="26"/>
        <v>0.21756264304392517</v>
      </c>
      <c r="P84" s="3">
        <f t="shared" ca="1" si="11"/>
        <v>-6.4078753703549068E-2</v>
      </c>
      <c r="Q84" s="3">
        <f t="shared" ca="1" si="30"/>
        <v>5.9748631933154717E-3</v>
      </c>
      <c r="R84" s="3">
        <f t="shared" ca="1" si="31"/>
        <v>1.0059927482909996</v>
      </c>
    </row>
    <row r="85" spans="5:18" ht="15" customHeight="1" x14ac:dyDescent="0.25">
      <c r="E85">
        <v>82</v>
      </c>
      <c r="F85">
        <f t="shared" ca="1" si="27"/>
        <v>0.82863707107364215</v>
      </c>
      <c r="G85">
        <f t="shared" ca="1" si="28"/>
        <v>2002.6991699816981</v>
      </c>
      <c r="H85">
        <f t="shared" ca="1" si="21"/>
        <v>2003.6945079878221</v>
      </c>
      <c r="I85">
        <f t="shared" ca="1" si="22"/>
        <v>1981.1606403104397</v>
      </c>
      <c r="J85">
        <f t="shared" ca="1" si="23"/>
        <v>1.0813000735641896E-2</v>
      </c>
      <c r="K85">
        <f>100</f>
        <v>100</v>
      </c>
      <c r="L85">
        <f t="shared" ca="1" si="24"/>
        <v>1.9271911403171202</v>
      </c>
      <c r="M85">
        <f t="shared" ca="1" si="29"/>
        <v>1.0813000735641896E-3</v>
      </c>
      <c r="N85">
        <f t="shared" ca="1" si="25"/>
        <v>1.9261098402435561</v>
      </c>
      <c r="O85">
        <f t="shared" ca="1" si="26"/>
        <v>9.9533800612402967E-2</v>
      </c>
      <c r="P85" s="3">
        <f t="shared" ca="1" si="11"/>
        <v>-1.484170249005998E-2</v>
      </c>
      <c r="Q85" s="3">
        <f t="shared" ca="1" si="30"/>
        <v>-9.4643256160760556E-3</v>
      </c>
      <c r="R85" s="3">
        <f t="shared" ca="1" si="31"/>
        <v>0.99058032015521991</v>
      </c>
    </row>
    <row r="86" spans="5:18" ht="15" customHeight="1" x14ac:dyDescent="0.25">
      <c r="E86">
        <v>83</v>
      </c>
      <c r="F86">
        <f t="shared" ca="1" si="27"/>
        <v>0.82971837114720637</v>
      </c>
      <c r="G86">
        <f t="shared" ca="1" si="28"/>
        <v>2002.7987037823104</v>
      </c>
      <c r="H86">
        <f t="shared" ca="1" si="21"/>
        <v>2002.9886529110652</v>
      </c>
      <c r="I86">
        <f t="shared" ca="1" si="22"/>
        <v>2021.3058578005239</v>
      </c>
      <c r="J86">
        <f t="shared" ca="1" si="23"/>
        <v>-9.1982125321102871E-3</v>
      </c>
      <c r="K86">
        <f>100</f>
        <v>100</v>
      </c>
      <c r="L86">
        <f t="shared" ca="1" si="24"/>
        <v>1.9393071205254842</v>
      </c>
      <c r="M86">
        <f t="shared" ca="1" si="29"/>
        <v>-9.1982125321102878E-4</v>
      </c>
      <c r="N86">
        <f t="shared" ca="1" si="25"/>
        <v>1.9402269417786953</v>
      </c>
      <c r="O86">
        <f t="shared" ca="1" si="26"/>
        <v>1.8994912875473349E-2</v>
      </c>
      <c r="P86" s="3">
        <f t="shared" ca="1" si="11"/>
        <v>1.9114479297315579E-2</v>
      </c>
      <c r="Q86" s="3">
        <f t="shared" ca="1" si="30"/>
        <v>1.0596586242847128E-2</v>
      </c>
      <c r="R86" s="3">
        <f t="shared" ca="1" si="31"/>
        <v>1.0106529289002619</v>
      </c>
    </row>
    <row r="87" spans="5:18" ht="15" customHeight="1" x14ac:dyDescent="0.25">
      <c r="E87">
        <v>84</v>
      </c>
      <c r="F87">
        <f t="shared" ca="1" si="27"/>
        <v>0.82879854989399537</v>
      </c>
      <c r="G87">
        <f t="shared" ca="1" si="28"/>
        <v>2002.817698695186</v>
      </c>
      <c r="H87">
        <f t="shared" ca="1" si="21"/>
        <v>2002.84985826006</v>
      </c>
      <c r="I87">
        <f t="shared" ca="1" si="22"/>
        <v>2076.9774614294547</v>
      </c>
      <c r="J87">
        <f t="shared" ca="1" si="23"/>
        <v>-3.635865492223448E-2</v>
      </c>
      <c r="K87">
        <f>100</f>
        <v>100</v>
      </c>
      <c r="L87">
        <f t="shared" ca="1" si="24"/>
        <v>1.939366969306576</v>
      </c>
      <c r="M87">
        <f t="shared" ca="1" si="29"/>
        <v>-3.635865492223448E-3</v>
      </c>
      <c r="N87">
        <f t="shared" ca="1" si="25"/>
        <v>1.9430028347987995</v>
      </c>
      <c r="O87">
        <f t="shared" ca="1" si="26"/>
        <v>3.215956487406402E-3</v>
      </c>
      <c r="P87" s="3">
        <f t="shared" ca="1" si="11"/>
        <v>2.8229585154160304E-2</v>
      </c>
      <c r="Q87" s="3">
        <f t="shared" ca="1" si="30"/>
        <v>3.7766512772722721E-2</v>
      </c>
      <c r="R87" s="3">
        <f t="shared" ca="1" si="31"/>
        <v>1.0384887307147272</v>
      </c>
    </row>
    <row r="88" spans="5:18" ht="15" customHeight="1" x14ac:dyDescent="0.25">
      <c r="E88">
        <v>85</v>
      </c>
      <c r="F88">
        <f t="shared" ca="1" si="27"/>
        <v>0.82516268440177187</v>
      </c>
      <c r="G88">
        <f t="shared" ca="1" si="28"/>
        <v>2002.8209146516733</v>
      </c>
      <c r="H88">
        <f t="shared" ca="1" si="21"/>
        <v>2003.0358793757719</v>
      </c>
      <c r="I88">
        <f t="shared" ca="1" si="22"/>
        <v>2145.1563266076814</v>
      </c>
      <c r="J88">
        <f t="shared" ca="1" si="23"/>
        <v>-6.8655785136600339E-2</v>
      </c>
      <c r="K88">
        <f>100</f>
        <v>100</v>
      </c>
      <c r="L88">
        <f t="shared" ca="1" si="24"/>
        <v>1.9324168339709047</v>
      </c>
      <c r="M88">
        <f t="shared" ca="1" si="29"/>
        <v>-6.8655785136600344E-3</v>
      </c>
      <c r="N88">
        <f t="shared" ca="1" si="25"/>
        <v>1.9392824124845647</v>
      </c>
      <c r="O88">
        <f t="shared" ca="1" si="26"/>
        <v>2.1496472409853598E-2</v>
      </c>
      <c r="P88" s="3">
        <f t="shared" ca="1" si="11"/>
        <v>3.6075387206380587E-2</v>
      </c>
      <c r="Q88" s="3">
        <f t="shared" ca="1" si="30"/>
        <v>7.0065248701831034E-2</v>
      </c>
      <c r="R88" s="3">
        <f t="shared" ca="1" si="31"/>
        <v>1.0725781633038407</v>
      </c>
    </row>
    <row r="89" spans="5:18" ht="15" customHeight="1" x14ac:dyDescent="0.25">
      <c r="E89">
        <v>86</v>
      </c>
      <c r="F89">
        <f t="shared" ca="1" si="27"/>
        <v>0.81829710588811189</v>
      </c>
      <c r="G89">
        <f t="shared" ca="1" si="28"/>
        <v>2002.8424111240831</v>
      </c>
      <c r="H89">
        <f t="shared" ca="1" si="21"/>
        <v>2003.8246179660346</v>
      </c>
      <c r="I89">
        <f t="shared" ca="1" si="22"/>
        <v>2057.0862547847782</v>
      </c>
      <c r="J89">
        <f t="shared" ca="1" si="23"/>
        <v>-2.6723164947713297E-2</v>
      </c>
      <c r="K89">
        <f>100</f>
        <v>100</v>
      </c>
      <c r="L89">
        <f t="shared" ca="1" si="24"/>
        <v>1.9208353241845373</v>
      </c>
      <c r="M89">
        <f t="shared" ca="1" si="29"/>
        <v>-2.6723164947713299E-3</v>
      </c>
      <c r="N89">
        <f t="shared" ca="1" si="25"/>
        <v>1.9235076406793086</v>
      </c>
      <c r="O89">
        <f t="shared" ca="1" si="26"/>
        <v>9.8220684195143806E-2</v>
      </c>
      <c r="P89" s="3">
        <f t="shared" ca="1" si="11"/>
        <v>-3.4915362278674381E-2</v>
      </c>
      <c r="Q89" s="3">
        <f t="shared" ca="1" si="30"/>
        <v>2.8143361552973548E-2</v>
      </c>
      <c r="R89" s="3">
        <f t="shared" ca="1" si="31"/>
        <v>1.0285431273923891</v>
      </c>
    </row>
    <row r="90" spans="5:18" ht="15" customHeight="1" x14ac:dyDescent="0.25">
      <c r="E90">
        <v>87</v>
      </c>
      <c r="F90">
        <f t="shared" ca="1" si="27"/>
        <v>0.8156247893933406</v>
      </c>
      <c r="G90">
        <f t="shared" ca="1" si="28"/>
        <v>2002.9406318082783</v>
      </c>
      <c r="H90">
        <f t="shared" ca="1" si="21"/>
        <v>2003.7807075177648</v>
      </c>
      <c r="I90">
        <f t="shared" ca="1" si="22"/>
        <v>1984.4609527051964</v>
      </c>
      <c r="J90">
        <f t="shared" ca="1" si="23"/>
        <v>9.2690996980742679E-3</v>
      </c>
      <c r="K90">
        <f>100</f>
        <v>100</v>
      </c>
      <c r="L90">
        <f t="shared" ca="1" si="24"/>
        <v>1.9253127596145134</v>
      </c>
      <c r="M90">
        <f t="shared" ca="1" si="29"/>
        <v>9.2690996980742681E-4</v>
      </c>
      <c r="N90">
        <f t="shared" ca="1" si="25"/>
        <v>1.9243858496447059</v>
      </c>
      <c r="O90">
        <f t="shared" ca="1" si="26"/>
        <v>8.4007570948642751E-2</v>
      </c>
      <c r="P90" s="3">
        <f t="shared" ca="1" si="11"/>
        <v>-3.3128889047683442E-2</v>
      </c>
      <c r="Q90" s="3">
        <f t="shared" ca="1" si="30"/>
        <v>-7.79986365000725E-3</v>
      </c>
      <c r="R90" s="3">
        <f t="shared" ca="1" si="31"/>
        <v>0.9922304763525982</v>
      </c>
    </row>
    <row r="91" spans="5:18" ht="15" customHeight="1" x14ac:dyDescent="0.25">
      <c r="E91">
        <v>88</v>
      </c>
      <c r="F91">
        <f t="shared" ca="1" si="27"/>
        <v>0.81655169936314798</v>
      </c>
      <c r="G91">
        <f t="shared" ca="1" si="28"/>
        <v>2003.024639379227</v>
      </c>
      <c r="H91">
        <f t="shared" ca="1" si="21"/>
        <v>2003.0202078247708</v>
      </c>
      <c r="I91">
        <f t="shared" ca="1" si="22"/>
        <v>2085.3640126216078</v>
      </c>
      <c r="J91">
        <f t="shared" ca="1" si="23"/>
        <v>-4.0285068555816622E-2</v>
      </c>
      <c r="K91">
        <f>100</f>
        <v>100</v>
      </c>
      <c r="L91">
        <f t="shared" ca="1" si="24"/>
        <v>1.9355673366490009</v>
      </c>
      <c r="M91">
        <f t="shared" ca="1" si="29"/>
        <v>-4.0285068555816622E-3</v>
      </c>
      <c r="N91">
        <f t="shared" ca="1" si="25"/>
        <v>1.9395958435045826</v>
      </c>
      <c r="O91">
        <f t="shared" ca="1" si="26"/>
        <v>-4.4315544562323339E-4</v>
      </c>
      <c r="P91" s="3">
        <f t="shared" ca="1" si="11"/>
        <v>4.8816123126656286E-2</v>
      </c>
      <c r="Q91" s="3">
        <f t="shared" ca="1" si="30"/>
        <v>4.179624584164976E-2</v>
      </c>
      <c r="R91" s="3">
        <f t="shared" ca="1" si="31"/>
        <v>1.042682006310804</v>
      </c>
    </row>
    <row r="92" spans="5:18" ht="15" customHeight="1" x14ac:dyDescent="0.25">
      <c r="E92">
        <v>89</v>
      </c>
      <c r="F92">
        <f t="shared" ca="1" si="27"/>
        <v>0.81252319250756633</v>
      </c>
      <c r="G92">
        <f t="shared" ca="1" si="28"/>
        <v>2003.0241962237815</v>
      </c>
      <c r="H92">
        <f t="shared" ca="1" si="21"/>
        <v>2003.4266058904998</v>
      </c>
      <c r="I92">
        <f t="shared" ca="1" si="22"/>
        <v>2084.8082499479215</v>
      </c>
      <c r="J92">
        <f t="shared" ca="1" si="23"/>
        <v>-4.0018747967133554E-2</v>
      </c>
      <c r="K92">
        <f>100</f>
        <v>100</v>
      </c>
      <c r="L92">
        <f t="shared" ca="1" si="24"/>
        <v>1.9274660073932921</v>
      </c>
      <c r="M92">
        <f t="shared" ca="1" si="29"/>
        <v>-4.0018747967133558E-3</v>
      </c>
      <c r="N92">
        <f t="shared" ca="1" si="25"/>
        <v>1.9314678821900055</v>
      </c>
      <c r="O92">
        <f t="shared" ca="1" si="26"/>
        <v>4.0240966671831302E-2</v>
      </c>
      <c r="P92" s="3">
        <f t="shared" ca="1" si="11"/>
        <v>3.913082752324876E-3</v>
      </c>
      <c r="Q92" s="3">
        <f t="shared" ca="1" si="30"/>
        <v>4.1529704009809661E-2</v>
      </c>
      <c r="R92" s="3">
        <f t="shared" ca="1" si="31"/>
        <v>1.0424041249739606</v>
      </c>
    </row>
    <row r="93" spans="5:18" ht="15" customHeight="1" x14ac:dyDescent="0.25">
      <c r="E93">
        <v>90</v>
      </c>
      <c r="F93">
        <f t="shared" ca="1" si="27"/>
        <v>0.808521317710853</v>
      </c>
      <c r="G93">
        <f t="shared" ca="1" si="28"/>
        <v>2003.0644371904532</v>
      </c>
      <c r="H93">
        <f t="shared" ca="1" si="21"/>
        <v>2003.5944365098419</v>
      </c>
      <c r="I93">
        <f t="shared" ca="1" si="22"/>
        <v>2097.8801444595692</v>
      </c>
      <c r="J93">
        <f t="shared" ca="1" si="23"/>
        <v>-4.6249153361324895E-2</v>
      </c>
      <c r="K93">
        <f>100</f>
        <v>100</v>
      </c>
      <c r="L93">
        <f t="shared" ca="1" si="24"/>
        <v>1.9234863544670304</v>
      </c>
      <c r="M93">
        <f t="shared" ca="1" si="29"/>
        <v>-4.6249153361324893E-3</v>
      </c>
      <c r="N93">
        <f t="shared" ca="1" si="25"/>
        <v>1.9281112698031628</v>
      </c>
      <c r="O93">
        <f t="shared" ca="1" si="26"/>
        <v>5.2999931938870759E-2</v>
      </c>
      <c r="P93" s="3">
        <f t="shared" ca="1" si="11"/>
        <v>1.0403465698494771E-2</v>
      </c>
      <c r="Q93" s="3">
        <f t="shared" ca="1" si="30"/>
        <v>4.7780199307323468E-2</v>
      </c>
      <c r="R93" s="3">
        <f t="shared" ca="1" si="31"/>
        <v>1.0489400722297846</v>
      </c>
    </row>
    <row r="94" spans="5:18" ht="15" customHeight="1" x14ac:dyDescent="0.25">
      <c r="E94">
        <v>91</v>
      </c>
      <c r="F94">
        <f t="shared" ca="1" si="27"/>
        <v>0.80389640237472049</v>
      </c>
      <c r="G94">
        <f t="shared" ca="1" si="28"/>
        <v>2003.1174371223919</v>
      </c>
      <c r="H94">
        <f t="shared" ca="1" si="21"/>
        <v>2003.7346676845939</v>
      </c>
      <c r="I94">
        <f t="shared" ca="1" si="22"/>
        <v>2122.0996060113462</v>
      </c>
      <c r="J94">
        <f t="shared" ca="1" si="23"/>
        <v>-5.7701293194806449E-2</v>
      </c>
      <c r="K94">
        <f>100</f>
        <v>100</v>
      </c>
      <c r="L94">
        <f t="shared" ca="1" si="24"/>
        <v>1.9195365169886429</v>
      </c>
      <c r="M94">
        <f t="shared" ca="1" si="29"/>
        <v>-5.7701293194806456E-3</v>
      </c>
      <c r="N94">
        <f t="shared" ca="1" si="25"/>
        <v>1.9253066463081236</v>
      </c>
      <c r="O94">
        <f t="shared" ca="1" si="26"/>
        <v>6.1723056220193945E-2</v>
      </c>
      <c r="P94" s="3">
        <f t="shared" ca="1" si="11"/>
        <v>1.6256618838516899E-2</v>
      </c>
      <c r="Q94" s="3">
        <f t="shared" ca="1" si="30"/>
        <v>5.9258798215108016E-2</v>
      </c>
      <c r="R94" s="3">
        <f t="shared" ca="1" si="31"/>
        <v>1.061049803005673</v>
      </c>
    </row>
    <row r="95" spans="5:18" ht="15" customHeight="1" x14ac:dyDescent="0.25">
      <c r="E95">
        <v>92</v>
      </c>
      <c r="F95">
        <f t="shared" ca="1" si="27"/>
        <v>0.79812627305523987</v>
      </c>
      <c r="G95">
        <f t="shared" ca="1" si="28"/>
        <v>2003.1791601786122</v>
      </c>
      <c r="H95">
        <f t="shared" ca="1" si="21"/>
        <v>2004.1679377936871</v>
      </c>
      <c r="I95">
        <f t="shared" ca="1" si="22"/>
        <v>2053.328839150518</v>
      </c>
      <c r="J95">
        <f t="shared" ca="1" si="23"/>
        <v>-2.472680154546749E-2</v>
      </c>
      <c r="K95">
        <f>100</f>
        <v>100</v>
      </c>
      <c r="L95">
        <f t="shared" ca="1" si="24"/>
        <v>1.9141685639717139</v>
      </c>
      <c r="M95">
        <f t="shared" ca="1" si="29"/>
        <v>-2.4726801545467492E-3</v>
      </c>
      <c r="N95">
        <f t="shared" ca="1" si="25"/>
        <v>1.9166412441262606</v>
      </c>
      <c r="O95">
        <f t="shared" ca="1" si="26"/>
        <v>9.8877761507492334E-2</v>
      </c>
      <c r="P95" s="3">
        <f t="shared" ca="1" si="11"/>
        <v>-2.7017798804016224E-2</v>
      </c>
      <c r="Q95" s="3">
        <f t="shared" ca="1" si="30"/>
        <v>2.6315119589580993E-2</v>
      </c>
      <c r="R95" s="3">
        <f t="shared" ca="1" si="31"/>
        <v>1.026664419575259</v>
      </c>
    </row>
    <row r="96" spans="5:18" ht="15" customHeight="1" x14ac:dyDescent="0.25">
      <c r="E96">
        <v>93</v>
      </c>
      <c r="F96">
        <f t="shared" ca="1" si="27"/>
        <v>0.79565359290069315</v>
      </c>
      <c r="G96">
        <f t="shared" ca="1" si="28"/>
        <v>2003.2780379401197</v>
      </c>
      <c r="H96">
        <f t="shared" ca="1" si="21"/>
        <v>2003.9148567205191</v>
      </c>
      <c r="I96">
        <f t="shared" ca="1" si="22"/>
        <v>2055.8794560884853</v>
      </c>
      <c r="J96">
        <f t="shared" ca="1" si="23"/>
        <v>-2.5918857762649152E-2</v>
      </c>
      <c r="K96">
        <f>100</f>
        <v>100</v>
      </c>
      <c r="L96">
        <f t="shared" ca="1" si="24"/>
        <v>1.9191109798133539</v>
      </c>
      <c r="M96">
        <f t="shared" ca="1" si="29"/>
        <v>-2.5918857762649156E-3</v>
      </c>
      <c r="N96">
        <f t="shared" ca="1" si="25"/>
        <v>1.9217028655896189</v>
      </c>
      <c r="O96">
        <f t="shared" ca="1" si="26"/>
        <v>6.3681878039938064E-2</v>
      </c>
      <c r="P96" s="3">
        <f t="shared" ca="1" si="11"/>
        <v>3.8729273763698914E-3</v>
      </c>
      <c r="Q96" s="3">
        <f t="shared" ca="1" si="30"/>
        <v>2.7556535006992785E-2</v>
      </c>
      <c r="R96" s="3">
        <f t="shared" ca="1" si="31"/>
        <v>1.0279397280442426</v>
      </c>
    </row>
    <row r="97" spans="2:18" ht="15" customHeight="1" x14ac:dyDescent="0.25">
      <c r="E97">
        <v>94</v>
      </c>
      <c r="F97">
        <f t="shared" ca="1" si="27"/>
        <v>0.79306170712442825</v>
      </c>
      <c r="G97">
        <f t="shared" ca="1" si="28"/>
        <v>2003.3417198181596</v>
      </c>
      <c r="H97">
        <f t="shared" ca="1" si="21"/>
        <v>2003.6596648948303</v>
      </c>
      <c r="I97">
        <f t="shared" ca="1" si="22"/>
        <v>2138.1259189053021</v>
      </c>
      <c r="J97">
        <f t="shared" ca="1" si="23"/>
        <v>-6.5113060385644503E-2</v>
      </c>
      <c r="K97">
        <f>100</f>
        <v>100</v>
      </c>
      <c r="L97">
        <f t="shared" ca="1" si="24"/>
        <v>1.9202953960648301</v>
      </c>
      <c r="M97">
        <f t="shared" ca="1" si="29"/>
        <v>-6.5113060385644508E-3</v>
      </c>
      <c r="N97">
        <f t="shared" ca="1" si="25"/>
        <v>1.9268067021033946</v>
      </c>
      <c r="O97">
        <f t="shared" ca="1" si="26"/>
        <v>3.1794507667063952E-2</v>
      </c>
      <c r="P97" s="3">
        <f t="shared" ca="1" si="11"/>
        <v>4.198164445495399E-2</v>
      </c>
      <c r="Q97" s="3">
        <f t="shared" ca="1" si="30"/>
        <v>6.6782525961247494E-2</v>
      </c>
      <c r="R97" s="3">
        <f t="shared" ca="1" si="31"/>
        <v>1.0690629594526511</v>
      </c>
    </row>
    <row r="98" spans="2:18" ht="15" customHeight="1" x14ac:dyDescent="0.25">
      <c r="E98">
        <v>95</v>
      </c>
      <c r="F98">
        <f t="shared" ca="1" si="27"/>
        <v>0.78655040108586383</v>
      </c>
      <c r="G98">
        <f t="shared" ca="1" si="28"/>
        <v>2003.3735143258266</v>
      </c>
      <c r="H98">
        <f t="shared" ca="1" si="21"/>
        <v>2004.3444841334504</v>
      </c>
      <c r="I98">
        <f t="shared" ca="1" si="22"/>
        <v>2057.3388813082383</v>
      </c>
      <c r="J98">
        <f t="shared" ca="1" si="23"/>
        <v>-2.6580825766054774E-2</v>
      </c>
      <c r="K98">
        <f>100</f>
        <v>100</v>
      </c>
      <c r="L98">
        <f t="shared" ca="1" si="24"/>
        <v>1.9104522347543877</v>
      </c>
      <c r="M98">
        <f t="shared" ca="1" si="29"/>
        <v>-2.6580825766054778E-3</v>
      </c>
      <c r="N98">
        <f t="shared" ca="1" si="25"/>
        <v>1.9131103173309931</v>
      </c>
      <c r="O98">
        <f t="shared" ca="1" si="26"/>
        <v>9.7096980762376009E-2</v>
      </c>
      <c r="P98" s="3">
        <f t="shared" ref="P98:P100" ca="1" si="32">NORMINV(RAND(), 0, $C$34)</f>
        <v>-3.1838111413346651E-2</v>
      </c>
      <c r="Q98" s="3">
        <f t="shared" ca="1" si="30"/>
        <v>2.8266161951776093E-2</v>
      </c>
      <c r="R98" s="3">
        <f t="shared" ca="1" si="31"/>
        <v>1.0286694406541192</v>
      </c>
    </row>
    <row r="99" spans="2:18" ht="15" customHeight="1" x14ac:dyDescent="0.25">
      <c r="E99">
        <v>96</v>
      </c>
      <c r="F99">
        <f t="shared" ca="1" si="27"/>
        <v>0.78389231850925833</v>
      </c>
      <c r="G99">
        <f t="shared" ca="1" si="28"/>
        <v>2003.470611306589</v>
      </c>
      <c r="H99">
        <f t="shared" ca="1" si="21"/>
        <v>2004.3082512233934</v>
      </c>
      <c r="I99">
        <f t="shared" ca="1" si="22"/>
        <v>1983.3216911363547</v>
      </c>
      <c r="J99">
        <f t="shared" ref="J99:J100" ca="1" si="33">LN(G99/I99)</f>
        <v>1.010792145303769E-2</v>
      </c>
      <c r="K99">
        <f>100</f>
        <v>100</v>
      </c>
      <c r="L99">
        <f t="shared" ca="1" si="24"/>
        <v>1.9148457676774342</v>
      </c>
      <c r="M99">
        <f t="shared" ca="1" si="29"/>
        <v>1.010792145303769E-3</v>
      </c>
      <c r="N99">
        <f t="shared" ref="N99:N100" ca="1" si="34">L99-M99</f>
        <v>1.9138349755321304</v>
      </c>
      <c r="O99">
        <f t="shared" ca="1" si="26"/>
        <v>8.3763991680439187E-2</v>
      </c>
      <c r="P99" s="3">
        <f t="shared" ca="1" si="32"/>
        <v>-3.3813665459627072E-2</v>
      </c>
      <c r="Q99" s="3">
        <f t="shared" ca="1" si="30"/>
        <v>-8.374119703028586E-3</v>
      </c>
      <c r="R99" s="3">
        <f t="shared" ca="1" si="31"/>
        <v>0.99166084556817735</v>
      </c>
    </row>
    <row r="100" spans="2:18" ht="15" customHeight="1" x14ac:dyDescent="0.25">
      <c r="E100">
        <v>97</v>
      </c>
      <c r="F100">
        <f t="shared" ca="1" si="27"/>
        <v>0.78490311065456209</v>
      </c>
      <c r="G100">
        <f t="shared" ca="1" si="28"/>
        <v>2003.5543752982694</v>
      </c>
      <c r="H100">
        <f t="shared" ca="1" si="21"/>
        <v>2003.9118947039578</v>
      </c>
      <c r="I100">
        <f t="shared" ca="1" si="22"/>
        <v>1934.9980886957437</v>
      </c>
      <c r="J100">
        <f t="shared" ca="1" si="33"/>
        <v>3.4816452152520543E-2</v>
      </c>
      <c r="K100">
        <f>100</f>
        <v>100</v>
      </c>
      <c r="L100">
        <f t="shared" ca="1" si="24"/>
        <v>1.9252437511360938</v>
      </c>
      <c r="M100">
        <f t="shared" ca="1" si="29"/>
        <v>3.4816452152520543E-3</v>
      </c>
      <c r="N100">
        <f t="shared" ca="1" si="34"/>
        <v>1.9217621059208418</v>
      </c>
      <c r="O100">
        <f t="shared" ca="1" si="26"/>
        <v>3.5751940568843565E-2</v>
      </c>
      <c r="P100" s="3">
        <f t="shared" ca="1" si="32"/>
        <v>-2.5504134100099985E-2</v>
      </c>
      <c r="Q100" s="3">
        <f t="shared" ca="1" si="30"/>
        <v>-3.3040841832825713E-2</v>
      </c>
      <c r="R100" s="3">
        <f t="shared" ca="1" si="31"/>
        <v>0.96749904434787182</v>
      </c>
    </row>
    <row r="101" spans="2:18" ht="15" customHeight="1" x14ac:dyDescent="0.25">
      <c r="C101" s="3"/>
    </row>
    <row r="102" spans="2:18" ht="15" customHeight="1" x14ac:dyDescent="0.25">
      <c r="C102" s="3" t="s">
        <v>51</v>
      </c>
      <c r="F102" s="2">
        <f t="shared" ref="F102:O102" ca="1" si="35">STDEV((F4:F100))</f>
        <v>6.5351702023408759E-2</v>
      </c>
      <c r="G102" s="2">
        <f t="shared" ca="1" si="35"/>
        <v>1.0377559258997093</v>
      </c>
      <c r="H102" s="2">
        <f t="shared" ca="1" si="35"/>
        <v>1.686717156076901</v>
      </c>
      <c r="I102" s="2">
        <f t="shared" ca="1" si="35"/>
        <v>157.94926184904992</v>
      </c>
      <c r="J102" s="2">
        <f t="shared" ca="1" si="35"/>
        <v>7.3513346494570503E-2</v>
      </c>
      <c r="K102" s="2">
        <f t="shared" si="35"/>
        <v>0</v>
      </c>
      <c r="L102" s="2">
        <f t="shared" ca="1" si="35"/>
        <v>3.7102712376258624E-2</v>
      </c>
      <c r="M102" s="2">
        <f t="shared" ca="1" si="35"/>
        <v>7.3513346494570543E-3</v>
      </c>
      <c r="N102" s="2">
        <f t="shared" ca="1" si="35"/>
        <v>3.3734343121537988E-2</v>
      </c>
      <c r="O102" s="2">
        <f t="shared" ca="1" si="35"/>
        <v>0.11842338603012448</v>
      </c>
      <c r="P102" s="2">
        <f ca="1">STDEV(P4:P100)</f>
        <v>4.5030490397515277E-2</v>
      </c>
      <c r="Q102" s="2">
        <f ca="1">STDEV(Q4:Q100)</f>
        <v>7.3480588008147607E-2</v>
      </c>
      <c r="R102" s="2">
        <f ca="1">STDEV(R4:R100)</f>
        <v>7.8974630924524919E-2</v>
      </c>
    </row>
    <row r="103" spans="2:18" ht="15" customHeight="1" x14ac:dyDescent="0.25">
      <c r="C103" s="3"/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12</v>
      </c>
      <c r="P103" s="3" t="s">
        <v>13</v>
      </c>
      <c r="Q103" s="3" t="s">
        <v>14</v>
      </c>
      <c r="R103" s="3" t="s">
        <v>15</v>
      </c>
    </row>
    <row r="104" spans="2:18" ht="15" customHeight="1" x14ac:dyDescent="0.25">
      <c r="C104" s="3"/>
    </row>
    <row r="105" spans="2:18" x14ac:dyDescent="0.25">
      <c r="B105" s="1" t="s">
        <v>52</v>
      </c>
      <c r="C105" s="1">
        <v>0.75</v>
      </c>
    </row>
    <row r="106" spans="2:18" x14ac:dyDescent="0.25">
      <c r="B106" s="1" t="s">
        <v>53</v>
      </c>
      <c r="C106" s="1">
        <v>0.25</v>
      </c>
    </row>
    <row r="107" spans="2:18" x14ac:dyDescent="0.25">
      <c r="C107" s="1" t="s">
        <v>54</v>
      </c>
      <c r="E107" s="2">
        <f ca="1">C105*M102^2+C106*J102^2</f>
        <v>1.3915846190539264E-3</v>
      </c>
    </row>
  </sheetData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07"/>
  <sheetViews>
    <sheetView topLeftCell="A2" workbookViewId="0">
      <selection activeCell="Y85" sqref="Y85"/>
    </sheetView>
  </sheetViews>
  <sheetFormatPr defaultColWidth="11.42578125" defaultRowHeight="15" x14ac:dyDescent="0.25"/>
  <cols>
    <col min="1" max="1" width="28.42578125" style="1" customWidth="1"/>
    <col min="2" max="2" width="12.42578125" style="1" customWidth="1"/>
    <col min="3" max="3" width="13.28515625" style="1" customWidth="1"/>
    <col min="4" max="4" width="5.85546875" style="1" customWidth="1"/>
    <col min="5" max="5" width="11.42578125" style="2" customWidth="1"/>
    <col min="6" max="6" width="9.7109375" style="2" customWidth="1"/>
    <col min="7" max="7" width="8" style="2" customWidth="1"/>
    <col min="8" max="11" width="9.28515625" style="2" customWidth="1"/>
    <col min="12" max="12" width="6.42578125" style="2" customWidth="1"/>
    <col min="13" max="14" width="7.85546875" style="2" customWidth="1"/>
    <col min="15" max="19" width="6.7109375" style="2" customWidth="1"/>
    <col min="20" max="20" width="3.85546875" style="1" customWidth="1"/>
    <col min="21" max="28" width="11.42578125" style="1" customWidth="1"/>
  </cols>
  <sheetData>
    <row r="1" spans="1:68" ht="14.1" customHeight="1" x14ac:dyDescent="0.25">
      <c r="A1" t="s">
        <v>55</v>
      </c>
      <c r="B1">
        <v>0.25</v>
      </c>
      <c r="BL1" s="7"/>
    </row>
    <row r="2" spans="1:68" ht="14.1" customHeight="1" x14ac:dyDescent="0.25">
      <c r="A2" s="2" t="s">
        <v>56</v>
      </c>
      <c r="B2" s="2">
        <v>8</v>
      </c>
      <c r="C2" s="2"/>
      <c r="D2" s="2"/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s="3" t="s">
        <v>13</v>
      </c>
      <c r="Q2" s="3" t="s">
        <v>14</v>
      </c>
      <c r="R2" s="3" t="s">
        <v>15</v>
      </c>
      <c r="S2" s="3"/>
      <c r="BL2" s="6"/>
      <c r="BM2" s="6"/>
      <c r="BN2" s="6"/>
      <c r="BP2" t="s">
        <v>57</v>
      </c>
    </row>
    <row r="3" spans="1:68" ht="14.1" customHeight="1" x14ac:dyDescent="0.25">
      <c r="A3" t="s">
        <v>58</v>
      </c>
      <c r="B3">
        <v>4</v>
      </c>
      <c r="D3" s="2"/>
      <c r="E3">
        <v>0</v>
      </c>
      <c r="F3">
        <f>(Theta*Beta0_0)/Beta1+m_0-(Psi+Theta/Beta1)*ypot_0</f>
        <v>0.99999999999998579</v>
      </c>
      <c r="G3">
        <f>ypot_0</f>
        <v>2000</v>
      </c>
      <c r="H3">
        <f t="shared" ref="H3:H34" si="0">Beta0_0 -Beta1*(L3-M3)</f>
        <v>2000.0000000000014</v>
      </c>
      <c r="I3">
        <f t="shared" ref="I3:I34" si="1">ypot_0*R3</f>
        <v>2000</v>
      </c>
      <c r="J3">
        <f t="shared" ref="J3:J34" si="2">LN(G3/I3)</f>
        <v>0</v>
      </c>
      <c r="K3">
        <f>100</f>
        <v>100</v>
      </c>
      <c r="L3">
        <f>-1/Theta*(m_0-F3-Psi*G3)</f>
        <v>1.9999999999999716</v>
      </c>
      <c r="M3">
        <f>Mi*J3</f>
        <v>0</v>
      </c>
      <c r="N3">
        <f t="shared" ref="N3:N34" si="3">L3-M3</f>
        <v>1.9999999999999716</v>
      </c>
      <c r="O3">
        <f t="shared" ref="O3:O34" si="4">Ni*(H3-G3)</f>
        <v>1.3642420526593926E-13</v>
      </c>
      <c r="P3" s="3">
        <v>0</v>
      </c>
      <c r="Q3" s="3">
        <v>0</v>
      </c>
      <c r="R3" s="3">
        <v>1</v>
      </c>
      <c r="S3" s="3"/>
      <c r="BP3">
        <v>0</v>
      </c>
    </row>
    <row r="4" spans="1:68" ht="14.1" customHeight="1" x14ac:dyDescent="0.25">
      <c r="A4" t="s">
        <v>18</v>
      </c>
      <c r="B4" t="s">
        <v>19</v>
      </c>
      <c r="D4" s="2"/>
      <c r="E4">
        <v>1</v>
      </c>
      <c r="F4">
        <f t="shared" ref="F4:F35" si="5">F3+M3</f>
        <v>0.99999999999998579</v>
      </c>
      <c r="G4">
        <f t="shared" ref="G4:G35" si="6">G3+O3</f>
        <v>2000.0000000000002</v>
      </c>
      <c r="H4">
        <f t="shared" si="0"/>
        <v>2100</v>
      </c>
      <c r="I4">
        <f t="shared" si="1"/>
        <v>2000</v>
      </c>
      <c r="J4">
        <f t="shared" si="2"/>
        <v>2.2204460492503128E-16</v>
      </c>
      <c r="K4">
        <f>K3+1</f>
        <v>101</v>
      </c>
      <c r="L4">
        <f t="shared" ref="L4:L35" si="7">MAX(0, -1/$B$11*(K4-F4-$B$10*G4))</f>
        <v>0</v>
      </c>
      <c r="M4">
        <f t="shared" ref="M4:M35" si="8">Mi*LN(G4/(I4))</f>
        <v>2.2204460492503129E-17</v>
      </c>
      <c r="N4">
        <f t="shared" si="3"/>
        <v>-2.2204460492503129E-17</v>
      </c>
      <c r="O4">
        <f t="shared" si="4"/>
        <v>9.9999999999999787</v>
      </c>
      <c r="P4" s="3">
        <v>0</v>
      </c>
      <c r="Q4" s="3">
        <f t="shared" ref="Q4:Q35" si="9">$C$33*Q3+P4</f>
        <v>0</v>
      </c>
      <c r="R4" s="3">
        <f t="shared" ref="R4:R35" si="10">EXP(Q4)</f>
        <v>1</v>
      </c>
      <c r="S4" s="3"/>
      <c r="BP4">
        <f>IF(1&lt;=$B$2, $B$1,IF(1&lt;=$B$2+$B$3, 0,IF(1&lt;=$B$2+$B$3+$B$5, $B$7, 0)))</f>
        <v>0.25</v>
      </c>
    </row>
    <row r="5" spans="1:68" ht="14.1" customHeight="1" x14ac:dyDescent="0.25">
      <c r="A5" t="s">
        <v>59</v>
      </c>
      <c r="B5">
        <v>8</v>
      </c>
      <c r="D5" s="2"/>
      <c r="E5">
        <v>2</v>
      </c>
      <c r="F5">
        <f t="shared" si="5"/>
        <v>0.99999999999998579</v>
      </c>
      <c r="G5">
        <f t="shared" si="6"/>
        <v>2010.0000000000002</v>
      </c>
      <c r="H5">
        <f t="shared" si="0"/>
        <v>2100.1385453487742</v>
      </c>
      <c r="I5">
        <f t="shared" si="1"/>
        <v>1955.0693233372083</v>
      </c>
      <c r="J5">
        <f t="shared" si="2"/>
        <v>2.770906975480545E-2</v>
      </c>
      <c r="K5">
        <f t="shared" ref="K5:K34" si="11">K4+1</f>
        <v>102</v>
      </c>
      <c r="L5">
        <f t="shared" si="7"/>
        <v>0</v>
      </c>
      <c r="M5">
        <f t="shared" si="8"/>
        <v>2.7709069754805454E-3</v>
      </c>
      <c r="N5">
        <f t="shared" si="3"/>
        <v>-2.7709069754805454E-3</v>
      </c>
      <c r="O5">
        <f t="shared" si="4"/>
        <v>9.013854534877396</v>
      </c>
      <c r="P5" s="3">
        <v>-2.2721528243766279E-2</v>
      </c>
      <c r="Q5" s="3">
        <f t="shared" si="9"/>
        <v>-2.2721528243766279E-2</v>
      </c>
      <c r="R5" s="3">
        <f t="shared" si="10"/>
        <v>0.97753466166860414</v>
      </c>
      <c r="S5" s="3"/>
      <c r="BP5">
        <f>IF(2&lt;=$B$2, $B$1,IF(2&lt;=$B$2+$B$3, 0,IF(2&lt;=$B$2+$B$3+$B$5, $B$7, 0)))</f>
        <v>0.25</v>
      </c>
    </row>
    <row r="6" spans="1:68" ht="14.1" customHeight="1" x14ac:dyDescent="0.25">
      <c r="A6" t="s">
        <v>60</v>
      </c>
      <c r="B6">
        <v>100</v>
      </c>
      <c r="D6" s="2"/>
      <c r="E6">
        <v>3</v>
      </c>
      <c r="F6">
        <f t="shared" si="5"/>
        <v>1.0027709069754662</v>
      </c>
      <c r="G6">
        <f t="shared" si="6"/>
        <v>2019.0138545348777</v>
      </c>
      <c r="H6">
        <f t="shared" si="0"/>
        <v>2100.2414251375981</v>
      </c>
      <c r="I6">
        <f t="shared" si="1"/>
        <v>1923.8418952967597</v>
      </c>
      <c r="J6">
        <f t="shared" si="2"/>
        <v>4.8285027519576952E-2</v>
      </c>
      <c r="K6">
        <f t="shared" si="11"/>
        <v>103</v>
      </c>
      <c r="L6">
        <f t="shared" si="7"/>
        <v>0</v>
      </c>
      <c r="M6">
        <f t="shared" si="8"/>
        <v>4.8285027519576959E-3</v>
      </c>
      <c r="N6">
        <f t="shared" si="3"/>
        <v>-4.8285027519576959E-3</v>
      </c>
      <c r="O6">
        <f t="shared" si="4"/>
        <v>8.1227570602720345</v>
      </c>
      <c r="P6" s="3">
        <v>-1.837363127527545E-2</v>
      </c>
      <c r="Q6" s="3">
        <f t="shared" si="9"/>
        <v>-3.8823006694665096E-2</v>
      </c>
      <c r="R6" s="3">
        <f t="shared" si="10"/>
        <v>0.96192094764837988</v>
      </c>
      <c r="S6" s="3"/>
      <c r="BP6">
        <f>IF(3&lt;=$B$2, $B$1,IF(3&lt;=$B$2+$B$3, 0,IF(3&lt;=$B$2+$B$3+$B$5, $B$7, 0)))</f>
        <v>0.25</v>
      </c>
    </row>
    <row r="7" spans="1:68" ht="14.1" customHeight="1" x14ac:dyDescent="0.25">
      <c r="A7" t="s">
        <v>61</v>
      </c>
      <c r="B7">
        <f>- (INDEX(K:K, 4 + $B$2 + $B$3 - 1) - $B$6) / $B$5</f>
        <v>-1.5</v>
      </c>
      <c r="D7" s="2"/>
      <c r="E7">
        <v>4</v>
      </c>
      <c r="F7">
        <f t="shared" si="5"/>
        <v>1.0075994097274239</v>
      </c>
      <c r="G7">
        <f t="shared" si="6"/>
        <v>2027.1366115951498</v>
      </c>
      <c r="H7">
        <f t="shared" si="0"/>
        <v>2100.0678097473592</v>
      </c>
      <c r="I7">
        <f t="shared" si="1"/>
        <v>1999.8302694410559</v>
      </c>
      <c r="J7">
        <f t="shared" si="2"/>
        <v>1.3561949471866187E-2</v>
      </c>
      <c r="K7">
        <f t="shared" si="11"/>
        <v>104</v>
      </c>
      <c r="L7">
        <f t="shared" si="7"/>
        <v>0</v>
      </c>
      <c r="M7">
        <f t="shared" si="8"/>
        <v>1.3561949471866189E-3</v>
      </c>
      <c r="N7">
        <f t="shared" si="3"/>
        <v>-1.3561949471866189E-3</v>
      </c>
      <c r="O7">
        <f t="shared" si="4"/>
        <v>7.2931198152209396</v>
      </c>
      <c r="P7" s="3">
        <v>3.4855837144464913E-2</v>
      </c>
      <c r="Q7" s="3">
        <f t="shared" si="9"/>
        <v>-8.4868880733675323E-5</v>
      </c>
      <c r="R7" s="3">
        <f t="shared" si="10"/>
        <v>0.99991513472052795</v>
      </c>
      <c r="S7" s="3"/>
      <c r="BP7">
        <f>IF(4&lt;=$B$2, $B$1,IF(4&lt;=$B$2+$B$3, 0,IF(4&lt;=$B$2+$B$3+$B$5, $B$7, 0)))</f>
        <v>0.25</v>
      </c>
    </row>
    <row r="8" spans="1:68" ht="14.1" customHeight="1" x14ac:dyDescent="0.25">
      <c r="D8" s="2"/>
      <c r="E8">
        <v>5</v>
      </c>
      <c r="F8">
        <f t="shared" si="5"/>
        <v>1.0089556046746104</v>
      </c>
      <c r="G8">
        <f t="shared" si="6"/>
        <v>2034.4297314103708</v>
      </c>
      <c r="H8">
        <f t="shared" si="0"/>
        <v>2099.7855551719235</v>
      </c>
      <c r="I8">
        <f t="shared" si="1"/>
        <v>2123.5824872642943</v>
      </c>
      <c r="J8">
        <f t="shared" si="2"/>
        <v>-4.2888965615304003E-2</v>
      </c>
      <c r="K8">
        <f t="shared" si="11"/>
        <v>105</v>
      </c>
      <c r="L8">
        <f t="shared" si="7"/>
        <v>0</v>
      </c>
      <c r="M8">
        <f t="shared" si="8"/>
        <v>-4.2888965615304007E-3</v>
      </c>
      <c r="N8">
        <f t="shared" si="3"/>
        <v>4.2888965615304007E-3</v>
      </c>
      <c r="O8">
        <f t="shared" si="4"/>
        <v>6.5355823761552756</v>
      </c>
      <c r="P8" s="3">
        <v>6.0033716405565499E-2</v>
      </c>
      <c r="Q8" s="3">
        <f t="shared" si="9"/>
        <v>5.995733441290519E-2</v>
      </c>
      <c r="R8" s="3">
        <f t="shared" si="10"/>
        <v>1.0617912436321471</v>
      </c>
      <c r="S8" s="3"/>
      <c r="BO8" s="5"/>
      <c r="BP8">
        <f>IF(5&lt;=$B$2, $B$1,IF(5&lt;=$B$2+$B$3, 0,IF(5&lt;=$B$2+$B$3+$B$5, $B$7, 0)))</f>
        <v>0.25</v>
      </c>
    </row>
    <row r="9" spans="1:68" ht="14.1" customHeight="1" x14ac:dyDescent="0.25">
      <c r="A9" t="s">
        <v>24</v>
      </c>
      <c r="D9" s="2"/>
      <c r="E9">
        <v>6</v>
      </c>
      <c r="F9">
        <f t="shared" si="5"/>
        <v>1.00466670811308</v>
      </c>
      <c r="G9">
        <f t="shared" si="6"/>
        <v>2040.9653137865262</v>
      </c>
      <c r="H9">
        <f t="shared" si="0"/>
        <v>2099.4109044006345</v>
      </c>
      <c r="I9">
        <f t="shared" si="1"/>
        <v>2296.1688319686768</v>
      </c>
      <c r="J9">
        <f t="shared" si="2"/>
        <v>-0.11781911987307969</v>
      </c>
      <c r="K9">
        <f t="shared" si="11"/>
        <v>106</v>
      </c>
      <c r="L9">
        <f t="shared" si="7"/>
        <v>0</v>
      </c>
      <c r="M9">
        <f t="shared" si="8"/>
        <v>-1.1781911987307971E-2</v>
      </c>
      <c r="N9">
        <f t="shared" si="3"/>
        <v>1.1781911987307971E-2</v>
      </c>
      <c r="O9">
        <f t="shared" si="4"/>
        <v>5.8445590614108376</v>
      </c>
      <c r="P9" s="3">
        <v>8.4133227309737879E-2</v>
      </c>
      <c r="Q9" s="3">
        <f t="shared" si="9"/>
        <v>0.13809482828135256</v>
      </c>
      <c r="R9" s="3">
        <f t="shared" si="10"/>
        <v>1.1480844159843384</v>
      </c>
      <c r="S9" s="3"/>
      <c r="BP9">
        <f>IF(6&lt;=$B$2, $B$1,IF(6&lt;=$B$2+$B$3, 0,IF(6&lt;=$B$2+$B$3+$B$5, $B$7, 0)))</f>
        <v>0.25</v>
      </c>
    </row>
    <row r="10" spans="1:68" ht="14.1" customHeight="1" x14ac:dyDescent="0.25">
      <c r="A10" t="s">
        <v>25</v>
      </c>
      <c r="B10">
        <v>0.05</v>
      </c>
      <c r="D10" s="2"/>
      <c r="E10">
        <v>7</v>
      </c>
      <c r="F10">
        <f t="shared" si="5"/>
        <v>0.99288479612577207</v>
      </c>
      <c r="G10">
        <f t="shared" si="6"/>
        <v>2046.809872847937</v>
      </c>
      <c r="H10">
        <f t="shared" si="0"/>
        <v>2099.7144044644624</v>
      </c>
      <c r="I10">
        <f t="shared" si="1"/>
        <v>2167.1252693164065</v>
      </c>
      <c r="J10">
        <f t="shared" si="2"/>
        <v>-5.7119107107499657E-2</v>
      </c>
      <c r="K10">
        <f t="shared" si="11"/>
        <v>107</v>
      </c>
      <c r="L10">
        <f t="shared" si="7"/>
        <v>0</v>
      </c>
      <c r="M10">
        <f t="shared" si="8"/>
        <v>-5.7119107107499664E-3</v>
      </c>
      <c r="N10">
        <f t="shared" si="3"/>
        <v>5.7119107107499664E-3</v>
      </c>
      <c r="O10">
        <f t="shared" si="4"/>
        <v>5.290453161652545</v>
      </c>
      <c r="P10" s="3">
        <v>-4.4030997415664443E-2</v>
      </c>
      <c r="Q10" s="3">
        <f t="shared" si="9"/>
        <v>8.0254348037552853E-2</v>
      </c>
      <c r="R10" s="3">
        <f t="shared" si="10"/>
        <v>1.0835626346582032</v>
      </c>
      <c r="S10" s="3"/>
      <c r="BP10">
        <f>IF(7&lt;=$B$2, $B$1,IF(7&lt;=$B$2+$B$3, 0,IF(7&lt;=$B$2+$B$3+$B$5, $B$7, 0)))</f>
        <v>0.25</v>
      </c>
    </row>
    <row r="11" spans="1:68" ht="14.1" customHeight="1" x14ac:dyDescent="0.25">
      <c r="A11" t="s">
        <v>26</v>
      </c>
      <c r="B11">
        <v>0.5</v>
      </c>
      <c r="D11" s="2"/>
      <c r="E11">
        <v>8</v>
      </c>
      <c r="F11">
        <f t="shared" si="5"/>
        <v>0.98717288541502213</v>
      </c>
      <c r="G11">
        <f t="shared" si="6"/>
        <v>2052.1003260095895</v>
      </c>
      <c r="H11">
        <f t="shared" si="0"/>
        <v>2099.5436451657597</v>
      </c>
      <c r="I11">
        <f t="shared" si="1"/>
        <v>2248.2109908773232</v>
      </c>
      <c r="J11">
        <f t="shared" si="2"/>
        <v>-9.1270966848075979E-2</v>
      </c>
      <c r="K11">
        <f t="shared" si="11"/>
        <v>108</v>
      </c>
      <c r="L11">
        <f t="shared" si="7"/>
        <v>0</v>
      </c>
      <c r="M11">
        <f t="shared" si="8"/>
        <v>-9.127096684807599E-3</v>
      </c>
      <c r="N11">
        <f t="shared" si="3"/>
        <v>9.127096684807599E-3</v>
      </c>
      <c r="O11">
        <f t="shared" si="4"/>
        <v>4.7443319156170221</v>
      </c>
      <c r="P11" s="3">
        <v>4.4758690985229041E-2</v>
      </c>
      <c r="Q11" s="3">
        <f t="shared" si="9"/>
        <v>0.11698760421902661</v>
      </c>
      <c r="R11" s="3">
        <f t="shared" si="10"/>
        <v>1.1241054954386616</v>
      </c>
      <c r="S11" s="3"/>
      <c r="BP11">
        <f>IF(8&lt;=$B$2, $B$1,IF(8&lt;=$B$2+$B$3, 0,IF(8&lt;=$B$2+$B$3+$B$5, $B$7, 0)))</f>
        <v>0.25</v>
      </c>
    </row>
    <row r="12" spans="1:68" ht="14.1" customHeight="1" x14ac:dyDescent="0.25">
      <c r="A12" t="s">
        <v>27</v>
      </c>
      <c r="B12">
        <v>50</v>
      </c>
      <c r="C12" t="s">
        <v>1</v>
      </c>
      <c r="D12" s="2"/>
      <c r="E12">
        <v>9</v>
      </c>
      <c r="F12">
        <f t="shared" si="5"/>
        <v>0.97804578873021453</v>
      </c>
      <c r="G12">
        <f t="shared" si="6"/>
        <v>2056.8446579252063</v>
      </c>
      <c r="H12">
        <f t="shared" si="0"/>
        <v>2099.5256269547062</v>
      </c>
      <c r="I12">
        <f t="shared" si="1"/>
        <v>2261.5438468148413</v>
      </c>
      <c r="J12">
        <f t="shared" si="2"/>
        <v>-9.4874609058724316E-2</v>
      </c>
      <c r="K12">
        <f t="shared" si="11"/>
        <v>109</v>
      </c>
      <c r="L12">
        <f t="shared" si="7"/>
        <v>0</v>
      </c>
      <c r="M12">
        <f t="shared" si="8"/>
        <v>-9.4874609058724323E-3</v>
      </c>
      <c r="N12">
        <f t="shared" si="3"/>
        <v>9.4874609058724323E-3</v>
      </c>
      <c r="O12">
        <f t="shared" si="4"/>
        <v>4.268096902949992</v>
      </c>
      <c r="P12" s="3">
        <v>1.761167376785245E-2</v>
      </c>
      <c r="Q12" s="3">
        <f t="shared" si="9"/>
        <v>0.12290051756497641</v>
      </c>
      <c r="R12" s="3">
        <f t="shared" si="10"/>
        <v>1.1307719234074207</v>
      </c>
      <c r="S12" s="3"/>
      <c r="BP12">
        <f>IF(9&lt;=$B$2, $B$1,IF(9&lt;=$B$2+$B$3, 0,IF(9&lt;=$B$2+$B$3+$B$5, $B$7, 0)))</f>
        <v>0</v>
      </c>
    </row>
    <row r="13" spans="1:68" ht="14.1" customHeight="1" x14ac:dyDescent="0.25">
      <c r="A13" t="s">
        <v>28</v>
      </c>
      <c r="B13">
        <v>0.1</v>
      </c>
      <c r="D13" s="2"/>
      <c r="E13">
        <v>10</v>
      </c>
      <c r="F13">
        <f t="shared" si="5"/>
        <v>0.96855832782434215</v>
      </c>
      <c r="G13">
        <f t="shared" si="6"/>
        <v>2061.1127548281565</v>
      </c>
      <c r="H13">
        <f t="shared" si="0"/>
        <v>2099.8400072534514</v>
      </c>
      <c r="I13">
        <f t="shared" si="1"/>
        <v>2128.1319125052701</v>
      </c>
      <c r="J13">
        <f t="shared" si="2"/>
        <v>-3.1998549309748658E-2</v>
      </c>
      <c r="K13">
        <f t="shared" si="11"/>
        <v>110</v>
      </c>
      <c r="L13">
        <f t="shared" si="7"/>
        <v>0</v>
      </c>
      <c r="M13">
        <f t="shared" si="8"/>
        <v>-3.199854930974866E-3</v>
      </c>
      <c r="N13">
        <f t="shared" si="3"/>
        <v>3.199854930974866E-3</v>
      </c>
      <c r="O13">
        <f t="shared" si="4"/>
        <v>3.8727252425294867</v>
      </c>
      <c r="P13" s="3">
        <v>-4.851308785101871E-2</v>
      </c>
      <c r="Q13" s="3">
        <f t="shared" si="9"/>
        <v>6.2097377957460065E-2</v>
      </c>
      <c r="R13" s="3">
        <f t="shared" si="10"/>
        <v>1.0640659562526351</v>
      </c>
      <c r="S13" s="3"/>
      <c r="U13" s="1" t="s">
        <v>1</v>
      </c>
      <c r="BP13">
        <f>IF(10&lt;=$B$2, $B$1,IF(10&lt;=$B$2+$B$3, 0,IF(10&lt;=$B$2+$B$3+$B$5, $B$7, 0)))</f>
        <v>0</v>
      </c>
    </row>
    <row r="14" spans="1:68" ht="14.1" customHeight="1" x14ac:dyDescent="0.25">
      <c r="A14" t="s">
        <v>29</v>
      </c>
      <c r="B14">
        <v>0.1</v>
      </c>
      <c r="D14" s="2"/>
      <c r="E14">
        <v>11</v>
      </c>
      <c r="F14">
        <f t="shared" si="5"/>
        <v>0.96535847289336729</v>
      </c>
      <c r="G14">
        <f t="shared" si="6"/>
        <v>2064.9854800706862</v>
      </c>
      <c r="H14">
        <f t="shared" si="0"/>
        <v>2099.7661125407394</v>
      </c>
      <c r="I14">
        <f t="shared" si="1"/>
        <v>2163.8751966592145</v>
      </c>
      <c r="J14">
        <f t="shared" si="2"/>
        <v>-4.6777491852134451E-2</v>
      </c>
      <c r="K14">
        <f t="shared" si="11"/>
        <v>111</v>
      </c>
      <c r="L14">
        <f t="shared" si="7"/>
        <v>0</v>
      </c>
      <c r="M14">
        <f t="shared" si="8"/>
        <v>-4.6777491852134454E-3</v>
      </c>
      <c r="N14">
        <f t="shared" si="3"/>
        <v>4.6777491852134454E-3</v>
      </c>
      <c r="O14">
        <f t="shared" si="4"/>
        <v>3.4780632470053208</v>
      </c>
      <c r="P14" s="3">
        <v>2.2865866075983388E-2</v>
      </c>
      <c r="Q14" s="3">
        <f t="shared" si="9"/>
        <v>7.8753506237697446E-2</v>
      </c>
      <c r="R14" s="3">
        <f t="shared" si="10"/>
        <v>1.0819375983296071</v>
      </c>
      <c r="S14" s="3"/>
      <c r="BP14">
        <f>IF(11&lt;=$B$2, $B$1,IF(11&lt;=$B$2+$B$3, 0,IF(11&lt;=$B$2+$B$3+$B$5, $B$7, 0)))</f>
        <v>0</v>
      </c>
    </row>
    <row r="15" spans="1:68" ht="14.1" customHeight="1" x14ac:dyDescent="0.25">
      <c r="C15" t="s">
        <v>1</v>
      </c>
      <c r="D15" s="2"/>
      <c r="E15">
        <v>12</v>
      </c>
      <c r="F15">
        <f t="shared" si="5"/>
        <v>0.96068072370815383</v>
      </c>
      <c r="G15">
        <f t="shared" si="6"/>
        <v>2068.4635433176913</v>
      </c>
      <c r="H15">
        <f t="shared" si="0"/>
        <v>2100.2428895403268</v>
      </c>
      <c r="I15">
        <f t="shared" si="1"/>
        <v>1970.3834608846819</v>
      </c>
      <c r="J15">
        <f t="shared" si="2"/>
        <v>4.8577908065397531E-2</v>
      </c>
      <c r="K15">
        <f t="shared" si="11"/>
        <v>112</v>
      </c>
      <c r="L15">
        <f t="shared" si="7"/>
        <v>0</v>
      </c>
      <c r="M15">
        <f t="shared" si="8"/>
        <v>4.8577908065397532E-3</v>
      </c>
      <c r="N15">
        <f t="shared" si="3"/>
        <v>-4.8577908065397532E-3</v>
      </c>
      <c r="O15">
        <f t="shared" si="4"/>
        <v>3.1779346222635469</v>
      </c>
      <c r="P15" s="3">
        <v>-8.5797162170597088E-2</v>
      </c>
      <c r="Q15" s="3">
        <f t="shared" si="9"/>
        <v>-1.491900655666939E-2</v>
      </c>
      <c r="R15" s="3">
        <f t="shared" si="10"/>
        <v>0.98519173044234098</v>
      </c>
      <c r="S15" s="3"/>
      <c r="BP15">
        <f>IF(12&lt;=$B$2, $B$1,IF(12&lt;=$B$2+$B$3, 0,IF(12&lt;=$B$2+$B$3+$B$5, $B$7, 0)))</f>
        <v>0</v>
      </c>
    </row>
    <row r="16" spans="1:68" ht="14.1" customHeight="1" x14ac:dyDescent="0.25">
      <c r="A16" t="s">
        <v>30</v>
      </c>
      <c r="B16" t="s">
        <v>31</v>
      </c>
      <c r="C16" t="s">
        <v>32</v>
      </c>
      <c r="D16" s="2"/>
      <c r="E16">
        <v>13</v>
      </c>
      <c r="F16">
        <f t="shared" si="5"/>
        <v>0.96553851451469364</v>
      </c>
      <c r="G16">
        <f t="shared" si="6"/>
        <v>2071.6414779399547</v>
      </c>
      <c r="H16">
        <f t="shared" si="0"/>
        <v>2100.3949474150963</v>
      </c>
      <c r="I16">
        <f t="shared" si="1"/>
        <v>1914.2995672987145</v>
      </c>
      <c r="J16">
        <f t="shared" si="2"/>
        <v>7.8989483019282075E-2</v>
      </c>
      <c r="K16">
        <f t="shared" si="11"/>
        <v>113</v>
      </c>
      <c r="L16">
        <f t="shared" si="7"/>
        <v>0</v>
      </c>
      <c r="M16">
        <f t="shared" si="8"/>
        <v>7.8989483019282075E-3</v>
      </c>
      <c r="N16">
        <f t="shared" si="3"/>
        <v>-7.8989483019282075E-3</v>
      </c>
      <c r="O16">
        <f t="shared" si="4"/>
        <v>2.8753469475141631</v>
      </c>
      <c r="P16" s="3">
        <v>-3.036828013499273E-2</v>
      </c>
      <c r="Q16" s="3">
        <f t="shared" si="9"/>
        <v>-4.3795386035995185E-2</v>
      </c>
      <c r="R16" s="3">
        <f t="shared" si="10"/>
        <v>0.95714978364935721</v>
      </c>
      <c r="S16" s="3"/>
      <c r="BP16">
        <f>IF(13&lt;=$B$2, $B$1,IF(13&lt;=$B$2+$B$3, 0,IF(13&lt;=$B$2+$B$3+$B$5, $B$7, 0)))</f>
        <v>-1.5</v>
      </c>
    </row>
    <row r="17" spans="1:68" ht="14.1" customHeight="1" x14ac:dyDescent="0.25">
      <c r="A17" t="s">
        <v>33</v>
      </c>
      <c r="B17">
        <v>100</v>
      </c>
      <c r="C17">
        <v>100</v>
      </c>
      <c r="D17" s="2"/>
      <c r="E17">
        <v>14</v>
      </c>
      <c r="F17">
        <f t="shared" si="5"/>
        <v>0.9734374628166218</v>
      </c>
      <c r="G17">
        <f t="shared" si="6"/>
        <v>2074.5168248874688</v>
      </c>
      <c r="H17">
        <f t="shared" si="0"/>
        <v>2100.3655356532076</v>
      </c>
      <c r="I17">
        <f t="shared" si="1"/>
        <v>1928.2659748812948</v>
      </c>
      <c r="J17">
        <f t="shared" si="2"/>
        <v>7.3107130641485413E-2</v>
      </c>
      <c r="K17">
        <f t="shared" si="11"/>
        <v>114</v>
      </c>
      <c r="L17">
        <f t="shared" si="7"/>
        <v>0</v>
      </c>
      <c r="M17">
        <f t="shared" si="8"/>
        <v>7.3107130641485414E-3</v>
      </c>
      <c r="N17">
        <f t="shared" si="3"/>
        <v>-7.3107130641485414E-3</v>
      </c>
      <c r="O17">
        <f t="shared" si="4"/>
        <v>2.5848710765738816</v>
      </c>
      <c r="P17" s="3">
        <v>2.889807322662339E-3</v>
      </c>
      <c r="Q17" s="3">
        <f t="shared" si="9"/>
        <v>-3.6526040109733329E-2</v>
      </c>
      <c r="R17" s="3">
        <f t="shared" si="10"/>
        <v>0.96413298744064746</v>
      </c>
      <c r="S17" s="3"/>
      <c r="BP17">
        <f>IF(14&lt;=$B$2, $B$1,IF(14&lt;=$B$2+$B$3, 0,IF(14&lt;=$B$2+$B$3+$B$5, $B$7, 0)))</f>
        <v>-1.5</v>
      </c>
    </row>
    <row r="18" spans="1:68" ht="14.1" customHeight="1" x14ac:dyDescent="0.25">
      <c r="A18" t="s">
        <v>34</v>
      </c>
      <c r="B18">
        <v>2100</v>
      </c>
      <c r="C18">
        <v>2100</v>
      </c>
      <c r="D18" s="2"/>
      <c r="E18">
        <v>15</v>
      </c>
      <c r="F18">
        <f t="shared" si="5"/>
        <v>0.98074817588077035</v>
      </c>
      <c r="G18">
        <f t="shared" si="6"/>
        <v>2077.1016959640428</v>
      </c>
      <c r="H18">
        <f t="shared" si="0"/>
        <v>2100.2354490755883</v>
      </c>
      <c r="I18">
        <f t="shared" si="1"/>
        <v>1981.5585697241959</v>
      </c>
      <c r="J18">
        <f t="shared" si="2"/>
        <v>4.7089815117650272E-2</v>
      </c>
      <c r="K18">
        <f t="shared" si="11"/>
        <v>115</v>
      </c>
      <c r="L18">
        <f t="shared" si="7"/>
        <v>0</v>
      </c>
      <c r="M18">
        <f t="shared" si="8"/>
        <v>4.7089815117650272E-3</v>
      </c>
      <c r="N18">
        <f t="shared" si="3"/>
        <v>-4.7089815117650272E-3</v>
      </c>
      <c r="O18">
        <f t="shared" si="4"/>
        <v>2.3133753111545503</v>
      </c>
      <c r="P18" s="3">
        <v>2.3609947026482531E-2</v>
      </c>
      <c r="Q18" s="3">
        <f t="shared" si="9"/>
        <v>-9.2634890722774685E-3</v>
      </c>
      <c r="R18" s="3">
        <f t="shared" si="10"/>
        <v>0.99077928486209799</v>
      </c>
      <c r="S18" s="3"/>
      <c r="BP18">
        <f>IF(15&lt;=$B$2, $B$1,IF(15&lt;=$B$2+$B$3, 0,IF(15&lt;=$B$2+$B$3+$B$5, $B$7, 0)))</f>
        <v>-1.5</v>
      </c>
    </row>
    <row r="19" spans="1:68" ht="14.1" customHeight="1" x14ac:dyDescent="0.25">
      <c r="A19" t="s">
        <v>35</v>
      </c>
      <c r="B19">
        <v>2000</v>
      </c>
      <c r="C19">
        <v>2000</v>
      </c>
      <c r="D19" s="2"/>
      <c r="E19">
        <v>16</v>
      </c>
      <c r="F19">
        <f t="shared" si="5"/>
        <v>0.98545715739253537</v>
      </c>
      <c r="G19">
        <f t="shared" si="6"/>
        <v>2079.4150712751975</v>
      </c>
      <c r="H19">
        <f t="shared" si="0"/>
        <v>2100.0134094128075</v>
      </c>
      <c r="I19">
        <f t="shared" si="1"/>
        <v>2073.8457956670327</v>
      </c>
      <c r="J19">
        <f t="shared" si="2"/>
        <v>2.6818825615191858E-3</v>
      </c>
      <c r="K19">
        <f t="shared" si="11"/>
        <v>116</v>
      </c>
      <c r="L19">
        <f t="shared" si="7"/>
        <v>0</v>
      </c>
      <c r="M19">
        <f t="shared" si="8"/>
        <v>2.6818825615191857E-4</v>
      </c>
      <c r="N19">
        <f t="shared" si="3"/>
        <v>-2.6818825615191857E-4</v>
      </c>
      <c r="O19">
        <f t="shared" si="4"/>
        <v>2.0598338137609971</v>
      </c>
      <c r="P19" s="3">
        <v>4.4594715475174893E-2</v>
      </c>
      <c r="Q19" s="3">
        <f t="shared" si="9"/>
        <v>3.6257575310125169E-2</v>
      </c>
      <c r="R19" s="3">
        <f t="shared" si="10"/>
        <v>1.0369228978335163</v>
      </c>
      <c r="S19" s="3"/>
      <c r="BP19">
        <f>IF(16&lt;=$B$2, $B$1,IF(16&lt;=$B$2+$B$3, 0,IF(16&lt;=$B$2+$B$3+$B$5, $B$7, 0)))</f>
        <v>-1.5</v>
      </c>
    </row>
    <row r="20" spans="1:68" ht="14.1" customHeight="1" x14ac:dyDescent="0.25">
      <c r="D20" s="2"/>
      <c r="E20">
        <v>17</v>
      </c>
      <c r="F20">
        <f t="shared" si="5"/>
        <v>0.9857253456486873</v>
      </c>
      <c r="G20">
        <f t="shared" si="6"/>
        <v>2081.4749050889586</v>
      </c>
      <c r="H20">
        <f t="shared" si="0"/>
        <v>2099.4593186579918</v>
      </c>
      <c r="I20">
        <f t="shared" si="1"/>
        <v>2319.1784342995979</v>
      </c>
      <c r="J20">
        <f t="shared" si="2"/>
        <v>-0.10813626840159508</v>
      </c>
      <c r="K20">
        <f t="shared" si="11"/>
        <v>117</v>
      </c>
      <c r="L20">
        <f t="shared" si="7"/>
        <v>0</v>
      </c>
      <c r="M20">
        <f t="shared" si="8"/>
        <v>-1.0813626840159509E-2</v>
      </c>
      <c r="N20">
        <f t="shared" si="3"/>
        <v>1.0813626840159509E-2</v>
      </c>
      <c r="O20">
        <f t="shared" si="4"/>
        <v>1.7984413569033224</v>
      </c>
      <c r="P20" s="3">
        <v>0.11543400147602741</v>
      </c>
      <c r="Q20" s="3">
        <f t="shared" si="9"/>
        <v>0.14806581925514006</v>
      </c>
      <c r="R20" s="3">
        <f t="shared" si="10"/>
        <v>1.159589217149799</v>
      </c>
      <c r="S20" s="3"/>
      <c r="BP20">
        <f>IF(17&lt;=$B$2, $B$1,IF(17&lt;=$B$2+$B$3, 0,IF(17&lt;=$B$2+$B$3+$B$5, $B$7, 0)))</f>
        <v>-1.5</v>
      </c>
    </row>
    <row r="21" spans="1:68" ht="14.1" customHeight="1" x14ac:dyDescent="0.25">
      <c r="A21" t="s">
        <v>36</v>
      </c>
      <c r="B21" t="s">
        <v>37</v>
      </c>
      <c r="C21" t="s">
        <v>38</v>
      </c>
      <c r="D21" s="2"/>
      <c r="E21">
        <v>18</v>
      </c>
      <c r="F21">
        <f t="shared" si="5"/>
        <v>0.97491171880852778</v>
      </c>
      <c r="G21">
        <f t="shared" si="6"/>
        <v>2083.273346445862</v>
      </c>
      <c r="H21">
        <f t="shared" si="0"/>
        <v>2099.6237638486755</v>
      </c>
      <c r="I21">
        <f t="shared" si="1"/>
        <v>2246.0825530411512</v>
      </c>
      <c r="J21">
        <f t="shared" si="2"/>
        <v>-7.5247230264885695E-2</v>
      </c>
      <c r="K21">
        <f t="shared" si="11"/>
        <v>118</v>
      </c>
      <c r="L21">
        <f t="shared" si="7"/>
        <v>0</v>
      </c>
      <c r="M21">
        <f t="shared" si="8"/>
        <v>-7.5247230264885697E-3</v>
      </c>
      <c r="N21">
        <f t="shared" si="3"/>
        <v>7.5247230264885697E-3</v>
      </c>
      <c r="O21">
        <f t="shared" si="4"/>
        <v>1.6350417402813493</v>
      </c>
      <c r="P21" s="3">
        <v>-1.7218806665018259E-2</v>
      </c>
      <c r="Q21" s="3">
        <f t="shared" si="9"/>
        <v>0.11604043066460779</v>
      </c>
      <c r="R21" s="3">
        <f t="shared" si="10"/>
        <v>1.1230412765205755</v>
      </c>
      <c r="S21" s="3"/>
      <c r="BP21">
        <f>IF(18&lt;=$B$2, $B$1,IF(18&lt;=$B$2+$B$3, 0,IF(18&lt;=$B$2+$B$3+$B$5, $B$7, 0)))</f>
        <v>-1.5</v>
      </c>
    </row>
    <row r="22" spans="1:68" ht="14.1" customHeight="1" x14ac:dyDescent="0.25">
      <c r="A22" t="s">
        <v>39</v>
      </c>
      <c r="B22">
        <f>(Theta*Beta0_0)/Beta1+m_0-(Psi+Theta/Beta1)*ybar0</f>
        <v>0.99999999999998579</v>
      </c>
      <c r="C22">
        <f>(Theta*Beta0_1)/Beta1+m_1-(Psi+Theta/Beta1)*ybar1</f>
        <v>0.99999999999998579</v>
      </c>
      <c r="D22" s="2"/>
      <c r="E22">
        <v>19</v>
      </c>
      <c r="F22">
        <f t="shared" si="5"/>
        <v>0.96738699578203924</v>
      </c>
      <c r="G22">
        <f t="shared" si="6"/>
        <v>2084.9083881861434</v>
      </c>
      <c r="H22">
        <f t="shared" si="0"/>
        <v>2099.9821066620375</v>
      </c>
      <c r="I22">
        <f t="shared" si="1"/>
        <v>2092.3829487751095</v>
      </c>
      <c r="J22">
        <f t="shared" si="2"/>
        <v>-3.5786675925460055E-3</v>
      </c>
      <c r="K22">
        <f t="shared" si="11"/>
        <v>119</v>
      </c>
      <c r="L22">
        <f t="shared" si="7"/>
        <v>0</v>
      </c>
      <c r="M22">
        <f t="shared" si="8"/>
        <v>-3.5786675925460058E-4</v>
      </c>
      <c r="N22">
        <f t="shared" si="3"/>
        <v>3.5786675925460058E-4</v>
      </c>
      <c r="O22">
        <f t="shared" si="4"/>
        <v>1.5073718475894111</v>
      </c>
      <c r="P22" s="3">
        <v>-5.9279984799941933E-2</v>
      </c>
      <c r="Q22" s="3">
        <f t="shared" si="9"/>
        <v>4.5156402798205077E-2</v>
      </c>
      <c r="R22" s="3">
        <f t="shared" si="10"/>
        <v>1.0461914743875547</v>
      </c>
      <c r="S22" s="3"/>
      <c r="BP22">
        <f>IF(19&lt;=$B$2, $B$1,IF(19&lt;=$B$2+$B$3, 0,IF(19&lt;=$B$2+$B$3+$B$5, $B$7, 0)))</f>
        <v>-1.5</v>
      </c>
    </row>
    <row r="23" spans="1:68" ht="14.1" customHeight="1" x14ac:dyDescent="0.25">
      <c r="A23" t="s">
        <v>40</v>
      </c>
      <c r="B23">
        <f>ypot0</f>
        <v>2000</v>
      </c>
      <c r="C23">
        <f>ypot1</f>
        <v>2000</v>
      </c>
      <c r="D23" s="2"/>
      <c r="E23">
        <v>20</v>
      </c>
      <c r="F23">
        <f t="shared" si="5"/>
        <v>0.96702912902278459</v>
      </c>
      <c r="G23">
        <f t="shared" si="6"/>
        <v>2086.415760033733</v>
      </c>
      <c r="H23">
        <f t="shared" si="0"/>
        <v>2099.9779237237112</v>
      </c>
      <c r="I23">
        <f t="shared" si="1"/>
        <v>2095.6481849458701</v>
      </c>
      <c r="J23">
        <f t="shared" si="2"/>
        <v>-4.4152552577098377E-3</v>
      </c>
      <c r="K23">
        <f t="shared" si="11"/>
        <v>120</v>
      </c>
      <c r="L23">
        <f t="shared" si="7"/>
        <v>0</v>
      </c>
      <c r="M23">
        <f t="shared" si="8"/>
        <v>-4.4152552577098378E-4</v>
      </c>
      <c r="N23">
        <f t="shared" si="3"/>
        <v>4.4152552577098378E-4</v>
      </c>
      <c r="O23">
        <f t="shared" si="4"/>
        <v>1.3562163689978206</v>
      </c>
      <c r="P23" s="3">
        <v>6.074958598197208E-3</v>
      </c>
      <c r="Q23" s="3">
        <f t="shared" si="9"/>
        <v>4.6715721116581774E-2</v>
      </c>
      <c r="R23" s="3">
        <f t="shared" si="10"/>
        <v>1.047824092472935</v>
      </c>
      <c r="S23" s="3"/>
      <c r="BP23">
        <f>IF(20&lt;=$B$2, $B$1,IF(20&lt;=$B$2+$B$3, 0,IF(20&lt;=$B$2+$B$3+$B$5, $B$7, 0)))</f>
        <v>-1.5</v>
      </c>
    </row>
    <row r="24" spans="1:68" ht="14.1" customHeight="1" x14ac:dyDescent="0.25">
      <c r="D24" s="2"/>
      <c r="E24">
        <v>21</v>
      </c>
      <c r="F24">
        <f t="shared" si="5"/>
        <v>0.96658760349701356</v>
      </c>
      <c r="G24">
        <f t="shared" si="6"/>
        <v>2087.7719764027306</v>
      </c>
      <c r="H24">
        <f t="shared" si="0"/>
        <v>2100.1828846111712</v>
      </c>
      <c r="I24">
        <f t="shared" si="1"/>
        <v>2012.7874151985675</v>
      </c>
      <c r="J24">
        <f t="shared" si="2"/>
        <v>3.657692223424424E-2</v>
      </c>
      <c r="K24">
        <f t="shared" si="11"/>
        <v>121</v>
      </c>
      <c r="L24">
        <f t="shared" si="7"/>
        <v>0</v>
      </c>
      <c r="M24">
        <f t="shared" si="8"/>
        <v>3.6576922234244241E-3</v>
      </c>
      <c r="N24">
        <f t="shared" si="3"/>
        <v>-3.6576922234244241E-3</v>
      </c>
      <c r="O24">
        <f t="shared" si="4"/>
        <v>1.2410908208440561</v>
      </c>
      <c r="P24" s="3">
        <v>-3.5670794445880262E-2</v>
      </c>
      <c r="Q24" s="3">
        <f t="shared" si="9"/>
        <v>6.3733545590433371E-3</v>
      </c>
      <c r="R24" s="3">
        <f t="shared" si="10"/>
        <v>1.0063937075992837</v>
      </c>
      <c r="S24" s="3"/>
      <c r="BP24">
        <f>IF(21&lt;=$B$2, $B$1,IF(21&lt;=$B$2+$B$3, 0,IF(21&lt;=$B$2+$B$3+$B$5, $B$7, 0)))</f>
        <v>0</v>
      </c>
    </row>
    <row r="25" spans="1:68" ht="14.1" customHeight="1" x14ac:dyDescent="0.25">
      <c r="A25" t="s">
        <v>41</v>
      </c>
      <c r="B25" t="s">
        <v>42</v>
      </c>
      <c r="C25" t="s">
        <v>43</v>
      </c>
      <c r="D25" s="2"/>
      <c r="E25">
        <v>22</v>
      </c>
      <c r="F25">
        <f t="shared" si="5"/>
        <v>0.97024529572043794</v>
      </c>
      <c r="G25">
        <f t="shared" si="6"/>
        <v>2089.0130672235746</v>
      </c>
      <c r="H25">
        <f t="shared" si="0"/>
        <v>2100.2695270032482</v>
      </c>
      <c r="I25">
        <f t="shared" si="1"/>
        <v>1979.3852904954763</v>
      </c>
      <c r="J25">
        <f t="shared" si="2"/>
        <v>5.390540064964703E-2</v>
      </c>
      <c r="K25">
        <f t="shared" si="11"/>
        <v>122</v>
      </c>
      <c r="L25">
        <f t="shared" si="7"/>
        <v>0</v>
      </c>
      <c r="M25">
        <f t="shared" si="8"/>
        <v>5.390540064964703E-3</v>
      </c>
      <c r="N25">
        <f t="shared" si="3"/>
        <v>-5.390540064964703E-3</v>
      </c>
      <c r="O25">
        <f t="shared" si="4"/>
        <v>1.1256459779673607</v>
      </c>
      <c r="P25" s="3">
        <v>-1.6096862504839032E-2</v>
      </c>
      <c r="Q25" s="3">
        <f t="shared" si="9"/>
        <v>-1.0360843401700029E-2</v>
      </c>
      <c r="R25" s="3">
        <f t="shared" si="10"/>
        <v>0.98969264524773815</v>
      </c>
      <c r="S25" s="3"/>
      <c r="BP25">
        <f>IF(22&lt;=$B$2, $B$1,IF(22&lt;=$B$2+$B$3, 0,IF(22&lt;=$B$2+$B$3+$B$5, $B$7, 0)))</f>
        <v>0</v>
      </c>
    </row>
    <row r="26" spans="1:68" ht="14.1" customHeight="1" x14ac:dyDescent="0.25">
      <c r="A26" t="s">
        <v>44</v>
      </c>
      <c r="B26">
        <f>IF((Ni*(Beta1*Mi-((Beta1*Psi)/Theta)-1))^2-4*(Ni*Beta1*Mi)/Theta&gt;0,(Ni*(Beta1*Mi-((Beta1*Psi)/Theta)-1)+SQRT((Ni*(Beta1*Mi-((Beta1*Psi)/Theta)-1))^2-4*(Ni*Beta1*Mi)/Theta))/2,((Ni*(Beta1*Mi-((Beta1*Psi)/Theta)-1))/2))</f>
        <v>-0.05</v>
      </c>
      <c r="C26">
        <f>IF((Ni*((Beta1*Mi-(Beta1*Psi)/Theta)-1)^2-4*(Ni*Beta1*Mi)/Theta)&gt;0, 0, +SQRT(-(Ni*((Beta1*Mi-(Beta1*Psi)/Theta)-1)^2-4*(Ni*Beta1*Mi)/Theta))/2)</f>
        <v>0.98742088290657493</v>
      </c>
      <c r="D26" s="2"/>
      <c r="E26">
        <v>23</v>
      </c>
      <c r="F26">
        <f t="shared" si="5"/>
        <v>0.97563583578540269</v>
      </c>
      <c r="G26">
        <f t="shared" si="6"/>
        <v>2090.138713201542</v>
      </c>
      <c r="H26">
        <f t="shared" si="0"/>
        <v>2100.3884358134928</v>
      </c>
      <c r="I26">
        <f t="shared" si="1"/>
        <v>1933.9088604587484</v>
      </c>
      <c r="J26">
        <f t="shared" si="2"/>
        <v>7.7687162698596518E-2</v>
      </c>
      <c r="K26">
        <f t="shared" si="11"/>
        <v>123</v>
      </c>
      <c r="L26">
        <f t="shared" si="7"/>
        <v>0</v>
      </c>
      <c r="M26">
        <f t="shared" si="8"/>
        <v>7.7687162698596521E-3</v>
      </c>
      <c r="N26">
        <f t="shared" si="3"/>
        <v>-7.7687162698596521E-3</v>
      </c>
      <c r="O26">
        <f t="shared" si="4"/>
        <v>1.0249722611950802</v>
      </c>
      <c r="P26" s="3">
        <v>-2.4279150469789169E-2</v>
      </c>
      <c r="Q26" s="3">
        <f t="shared" si="9"/>
        <v>-3.3603909531319198E-2</v>
      </c>
      <c r="R26" s="3">
        <f t="shared" si="10"/>
        <v>0.96695443022937422</v>
      </c>
      <c r="S26" s="3"/>
      <c r="BP26">
        <f>IF(23&lt;=$B$2, $B$1,IF(23&lt;=$B$2+$B$3, 0,IF(23&lt;=$B$2+$B$3+$B$5, $B$7, 0)))</f>
        <v>0</v>
      </c>
    </row>
    <row r="27" spans="1:68" ht="14.1" customHeight="1" x14ac:dyDescent="0.25">
      <c r="A27" t="s">
        <v>45</v>
      </c>
      <c r="B27">
        <f>IF((Ni*(Beta1*Mi-((Beta1*Psi)/Theta)-1))^2-4*(Ni*Beta1*Mi)/Theta&gt;0,(Ni*(Beta1*Mi-((Beta1*Psi)/Theta)-1)-SQRT((Ni*(Beta1*Mi-((Beta1*Psi)/Theta)-1))^2-4*(Ni*Beta1*Mi)/Theta))/2,((Ni*(Beta1*Mi-((Beta1*Psi)/Theta)-1))/2))</f>
        <v>-0.05</v>
      </c>
      <c r="C27">
        <f>IF((Ni*((Beta1*Mi-(Beta1*Psi)/Theta)-1)^2-4*(Ni*Beta1*Mi)/Theta)&gt;0, 0, -SQRT(-(Ni*((Beta1*Mi-(Beta1*Psi)/Theta)-1)^2-4*(Ni*Beta1*Mi)/Theta))/2)</f>
        <v>-0.98742088290657493</v>
      </c>
      <c r="D27" s="2"/>
      <c r="E27">
        <v>24</v>
      </c>
      <c r="F27">
        <f t="shared" si="5"/>
        <v>0.98340455205526234</v>
      </c>
      <c r="G27">
        <f t="shared" si="6"/>
        <v>2091.1636854627372</v>
      </c>
      <c r="H27">
        <f t="shared" si="0"/>
        <v>2100.2909501098693</v>
      </c>
      <c r="I27">
        <f t="shared" si="1"/>
        <v>1972.951562096262</v>
      </c>
      <c r="J27">
        <f t="shared" si="2"/>
        <v>5.8190021973841086E-2</v>
      </c>
      <c r="K27">
        <f t="shared" si="11"/>
        <v>124</v>
      </c>
      <c r="L27">
        <f t="shared" si="7"/>
        <v>0</v>
      </c>
      <c r="M27">
        <f t="shared" si="8"/>
        <v>5.8190021973841093E-3</v>
      </c>
      <c r="N27">
        <f t="shared" si="3"/>
        <v>-5.8190021973841093E-3</v>
      </c>
      <c r="O27">
        <f t="shared" si="4"/>
        <v>0.91272646471320518</v>
      </c>
      <c r="P27" s="3">
        <v>1.6627014375328372E-2</v>
      </c>
      <c r="Q27" s="3">
        <f t="shared" si="9"/>
        <v>-1.3616504202858908E-2</v>
      </c>
      <c r="R27" s="3">
        <f t="shared" si="10"/>
        <v>0.98647578104813105</v>
      </c>
      <c r="S27" s="3"/>
      <c r="BP27">
        <f>IF(24&lt;=$B$2, $B$1,IF(24&lt;=$B$2+$B$3, 0,IF(24&lt;=$B$2+$B$3+$B$5, $B$7, 0)))</f>
        <v>0</v>
      </c>
    </row>
    <row r="28" spans="1:68" ht="14.1" customHeight="1" x14ac:dyDescent="0.25">
      <c r="D28" s="2"/>
      <c r="E28">
        <v>25</v>
      </c>
      <c r="F28">
        <f t="shared" si="5"/>
        <v>0.98922355425264641</v>
      </c>
      <c r="G28">
        <f t="shared" si="6"/>
        <v>2092.0764119274504</v>
      </c>
      <c r="H28">
        <f t="shared" si="0"/>
        <v>2100.2649636302372</v>
      </c>
      <c r="I28">
        <f t="shared" si="1"/>
        <v>1984.0978858390313</v>
      </c>
      <c r="J28">
        <f t="shared" si="2"/>
        <v>5.2992726047466236E-2</v>
      </c>
      <c r="K28">
        <f t="shared" si="11"/>
        <v>125</v>
      </c>
      <c r="L28">
        <f t="shared" si="7"/>
        <v>0</v>
      </c>
      <c r="M28">
        <f t="shared" si="8"/>
        <v>5.2992726047466241E-3</v>
      </c>
      <c r="N28">
        <f t="shared" si="3"/>
        <v>-5.2992726047466241E-3</v>
      </c>
      <c r="O28">
        <f t="shared" si="4"/>
        <v>0.81885517027867538</v>
      </c>
      <c r="P28" s="3">
        <v>4.2720184887278514E-3</v>
      </c>
      <c r="Q28" s="3">
        <f t="shared" si="9"/>
        <v>-7.9828352938451676E-3</v>
      </c>
      <c r="R28" s="3">
        <f t="shared" si="10"/>
        <v>0.99204894291951562</v>
      </c>
      <c r="S28" s="3"/>
      <c r="BP28">
        <f>IF(25&lt;=$B$2, $B$1,IF(25&lt;=$B$2+$B$3, 0,IF(25&lt;=$B$2+$B$3+$B$5, $B$7, 0)))</f>
        <v>0</v>
      </c>
    </row>
    <row r="29" spans="1:68" ht="14.1" customHeight="1" x14ac:dyDescent="0.25">
      <c r="A29" t="s">
        <v>46</v>
      </c>
      <c r="D29" s="2"/>
      <c r="E29">
        <v>26</v>
      </c>
      <c r="F29">
        <f t="shared" si="5"/>
        <v>0.99452282685739302</v>
      </c>
      <c r="G29">
        <f t="shared" si="6"/>
        <v>2092.8952670977292</v>
      </c>
      <c r="H29">
        <f t="shared" si="0"/>
        <v>2100.172887786407</v>
      </c>
      <c r="I29">
        <f t="shared" si="1"/>
        <v>2021.764905057692</v>
      </c>
      <c r="J29">
        <f t="shared" si="2"/>
        <v>3.4577557281427029E-2</v>
      </c>
      <c r="K29">
        <f t="shared" si="11"/>
        <v>126</v>
      </c>
      <c r="L29">
        <f t="shared" si="7"/>
        <v>0</v>
      </c>
      <c r="M29">
        <f t="shared" si="8"/>
        <v>3.4577557281427031E-3</v>
      </c>
      <c r="N29">
        <f t="shared" si="3"/>
        <v>-3.4577557281427031E-3</v>
      </c>
      <c r="O29">
        <f t="shared" si="4"/>
        <v>0.72776206886778716</v>
      </c>
      <c r="P29" s="3">
        <v>1.8008216525624961E-2</v>
      </c>
      <c r="Q29" s="3">
        <f t="shared" si="9"/>
        <v>1.0823664761164309E-2</v>
      </c>
      <c r="R29" s="3">
        <f t="shared" si="10"/>
        <v>1.010882452528846</v>
      </c>
      <c r="S29" s="3"/>
      <c r="BP29">
        <f>IF(26&lt;=$B$2, $B$1,IF(26&lt;=$B$2+$B$3, 0,IF(26&lt;=$B$2+$B$3+$B$5, $B$7, 0)))</f>
        <v>0</v>
      </c>
    </row>
    <row r="30" spans="1:68" ht="14.1" customHeight="1" x14ac:dyDescent="0.25">
      <c r="A30" t="s">
        <v>47</v>
      </c>
      <c r="B30">
        <f>IF(C26=0,ABS(1+B26),SQRT((1+B26)^2+C26^2))</f>
        <v>1.3702189606044721</v>
      </c>
      <c r="D30" s="2"/>
      <c r="E30">
        <v>27</v>
      </c>
      <c r="F30">
        <f t="shared" si="5"/>
        <v>0.99798058258553568</v>
      </c>
      <c r="G30">
        <f t="shared" si="6"/>
        <v>2093.623029166597</v>
      </c>
      <c r="H30">
        <f t="shared" si="0"/>
        <v>2100.514944549248</v>
      </c>
      <c r="I30">
        <f t="shared" si="1"/>
        <v>1888.7347531495445</v>
      </c>
      <c r="J30">
        <f t="shared" si="2"/>
        <v>0.10298890984962748</v>
      </c>
      <c r="K30">
        <f t="shared" si="11"/>
        <v>127</v>
      </c>
      <c r="L30">
        <f t="shared" si="7"/>
        <v>0</v>
      </c>
      <c r="M30">
        <f t="shared" si="8"/>
        <v>1.0298890984962748E-2</v>
      </c>
      <c r="N30">
        <f t="shared" si="3"/>
        <v>-1.0298890984962748E-2</v>
      </c>
      <c r="O30">
        <f t="shared" si="4"/>
        <v>0.68919153826509505</v>
      </c>
      <c r="P30" s="3">
        <v>-6.6981316728332005E-2</v>
      </c>
      <c r="Q30" s="3">
        <f t="shared" si="9"/>
        <v>-5.7240018443284128E-2</v>
      </c>
      <c r="R30" s="3">
        <f t="shared" si="10"/>
        <v>0.94436737657477232</v>
      </c>
      <c r="S30" s="3"/>
      <c r="BP30">
        <f>IF(27&lt;=$B$2, $B$1,IF(27&lt;=$B$2+$B$3, 0,IF(27&lt;=$B$2+$B$3+$B$5, $B$7, 0)))</f>
        <v>0</v>
      </c>
    </row>
    <row r="31" spans="1:68" ht="14.1" customHeight="1" x14ac:dyDescent="0.25">
      <c r="A31" t="s">
        <v>48</v>
      </c>
      <c r="B31">
        <f>IF(B27=0,ABS(1+B27),SQRT((1+B27)^2+C27^2))</f>
        <v>1.3702189606044721</v>
      </c>
      <c r="D31" s="2"/>
      <c r="E31">
        <v>28</v>
      </c>
      <c r="F31">
        <f t="shared" si="5"/>
        <v>1.0082794735704985</v>
      </c>
      <c r="G31">
        <f t="shared" si="6"/>
        <v>2094.3122207048623</v>
      </c>
      <c r="H31">
        <f t="shared" si="0"/>
        <v>2100.4675238999848</v>
      </c>
      <c r="I31">
        <f t="shared" si="1"/>
        <v>1907.3606425563255</v>
      </c>
      <c r="J31">
        <f t="shared" si="2"/>
        <v>9.3504779996969545E-2</v>
      </c>
      <c r="K31">
        <f t="shared" si="11"/>
        <v>128</v>
      </c>
      <c r="L31">
        <f t="shared" si="7"/>
        <v>0</v>
      </c>
      <c r="M31">
        <f t="shared" si="8"/>
        <v>9.3504779996969548E-3</v>
      </c>
      <c r="N31">
        <f t="shared" si="3"/>
        <v>-9.3504779996969548E-3</v>
      </c>
      <c r="O31">
        <f t="shared" si="4"/>
        <v>0.61553031951225423</v>
      </c>
      <c r="P31" s="3">
        <v>4.0892599090711452E-3</v>
      </c>
      <c r="Q31" s="3">
        <f t="shared" si="9"/>
        <v>-4.7426756689884574E-2</v>
      </c>
      <c r="R31" s="3">
        <f t="shared" si="10"/>
        <v>0.95368032127816271</v>
      </c>
      <c r="S31" s="3"/>
      <c r="BP31">
        <f>IF(28&lt;=$B$2, $B$1,IF(28&lt;=$B$2+$B$3, 0,IF(28&lt;=$B$2+$B$3+$B$5, $B$7, 0)))</f>
        <v>0</v>
      </c>
    </row>
    <row r="32" spans="1:68" ht="14.1" customHeight="1" x14ac:dyDescent="0.25">
      <c r="A32" s="2"/>
      <c r="B32" s="2"/>
      <c r="C32" s="2"/>
      <c r="D32" s="2"/>
      <c r="E32">
        <v>29</v>
      </c>
      <c r="F32">
        <f t="shared" si="5"/>
        <v>1.0176299515701954</v>
      </c>
      <c r="G32">
        <f t="shared" si="6"/>
        <v>2094.9277510243746</v>
      </c>
      <c r="H32">
        <f t="shared" si="0"/>
        <v>2100.5072888588215</v>
      </c>
      <c r="I32">
        <f t="shared" si="1"/>
        <v>1892.8077233752808</v>
      </c>
      <c r="J32">
        <f t="shared" si="2"/>
        <v>0.10145777176430985</v>
      </c>
      <c r="K32">
        <f t="shared" si="11"/>
        <v>129</v>
      </c>
      <c r="L32">
        <f t="shared" si="7"/>
        <v>0</v>
      </c>
      <c r="M32">
        <f t="shared" si="8"/>
        <v>1.0145777176430986E-2</v>
      </c>
      <c r="N32">
        <f t="shared" si="3"/>
        <v>-1.0145777176430986E-2</v>
      </c>
      <c r="O32">
        <f t="shared" si="4"/>
        <v>0.55795378344469104</v>
      </c>
      <c r="P32" s="3">
        <v>-1.2401804908473609E-2</v>
      </c>
      <c r="Q32" s="3">
        <f t="shared" si="9"/>
        <v>-5.5085885929369728E-2</v>
      </c>
      <c r="R32" s="3">
        <f t="shared" si="10"/>
        <v>0.94640386168764046</v>
      </c>
      <c r="S32" s="3"/>
      <c r="BP32">
        <f>IF(29&lt;=$B$2, $B$1,IF(29&lt;=$B$2+$B$3, 0,IF(29&lt;=$B$2+$B$3+$B$5, $B$7, 0)))</f>
        <v>0</v>
      </c>
    </row>
    <row r="33" spans="1:68" ht="14.1" customHeight="1" x14ac:dyDescent="0.25">
      <c r="A33" s="2"/>
      <c r="B33" s="1" t="s">
        <v>49</v>
      </c>
      <c r="C33" s="3">
        <v>0.9</v>
      </c>
      <c r="D33" s="2"/>
      <c r="E33">
        <v>30</v>
      </c>
      <c r="F33">
        <f t="shared" si="5"/>
        <v>1.0277757287466265</v>
      </c>
      <c r="G33">
        <f t="shared" si="6"/>
        <v>2095.4857048078193</v>
      </c>
      <c r="H33">
        <f t="shared" si="0"/>
        <v>2100.312478704262</v>
      </c>
      <c r="I33">
        <f t="shared" si="1"/>
        <v>1968.5350282988181</v>
      </c>
      <c r="J33">
        <f t="shared" si="2"/>
        <v>6.2495740852367941E-2</v>
      </c>
      <c r="K33">
        <f t="shared" si="11"/>
        <v>130</v>
      </c>
      <c r="L33">
        <f t="shared" si="7"/>
        <v>0</v>
      </c>
      <c r="M33">
        <f t="shared" si="8"/>
        <v>6.2495740852367941E-3</v>
      </c>
      <c r="N33">
        <f t="shared" si="3"/>
        <v>-6.2495740852367941E-3</v>
      </c>
      <c r="O33">
        <f t="shared" si="4"/>
        <v>0.48267738964427737</v>
      </c>
      <c r="P33" s="3">
        <v>3.3719742431212313E-2</v>
      </c>
      <c r="Q33" s="3">
        <f t="shared" si="9"/>
        <v>-1.5857554905220443E-2</v>
      </c>
      <c r="R33" s="3">
        <f t="shared" si="10"/>
        <v>0.98426751414940905</v>
      </c>
      <c r="S33" s="3"/>
      <c r="BP33">
        <f>IF(30&lt;=$B$2, $B$1,IF(30&lt;=$B$2+$B$3, 0,IF(30&lt;=$B$2+$B$3+$B$5, $B$7, 0)))</f>
        <v>0</v>
      </c>
    </row>
    <row r="34" spans="1:68" ht="14.1" customHeight="1" x14ac:dyDescent="0.25">
      <c r="A34" s="2"/>
      <c r="B34" s="1" t="s">
        <v>50</v>
      </c>
      <c r="C34" s="3">
        <v>0.05</v>
      </c>
      <c r="E34">
        <v>31</v>
      </c>
      <c r="F34">
        <f t="shared" si="5"/>
        <v>1.0340253028318633</v>
      </c>
      <c r="G34">
        <f t="shared" si="6"/>
        <v>2095.9683821974636</v>
      </c>
      <c r="H34">
        <f t="shared" ca="1" si="0"/>
        <v>2100.483911857239</v>
      </c>
      <c r="I34">
        <f t="shared" ca="1" si="1"/>
        <v>1902.6227139023958</v>
      </c>
      <c r="J34">
        <f t="shared" ca="1" si="2"/>
        <v>9.6782371447822452E-2</v>
      </c>
      <c r="K34">
        <f t="shared" si="11"/>
        <v>131</v>
      </c>
      <c r="L34">
        <f t="shared" si="7"/>
        <v>0</v>
      </c>
      <c r="M34">
        <f t="shared" ca="1" si="8"/>
        <v>9.6782371447822462E-3</v>
      </c>
      <c r="N34">
        <f t="shared" ca="1" si="3"/>
        <v>-9.6782371447822462E-3</v>
      </c>
      <c r="O34">
        <f t="shared" ca="1" si="4"/>
        <v>0.45155296597754391</v>
      </c>
      <c r="P34" s="3">
        <f t="shared" ref="P34:P65" ca="1" si="12">NORMINV(RAND(), 0, $C$34)</f>
        <v>-3.5642071077505125E-2</v>
      </c>
      <c r="Q34" s="3">
        <f t="shared" ca="1" si="9"/>
        <v>-4.9913870492203527E-2</v>
      </c>
      <c r="R34" s="3">
        <f t="shared" ca="1" si="10"/>
        <v>0.95131135695119795</v>
      </c>
      <c r="S34" s="3"/>
    </row>
    <row r="35" spans="1:68" ht="14.1" customHeight="1" x14ac:dyDescent="0.25">
      <c r="A35" s="2"/>
      <c r="B35" s="2"/>
      <c r="C35" s="2"/>
      <c r="E35">
        <v>32</v>
      </c>
      <c r="F35">
        <f t="shared" ca="1" si="5"/>
        <v>1.0437035399766457</v>
      </c>
      <c r="G35">
        <f t="shared" ca="1" si="6"/>
        <v>2096.4199351634411</v>
      </c>
      <c r="H35">
        <f t="shared" ref="H35:H66" ca="1" si="13">Beta0_0 -Beta1*(L35-M35)</f>
        <v>2100.4172518313335</v>
      </c>
      <c r="I35">
        <f t="shared" ref="I35:I66" ca="1" si="14">ypot_0*R35</f>
        <v>1928.5737322154691</v>
      </c>
      <c r="J35">
        <f t="shared" ref="J35:J66" ca="1" si="15">LN(G35/I35)</f>
        <v>8.3450366266729817E-2</v>
      </c>
      <c r="K35">
        <f>K34-1</f>
        <v>130</v>
      </c>
      <c r="L35">
        <f t="shared" ca="1" si="7"/>
        <v>0</v>
      </c>
      <c r="M35">
        <f t="shared" ca="1" si="8"/>
        <v>8.3450366266729827E-3</v>
      </c>
      <c r="N35">
        <f t="shared" ref="N35:N66" ca="1" si="16">L35-M35</f>
        <v>-8.3450366266729827E-3</v>
      </c>
      <c r="O35">
        <f t="shared" ref="O35:O66" ca="1" si="17">Ni*(H35-G35)</f>
        <v>0.39973166678923922</v>
      </c>
      <c r="P35" s="3">
        <f t="shared" ca="1" si="12"/>
        <v>8.5560337534901464E-3</v>
      </c>
      <c r="Q35" s="3">
        <f t="shared" ca="1" si="9"/>
        <v>-3.6366449689493027E-2</v>
      </c>
      <c r="R35" s="3">
        <f t="shared" ca="1" si="10"/>
        <v>0.96428686610773462</v>
      </c>
      <c r="S35" s="3"/>
    </row>
    <row r="36" spans="1:68" ht="14.1" customHeight="1" x14ac:dyDescent="0.25">
      <c r="A36" s="2"/>
      <c r="B36" s="2"/>
      <c r="C36" s="2"/>
      <c r="E36">
        <v>33</v>
      </c>
      <c r="F36">
        <f t="shared" ref="F36:F67" ca="1" si="18">F35+M35</f>
        <v>1.0520485766033187</v>
      </c>
      <c r="G36">
        <f t="shared" ref="G36:G67" ca="1" si="19">G35+O35</f>
        <v>2096.8196668302303</v>
      </c>
      <c r="H36">
        <f t="shared" ca="1" si="13"/>
        <v>2100.1953541694465</v>
      </c>
      <c r="I36">
        <f t="shared" ca="1" si="14"/>
        <v>2016.4749617028369</v>
      </c>
      <c r="J36">
        <f t="shared" ca="1" si="15"/>
        <v>3.9070833889340448E-2</v>
      </c>
      <c r="K36">
        <f t="shared" ref="K36:K99" si="20">K35-1</f>
        <v>129</v>
      </c>
      <c r="L36">
        <f t="shared" ref="L36:L67" ca="1" si="21">MAX(0, -1/$B$11*(K36-F36-$B$10*G36))</f>
        <v>0</v>
      </c>
      <c r="M36">
        <f t="shared" ref="M36:M67" ca="1" si="22">Mi*LN(G36/(I36))</f>
        <v>3.9070833889340451E-3</v>
      </c>
      <c r="N36">
        <f t="shared" ca="1" si="16"/>
        <v>-3.9070833889340451E-3</v>
      </c>
      <c r="O36">
        <f t="shared" ca="1" si="17"/>
        <v>0.33756873392162562</v>
      </c>
      <c r="P36" s="3">
        <f t="shared" ca="1" si="12"/>
        <v>4.0933542704078119E-2</v>
      </c>
      <c r="Q36" s="3">
        <f t="shared" ref="Q36:Q67" ca="1" si="23">$C$33*Q35+P36</f>
        <v>8.2037379835343954E-3</v>
      </c>
      <c r="R36" s="3">
        <f t="shared" ref="R36:R67" ca="1" si="24">EXP(Q36)</f>
        <v>1.0082374808514185</v>
      </c>
      <c r="S36" s="3"/>
    </row>
    <row r="37" spans="1:68" ht="14.1" customHeight="1" x14ac:dyDescent="0.25">
      <c r="C37" s="4" t="s">
        <v>1</v>
      </c>
      <c r="E37">
        <v>34</v>
      </c>
      <c r="F37">
        <f t="shared" ca="1" si="18"/>
        <v>1.0559556599922528</v>
      </c>
      <c r="G37">
        <f t="shared" ca="1" si="19"/>
        <v>2097.157235564152</v>
      </c>
      <c r="H37">
        <f t="shared" ca="1" si="13"/>
        <v>2100.1764116552322</v>
      </c>
      <c r="I37">
        <f t="shared" ca="1" si="14"/>
        <v>2024.4547382867243</v>
      </c>
      <c r="J37">
        <f t="shared" ca="1" si="15"/>
        <v>3.5282331046424101E-2</v>
      </c>
      <c r="K37">
        <f t="shared" si="20"/>
        <v>128</v>
      </c>
      <c r="L37">
        <f t="shared" ca="1" si="21"/>
        <v>0</v>
      </c>
      <c r="M37">
        <f t="shared" ca="1" si="22"/>
        <v>3.5282331046424102E-3</v>
      </c>
      <c r="N37">
        <f t="shared" ca="1" si="16"/>
        <v>-3.5282331046424102E-3</v>
      </c>
      <c r="O37">
        <f t="shared" ca="1" si="17"/>
        <v>0.30191760910802262</v>
      </c>
      <c r="P37" s="3">
        <f t="shared" ca="1" si="12"/>
        <v>4.7698545114425424E-3</v>
      </c>
      <c r="Q37" s="3">
        <f t="shared" ca="1" si="23"/>
        <v>1.2153218696623499E-2</v>
      </c>
      <c r="R37" s="3">
        <f t="shared" ca="1" si="24"/>
        <v>1.0122273691433621</v>
      </c>
      <c r="S37" s="3"/>
    </row>
    <row r="38" spans="1:68" ht="14.1" customHeight="1" x14ac:dyDescent="0.25">
      <c r="E38">
        <v>35</v>
      </c>
      <c r="F38">
        <f t="shared" ca="1" si="18"/>
        <v>1.0594838930968953</v>
      </c>
      <c r="G38">
        <f t="shared" ca="1" si="19"/>
        <v>2097.4591531732599</v>
      </c>
      <c r="H38">
        <f t="shared" ca="1" si="13"/>
        <v>2099.9204553131772</v>
      </c>
      <c r="I38">
        <f t="shared" ca="1" si="14"/>
        <v>2131.0943401037134</v>
      </c>
      <c r="J38">
        <f t="shared" ca="1" si="15"/>
        <v>-1.5908937364552664E-2</v>
      </c>
      <c r="K38">
        <f t="shared" si="20"/>
        <v>127</v>
      </c>
      <c r="L38">
        <f t="shared" ca="1" si="21"/>
        <v>0</v>
      </c>
      <c r="M38">
        <f t="shared" ca="1" si="22"/>
        <v>-1.5908937364552665E-3</v>
      </c>
      <c r="N38">
        <f t="shared" ca="1" si="16"/>
        <v>1.5908937364552665E-3</v>
      </c>
      <c r="O38">
        <f t="shared" ca="1" si="17"/>
        <v>0.24613021399172796</v>
      </c>
      <c r="P38" s="3">
        <f t="shared" ca="1" si="12"/>
        <v>5.2550545093975588E-2</v>
      </c>
      <c r="Q38" s="3">
        <f t="shared" ca="1" si="23"/>
        <v>6.3488441920936736E-2</v>
      </c>
      <c r="R38" s="3">
        <f t="shared" ca="1" si="24"/>
        <v>1.0655471700518566</v>
      </c>
      <c r="S38" s="3"/>
    </row>
    <row r="39" spans="1:68" ht="14.1" customHeight="1" x14ac:dyDescent="0.25">
      <c r="E39">
        <v>36</v>
      </c>
      <c r="F39">
        <f t="shared" ca="1" si="18"/>
        <v>1.05789299936044</v>
      </c>
      <c r="G39">
        <f t="shared" ca="1" si="19"/>
        <v>2097.7052833872517</v>
      </c>
      <c r="H39">
        <f t="shared" ca="1" si="13"/>
        <v>2100.0126669456795</v>
      </c>
      <c r="I39">
        <f t="shared" ca="1" si="14"/>
        <v>2092.3977055307623</v>
      </c>
      <c r="J39">
        <f t="shared" ca="1" si="15"/>
        <v>2.5333891358865208E-3</v>
      </c>
      <c r="K39">
        <f t="shared" si="20"/>
        <v>126</v>
      </c>
      <c r="L39">
        <f t="shared" ca="1" si="21"/>
        <v>0</v>
      </c>
      <c r="M39">
        <f t="shared" ca="1" si="22"/>
        <v>2.5333891358865208E-4</v>
      </c>
      <c r="N39">
        <f t="shared" ca="1" si="16"/>
        <v>-2.5333891358865208E-4</v>
      </c>
      <c r="O39">
        <f t="shared" ca="1" si="17"/>
        <v>0.23073835584277733</v>
      </c>
      <c r="P39" s="3">
        <f t="shared" ca="1" si="12"/>
        <v>-1.1976142348019277E-2</v>
      </c>
      <c r="Q39" s="3">
        <f t="shared" ca="1" si="23"/>
        <v>4.5163455380823787E-2</v>
      </c>
      <c r="R39" s="3">
        <f t="shared" ca="1" si="24"/>
        <v>1.0461988527653812</v>
      </c>
      <c r="S39" s="3"/>
    </row>
    <row r="40" spans="1:68" ht="15" customHeight="1" x14ac:dyDescent="0.25">
      <c r="E40">
        <v>37</v>
      </c>
      <c r="F40">
        <f t="shared" ca="1" si="18"/>
        <v>1.0581463382740286</v>
      </c>
      <c r="G40">
        <f t="shared" ca="1" si="19"/>
        <v>2097.9360217430944</v>
      </c>
      <c r="H40">
        <f t="shared" ca="1" si="13"/>
        <v>2099.9324836880742</v>
      </c>
      <c r="I40">
        <f t="shared" ca="1" si="14"/>
        <v>2126.4571329637515</v>
      </c>
      <c r="J40">
        <f t="shared" ca="1" si="15"/>
        <v>-1.3503262385187113E-2</v>
      </c>
      <c r="K40">
        <f t="shared" si="20"/>
        <v>125</v>
      </c>
      <c r="L40">
        <f t="shared" ca="1" si="21"/>
        <v>0</v>
      </c>
      <c r="M40">
        <f t="shared" ca="1" si="22"/>
        <v>-1.3503262385187115E-3</v>
      </c>
      <c r="N40">
        <f t="shared" ca="1" si="16"/>
        <v>1.3503262385187115E-3</v>
      </c>
      <c r="O40">
        <f t="shared" ca="1" si="17"/>
        <v>0.19964619449797283</v>
      </c>
      <c r="P40" s="3">
        <f t="shared" ca="1" si="12"/>
        <v>2.0662986612263498E-2</v>
      </c>
      <c r="Q40" s="3">
        <f t="shared" ca="1" si="23"/>
        <v>6.131009645500491E-2</v>
      </c>
      <c r="R40" s="3">
        <f t="shared" ca="1" si="24"/>
        <v>1.0632285664818757</v>
      </c>
    </row>
    <row r="41" spans="1:68" ht="15" customHeight="1" x14ac:dyDescent="0.25">
      <c r="E41">
        <v>38</v>
      </c>
      <c r="F41">
        <f t="shared" ca="1" si="18"/>
        <v>1.05679601203551</v>
      </c>
      <c r="G41">
        <f t="shared" ca="1" si="19"/>
        <v>2098.1356679375922</v>
      </c>
      <c r="H41">
        <f t="shared" ca="1" si="13"/>
        <v>2099.7685599578645</v>
      </c>
      <c r="I41">
        <f t="shared" ca="1" si="14"/>
        <v>2197.5369866517517</v>
      </c>
      <c r="J41">
        <f t="shared" ca="1" si="15"/>
        <v>-4.6288008427134548E-2</v>
      </c>
      <c r="K41">
        <f t="shared" si="20"/>
        <v>124</v>
      </c>
      <c r="L41">
        <f t="shared" ca="1" si="21"/>
        <v>0</v>
      </c>
      <c r="M41">
        <f t="shared" ca="1" si="22"/>
        <v>-4.6288008427134552E-3</v>
      </c>
      <c r="N41">
        <f t="shared" ca="1" si="16"/>
        <v>4.6288008427134552E-3</v>
      </c>
      <c r="O41">
        <f t="shared" ca="1" si="17"/>
        <v>0.16328920202722658</v>
      </c>
      <c r="P41" s="3">
        <f t="shared" ca="1" si="12"/>
        <v>3.9010914306944235E-2</v>
      </c>
      <c r="Q41" s="3">
        <f t="shared" ca="1" si="23"/>
        <v>9.4190001116448652E-2</v>
      </c>
      <c r="R41" s="3">
        <f t="shared" ca="1" si="24"/>
        <v>1.0987684933258759</v>
      </c>
    </row>
    <row r="42" spans="1:68" ht="15" customHeight="1" x14ac:dyDescent="0.25">
      <c r="E42">
        <v>39</v>
      </c>
      <c r="F42">
        <f t="shared" ca="1" si="18"/>
        <v>1.0521672111927964</v>
      </c>
      <c r="G42">
        <f t="shared" ca="1" si="19"/>
        <v>2098.2989571396192</v>
      </c>
      <c r="H42">
        <f t="shared" ca="1" si="13"/>
        <v>2099.9308105833866</v>
      </c>
      <c r="I42">
        <f t="shared" ca="1" si="14"/>
        <v>2127.5368016711632</v>
      </c>
      <c r="J42">
        <f t="shared" ca="1" si="15"/>
        <v>-1.3837883322712935E-2</v>
      </c>
      <c r="K42">
        <f t="shared" si="20"/>
        <v>123</v>
      </c>
      <c r="L42">
        <f t="shared" ca="1" si="21"/>
        <v>0</v>
      </c>
      <c r="M42">
        <f t="shared" ca="1" si="22"/>
        <v>-1.3837883322712935E-3</v>
      </c>
      <c r="N42">
        <f t="shared" ca="1" si="16"/>
        <v>1.3837883322712935E-3</v>
      </c>
      <c r="O42">
        <f t="shared" ca="1" si="17"/>
        <v>0.16318534437673407</v>
      </c>
      <c r="P42" s="3">
        <f t="shared" ca="1" si="12"/>
        <v>-2.2953302166164008E-2</v>
      </c>
      <c r="Q42" s="3">
        <f t="shared" ca="1" si="23"/>
        <v>6.1817698838639787E-2</v>
      </c>
      <c r="R42" s="3">
        <f t="shared" ca="1" si="24"/>
        <v>1.0637684008355817</v>
      </c>
    </row>
    <row r="43" spans="1:68" ht="15" customHeight="1" x14ac:dyDescent="0.25">
      <c r="E43">
        <v>40</v>
      </c>
      <c r="F43">
        <f t="shared" ca="1" si="18"/>
        <v>1.0507834228605251</v>
      </c>
      <c r="G43">
        <f t="shared" ca="1" si="19"/>
        <v>2098.4621424839961</v>
      </c>
      <c r="H43">
        <f t="shared" ca="1" si="13"/>
        <v>2100.2163244422463</v>
      </c>
      <c r="I43">
        <f t="shared" ca="1" si="14"/>
        <v>2009.6083953491975</v>
      </c>
      <c r="J43">
        <f t="shared" ca="1" si="15"/>
        <v>4.3264888449267777E-2</v>
      </c>
      <c r="K43">
        <f t="shared" si="20"/>
        <v>122</v>
      </c>
      <c r="L43">
        <f t="shared" ca="1" si="21"/>
        <v>0</v>
      </c>
      <c r="M43">
        <f t="shared" ca="1" si="22"/>
        <v>4.3264888449267777E-3</v>
      </c>
      <c r="N43">
        <f t="shared" ca="1" si="16"/>
        <v>-4.3264888449267777E-3</v>
      </c>
      <c r="O43">
        <f t="shared" ca="1" si="17"/>
        <v>0.17541819582502285</v>
      </c>
      <c r="P43" s="3">
        <f t="shared" ca="1" si="12"/>
        <v>-5.0843234609691902E-2</v>
      </c>
      <c r="Q43" s="3">
        <f t="shared" ca="1" si="23"/>
        <v>4.792694345083906E-3</v>
      </c>
      <c r="R43" s="3">
        <f t="shared" ca="1" si="24"/>
        <v>1.0048041976745987</v>
      </c>
    </row>
    <row r="44" spans="1:68" ht="15" customHeight="1" x14ac:dyDescent="0.25">
      <c r="E44">
        <v>41</v>
      </c>
      <c r="F44">
        <f t="shared" ca="1" si="18"/>
        <v>1.0551099117054519</v>
      </c>
      <c r="G44">
        <f t="shared" ca="1" si="19"/>
        <v>2098.637560679821</v>
      </c>
      <c r="H44">
        <f t="shared" ca="1" si="13"/>
        <v>2100.0726166255049</v>
      </c>
      <c r="I44">
        <f t="shared" ca="1" si="14"/>
        <v>2068.3786271483236</v>
      </c>
      <c r="J44">
        <f t="shared" ca="1" si="15"/>
        <v>1.4523325100960384E-2</v>
      </c>
      <c r="K44">
        <f t="shared" si="20"/>
        <v>121</v>
      </c>
      <c r="L44">
        <f t="shared" ca="1" si="21"/>
        <v>0</v>
      </c>
      <c r="M44">
        <f t="shared" ca="1" si="22"/>
        <v>1.4523325100960385E-3</v>
      </c>
      <c r="N44">
        <f t="shared" ca="1" si="16"/>
        <v>-1.4523325100960385E-3</v>
      </c>
      <c r="O44">
        <f t="shared" ca="1" si="17"/>
        <v>0.1435055945683871</v>
      </c>
      <c r="P44" s="3">
        <f t="shared" ca="1" si="12"/>
        <v>2.9304422980015499E-2</v>
      </c>
      <c r="Q44" s="3">
        <f t="shared" ca="1" si="23"/>
        <v>3.3617847890591017E-2</v>
      </c>
      <c r="R44" s="3">
        <f t="shared" ca="1" si="24"/>
        <v>1.0341893135741618</v>
      </c>
    </row>
    <row r="45" spans="1:68" ht="15" customHeight="1" x14ac:dyDescent="0.25">
      <c r="E45">
        <v>42</v>
      </c>
      <c r="F45">
        <f t="shared" ca="1" si="18"/>
        <v>1.056562244215548</v>
      </c>
      <c r="G45">
        <f t="shared" ca="1" si="19"/>
        <v>2098.7810662743896</v>
      </c>
      <c r="H45">
        <f t="shared" ca="1" si="13"/>
        <v>2100.4839584325632</v>
      </c>
      <c r="I45">
        <f t="shared" ca="1" si="14"/>
        <v>1905.1581910690884</v>
      </c>
      <c r="J45">
        <f t="shared" ca="1" si="15"/>
        <v>9.6791686512613884E-2</v>
      </c>
      <c r="K45">
        <f t="shared" si="20"/>
        <v>120</v>
      </c>
      <c r="L45">
        <f t="shared" ca="1" si="21"/>
        <v>0</v>
      </c>
      <c r="M45">
        <f t="shared" ca="1" si="22"/>
        <v>9.6791686512613887E-3</v>
      </c>
      <c r="N45">
        <f t="shared" ca="1" si="16"/>
        <v>-9.6791686512613887E-3</v>
      </c>
      <c r="O45">
        <f t="shared" ca="1" si="17"/>
        <v>0.17028921581736542</v>
      </c>
      <c r="P45" s="3">
        <f t="shared" ca="1" si="12"/>
        <v>-7.8838198599157194E-2</v>
      </c>
      <c r="Q45" s="3">
        <f t="shared" ca="1" si="23"/>
        <v>-4.858213549762528E-2</v>
      </c>
      <c r="R45" s="3">
        <f t="shared" ca="1" si="24"/>
        <v>0.95257909553454423</v>
      </c>
    </row>
    <row r="46" spans="1:68" ht="15" customHeight="1" x14ac:dyDescent="0.25">
      <c r="E46">
        <v>43</v>
      </c>
      <c r="F46">
        <f t="shared" ca="1" si="18"/>
        <v>1.0662414128668094</v>
      </c>
      <c r="G46">
        <f t="shared" ca="1" si="19"/>
        <v>2098.9513554902069</v>
      </c>
      <c r="H46">
        <f t="shared" ca="1" si="13"/>
        <v>2100.5348397877865</v>
      </c>
      <c r="I46">
        <f t="shared" ca="1" si="14"/>
        <v>1886.022111052938</v>
      </c>
      <c r="J46">
        <f t="shared" ca="1" si="15"/>
        <v>0.10696795755732244</v>
      </c>
      <c r="K46">
        <f t="shared" si="20"/>
        <v>119</v>
      </c>
      <c r="L46">
        <f t="shared" ca="1" si="21"/>
        <v>0</v>
      </c>
      <c r="M46">
        <f t="shared" ca="1" si="22"/>
        <v>1.0696795755732244E-2</v>
      </c>
      <c r="N46">
        <f t="shared" ca="1" si="16"/>
        <v>-1.0696795755732244E-2</v>
      </c>
      <c r="O46">
        <f t="shared" ca="1" si="17"/>
        <v>0.15834842975796165</v>
      </c>
      <c r="P46" s="3">
        <f t="shared" ca="1" si="12"/>
        <v>-1.4953350687494203E-2</v>
      </c>
      <c r="Q46" s="3">
        <f t="shared" ca="1" si="23"/>
        <v>-5.8677272635356957E-2</v>
      </c>
      <c r="R46" s="3">
        <f t="shared" ca="1" si="24"/>
        <v>0.94301105552646902</v>
      </c>
    </row>
    <row r="47" spans="1:68" ht="15" customHeight="1" x14ac:dyDescent="0.25">
      <c r="E47">
        <v>44</v>
      </c>
      <c r="F47">
        <f t="shared" ca="1" si="18"/>
        <v>1.0769382086225416</v>
      </c>
      <c r="G47">
        <f t="shared" ca="1" si="19"/>
        <v>2099.1097039199649</v>
      </c>
      <c r="H47">
        <f t="shared" ca="1" si="13"/>
        <v>2100.6306502019797</v>
      </c>
      <c r="I47">
        <f t="shared" ca="1" si="14"/>
        <v>1850.3656420762375</v>
      </c>
      <c r="J47">
        <f t="shared" ca="1" si="15"/>
        <v>0.12613004039595527</v>
      </c>
      <c r="K47">
        <f t="shared" si="20"/>
        <v>118</v>
      </c>
      <c r="L47">
        <f t="shared" ca="1" si="21"/>
        <v>0</v>
      </c>
      <c r="M47">
        <f t="shared" ca="1" si="22"/>
        <v>1.2613004039595527E-2</v>
      </c>
      <c r="N47">
        <f t="shared" ca="1" si="16"/>
        <v>-1.2613004039595527E-2</v>
      </c>
      <c r="O47">
        <f t="shared" ca="1" si="17"/>
        <v>0.15209462820148476</v>
      </c>
      <c r="P47" s="3">
        <f t="shared" ca="1" si="12"/>
        <v>-2.4954371261431248E-2</v>
      </c>
      <c r="Q47" s="3">
        <f t="shared" ca="1" si="23"/>
        <v>-7.7763916633252508E-2</v>
      </c>
      <c r="R47" s="3">
        <f t="shared" ca="1" si="24"/>
        <v>0.92518282103811877</v>
      </c>
    </row>
    <row r="48" spans="1:68" ht="15" customHeight="1" x14ac:dyDescent="0.25">
      <c r="E48">
        <v>45</v>
      </c>
      <c r="F48">
        <f t="shared" ca="1" si="18"/>
        <v>1.0895512126621372</v>
      </c>
      <c r="G48">
        <f t="shared" ca="1" si="19"/>
        <v>2099.2617985481666</v>
      </c>
      <c r="H48">
        <f t="shared" ca="1" si="13"/>
        <v>2100.7272320532375</v>
      </c>
      <c r="I48">
        <f t="shared" ca="1" si="14"/>
        <v>1815.0977949524445</v>
      </c>
      <c r="J48">
        <f t="shared" ca="1" si="15"/>
        <v>0.1454464106475282</v>
      </c>
      <c r="K48">
        <f t="shared" si="20"/>
        <v>117</v>
      </c>
      <c r="L48">
        <f t="shared" ca="1" si="21"/>
        <v>0</v>
      </c>
      <c r="M48">
        <f t="shared" ca="1" si="22"/>
        <v>1.454464106475282E-2</v>
      </c>
      <c r="N48">
        <f t="shared" ca="1" si="16"/>
        <v>-1.454464106475282E-2</v>
      </c>
      <c r="O48">
        <f t="shared" ca="1" si="17"/>
        <v>0.14654335050709053</v>
      </c>
      <c r="P48" s="3">
        <f t="shared" ca="1" si="12"/>
        <v>-2.7020307808262357E-2</v>
      </c>
      <c r="Q48" s="3">
        <f t="shared" ca="1" si="23"/>
        <v>-9.7007832778189612E-2</v>
      </c>
      <c r="R48" s="3">
        <f t="shared" ca="1" si="24"/>
        <v>0.90754889747622225</v>
      </c>
    </row>
    <row r="49" spans="5:18" ht="15" customHeight="1" x14ac:dyDescent="0.25">
      <c r="E49">
        <v>46</v>
      </c>
      <c r="F49">
        <f t="shared" ca="1" si="18"/>
        <v>1.1040958537268899</v>
      </c>
      <c r="G49">
        <f t="shared" ca="1" si="19"/>
        <v>2099.4083418986738</v>
      </c>
      <c r="H49">
        <f t="shared" ca="1" si="13"/>
        <v>2100.509849449204</v>
      </c>
      <c r="I49">
        <f t="shared" ca="1" si="14"/>
        <v>1895.8848582901578</v>
      </c>
      <c r="J49">
        <f t="shared" ca="1" si="15"/>
        <v>0.1019698898407963</v>
      </c>
      <c r="K49">
        <f t="shared" si="20"/>
        <v>116</v>
      </c>
      <c r="L49">
        <f t="shared" ca="1" si="21"/>
        <v>0</v>
      </c>
      <c r="M49">
        <f t="shared" ca="1" si="22"/>
        <v>1.0196988984079631E-2</v>
      </c>
      <c r="N49">
        <f t="shared" ca="1" si="16"/>
        <v>-1.0196988984079631E-2</v>
      </c>
      <c r="O49">
        <f t="shared" ca="1" si="17"/>
        <v>0.11015075505301866</v>
      </c>
      <c r="P49" s="3">
        <f t="shared" ca="1" si="12"/>
        <v>3.3845542179273422E-2</v>
      </c>
      <c r="Q49" s="3">
        <f t="shared" ca="1" si="23"/>
        <v>-5.3461507321097237E-2</v>
      </c>
      <c r="R49" s="3">
        <f t="shared" ca="1" si="24"/>
        <v>0.94794242914507887</v>
      </c>
    </row>
    <row r="50" spans="5:18" ht="15" customHeight="1" x14ac:dyDescent="0.25">
      <c r="E50">
        <v>47</v>
      </c>
      <c r="F50">
        <f t="shared" ca="1" si="18"/>
        <v>1.1142928427109695</v>
      </c>
      <c r="G50">
        <f t="shared" ca="1" si="19"/>
        <v>2099.5184926537268</v>
      </c>
      <c r="H50">
        <f t="shared" ca="1" si="13"/>
        <v>2100.7015991475355</v>
      </c>
      <c r="I50">
        <f t="shared" ca="1" si="14"/>
        <v>1824.6500217110181</v>
      </c>
      <c r="J50">
        <f t="shared" ca="1" si="15"/>
        <v>0.14031982950710212</v>
      </c>
      <c r="K50">
        <f t="shared" si="20"/>
        <v>115</v>
      </c>
      <c r="L50">
        <f t="shared" ca="1" si="21"/>
        <v>0</v>
      </c>
      <c r="M50">
        <f t="shared" ca="1" si="22"/>
        <v>1.4031982950710212E-2</v>
      </c>
      <c r="N50">
        <f t="shared" ca="1" si="16"/>
        <v>-1.4031982950710212E-2</v>
      </c>
      <c r="O50">
        <f t="shared" ca="1" si="17"/>
        <v>0.11831064938087366</v>
      </c>
      <c r="P50" s="3">
        <f t="shared" ca="1" si="12"/>
        <v>-4.3643624251983898E-2</v>
      </c>
      <c r="Q50" s="3">
        <f t="shared" ca="1" si="23"/>
        <v>-9.1758980840971421E-2</v>
      </c>
      <c r="R50" s="3">
        <f t="shared" ca="1" si="24"/>
        <v>0.9123250108555091</v>
      </c>
    </row>
    <row r="51" spans="5:18" ht="15" customHeight="1" x14ac:dyDescent="0.25">
      <c r="E51">
        <v>48</v>
      </c>
      <c r="F51">
        <f t="shared" ca="1" si="18"/>
        <v>1.1283248256616798</v>
      </c>
      <c r="G51">
        <f t="shared" ca="1" si="19"/>
        <v>2099.6368033031076</v>
      </c>
      <c r="H51">
        <f t="shared" ca="1" si="13"/>
        <v>2100.7719740203288</v>
      </c>
      <c r="I51">
        <f t="shared" ca="1" si="14"/>
        <v>1799.2493945381559</v>
      </c>
      <c r="J51">
        <f t="shared" ca="1" si="15"/>
        <v>0.15439480406580045</v>
      </c>
      <c r="K51">
        <f t="shared" si="20"/>
        <v>114</v>
      </c>
      <c r="L51">
        <f t="shared" ca="1" si="21"/>
        <v>0</v>
      </c>
      <c r="M51">
        <f t="shared" ca="1" si="22"/>
        <v>1.5439480406580046E-2</v>
      </c>
      <c r="N51">
        <f t="shared" ca="1" si="16"/>
        <v>-1.5439480406580046E-2</v>
      </c>
      <c r="O51">
        <f t="shared" ca="1" si="17"/>
        <v>0.11351707172211718</v>
      </c>
      <c r="P51" s="3">
        <f t="shared" ca="1" si="12"/>
        <v>-2.3194522905253718E-2</v>
      </c>
      <c r="Q51" s="3">
        <f t="shared" ca="1" si="23"/>
        <v>-0.105777605662128</v>
      </c>
      <c r="R51" s="3">
        <f t="shared" ca="1" si="24"/>
        <v>0.89962469726907801</v>
      </c>
    </row>
    <row r="52" spans="5:18" ht="15" customHeight="1" x14ac:dyDescent="0.25">
      <c r="E52">
        <v>49</v>
      </c>
      <c r="F52">
        <f t="shared" ca="1" si="18"/>
        <v>1.1437643060682599</v>
      </c>
      <c r="G52">
        <f t="shared" ca="1" si="19"/>
        <v>2099.7503203748297</v>
      </c>
      <c r="H52">
        <f t="shared" ca="1" si="13"/>
        <v>2100.8265356519173</v>
      </c>
      <c r="I52">
        <f t="shared" ca="1" si="14"/>
        <v>1779.8183565552163</v>
      </c>
      <c r="J52">
        <f t="shared" ca="1" si="15"/>
        <v>0.16530713038342981</v>
      </c>
      <c r="K52">
        <f t="shared" si="20"/>
        <v>113</v>
      </c>
      <c r="L52">
        <f t="shared" ca="1" si="21"/>
        <v>0</v>
      </c>
      <c r="M52">
        <f t="shared" ca="1" si="22"/>
        <v>1.6530713038342981E-2</v>
      </c>
      <c r="N52">
        <f t="shared" ca="1" si="16"/>
        <v>-1.6530713038342981E-2</v>
      </c>
      <c r="O52">
        <f t="shared" ca="1" si="17"/>
        <v>0.10762152770876128</v>
      </c>
      <c r="P52" s="3">
        <f t="shared" ca="1" si="12"/>
        <v>-2.143602324626533E-2</v>
      </c>
      <c r="Q52" s="3">
        <f t="shared" ca="1" si="23"/>
        <v>-0.11663586834218052</v>
      </c>
      <c r="R52" s="3">
        <f t="shared" ca="1" si="24"/>
        <v>0.88990917827760818</v>
      </c>
    </row>
    <row r="53" spans="5:18" ht="15" customHeight="1" x14ac:dyDescent="0.25">
      <c r="E53">
        <v>50</v>
      </c>
      <c r="F53">
        <f t="shared" ca="1" si="18"/>
        <v>1.1602950191066028</v>
      </c>
      <c r="G53">
        <f t="shared" ca="1" si="19"/>
        <v>2099.8579419025386</v>
      </c>
      <c r="H53">
        <f t="shared" ca="1" si="13"/>
        <v>2100.7261485632866</v>
      </c>
      <c r="I53">
        <f t="shared" ca="1" si="14"/>
        <v>1816.0067244637592</v>
      </c>
      <c r="J53">
        <f t="shared" ca="1" si="15"/>
        <v>0.14522971265736676</v>
      </c>
      <c r="K53">
        <f t="shared" si="20"/>
        <v>112</v>
      </c>
      <c r="L53">
        <f t="shared" ca="1" si="21"/>
        <v>0</v>
      </c>
      <c r="M53">
        <f t="shared" ca="1" si="22"/>
        <v>1.4522971265736677E-2</v>
      </c>
      <c r="N53">
        <f t="shared" ca="1" si="16"/>
        <v>-1.4522971265736677E-2</v>
      </c>
      <c r="O53">
        <f t="shared" ca="1" si="17"/>
        <v>8.6820666074800101E-2</v>
      </c>
      <c r="P53" s="3">
        <f t="shared" ca="1" si="12"/>
        <v>8.4650840188088775E-3</v>
      </c>
      <c r="Q53" s="3">
        <f t="shared" ca="1" si="23"/>
        <v>-9.6507197489153596E-2</v>
      </c>
      <c r="R53" s="3">
        <f t="shared" ca="1" si="24"/>
        <v>0.90800336223187961</v>
      </c>
    </row>
    <row r="54" spans="5:18" ht="15" customHeight="1" x14ac:dyDescent="0.25">
      <c r="E54">
        <v>51</v>
      </c>
      <c r="F54">
        <f t="shared" ca="1" si="18"/>
        <v>1.1748179903723395</v>
      </c>
      <c r="G54">
        <f t="shared" ca="1" si="19"/>
        <v>2099.9447625686134</v>
      </c>
      <c r="H54">
        <f t="shared" ca="1" si="13"/>
        <v>2100.8484426294808</v>
      </c>
      <c r="I54">
        <f t="shared" ca="1" si="14"/>
        <v>1772.2014218675868</v>
      </c>
      <c r="J54">
        <f t="shared" ca="1" si="15"/>
        <v>0.16968852589614489</v>
      </c>
      <c r="K54">
        <f t="shared" si="20"/>
        <v>111</v>
      </c>
      <c r="L54">
        <f t="shared" ca="1" si="21"/>
        <v>0</v>
      </c>
      <c r="M54">
        <f t="shared" ca="1" si="22"/>
        <v>1.6968852589614489E-2</v>
      </c>
      <c r="N54">
        <f t="shared" ca="1" si="16"/>
        <v>-1.6968852589614489E-2</v>
      </c>
      <c r="O54">
        <f t="shared" ca="1" si="17"/>
        <v>9.0368006086737299E-2</v>
      </c>
      <c r="P54" s="3">
        <f t="shared" ca="1" si="12"/>
        <v>-3.4068187871174341E-2</v>
      </c>
      <c r="Q54" s="3">
        <f t="shared" ca="1" si="23"/>
        <v>-0.12092466561141257</v>
      </c>
      <c r="R54" s="3">
        <f t="shared" ca="1" si="24"/>
        <v>0.88610071093379339</v>
      </c>
    </row>
    <row r="55" spans="5:18" ht="15" customHeight="1" x14ac:dyDescent="0.25">
      <c r="E55">
        <v>52</v>
      </c>
      <c r="F55">
        <f t="shared" ca="1" si="18"/>
        <v>1.191786842961954</v>
      </c>
      <c r="G55">
        <f t="shared" ca="1" si="19"/>
        <v>2100.0351305747004</v>
      </c>
      <c r="H55">
        <f t="shared" ca="1" si="13"/>
        <v>2100.3151194642796</v>
      </c>
      <c r="I55">
        <f t="shared" ca="1" si="14"/>
        <v>1971.7671686593978</v>
      </c>
      <c r="J55">
        <f t="shared" ca="1" si="15"/>
        <v>6.3023892855889982E-2</v>
      </c>
      <c r="K55">
        <f t="shared" si="20"/>
        <v>110</v>
      </c>
      <c r="L55">
        <f t="shared" ca="1" si="21"/>
        <v>0</v>
      </c>
      <c r="M55">
        <f t="shared" ca="1" si="22"/>
        <v>6.3023892855889989E-3</v>
      </c>
      <c r="N55">
        <f t="shared" ca="1" si="16"/>
        <v>-6.3023892855889989E-3</v>
      </c>
      <c r="O55">
        <f t="shared" ca="1" si="17"/>
        <v>2.7998888957927195E-2</v>
      </c>
      <c r="P55" s="3">
        <f t="shared" ca="1" si="12"/>
        <v>9.4615199068983177E-2</v>
      </c>
      <c r="Q55" s="3">
        <f t="shared" ca="1" si="23"/>
        <v>-1.4216999981288142E-2</v>
      </c>
      <c r="R55" s="3">
        <f t="shared" ca="1" si="24"/>
        <v>0.98588358432969891</v>
      </c>
    </row>
    <row r="56" spans="5:18" ht="15" customHeight="1" x14ac:dyDescent="0.25">
      <c r="E56">
        <v>53</v>
      </c>
      <c r="F56">
        <f t="shared" ca="1" si="18"/>
        <v>1.1980892322475429</v>
      </c>
      <c r="G56">
        <f t="shared" ca="1" si="19"/>
        <v>2100.0631294636582</v>
      </c>
      <c r="H56">
        <f t="shared" ca="1" si="13"/>
        <v>2099.8320044319371</v>
      </c>
      <c r="I56">
        <f t="shared" ca="1" si="14"/>
        <v>2171.8221584211906</v>
      </c>
      <c r="J56">
        <f t="shared" ca="1" si="15"/>
        <v>-3.3599113612579182E-2</v>
      </c>
      <c r="K56">
        <f t="shared" si="20"/>
        <v>109</v>
      </c>
      <c r="L56">
        <f t="shared" ca="1" si="21"/>
        <v>0</v>
      </c>
      <c r="M56">
        <f t="shared" ca="1" si="22"/>
        <v>-3.3599113612579183E-3</v>
      </c>
      <c r="N56">
        <f t="shared" ca="1" si="16"/>
        <v>3.3599113612579183E-3</v>
      </c>
      <c r="O56">
        <f t="shared" ca="1" si="17"/>
        <v>-2.3112503172114884E-2</v>
      </c>
      <c r="P56" s="3">
        <f t="shared" ca="1" si="12"/>
        <v>9.5214638962689266E-2</v>
      </c>
      <c r="Q56" s="3">
        <f t="shared" ca="1" si="23"/>
        <v>8.2419338979529938E-2</v>
      </c>
      <c r="R56" s="3">
        <f t="shared" ca="1" si="24"/>
        <v>1.0859110792105953</v>
      </c>
    </row>
    <row r="57" spans="5:18" ht="15" customHeight="1" x14ac:dyDescent="0.25">
      <c r="E57">
        <v>54</v>
      </c>
      <c r="F57">
        <f t="shared" ca="1" si="18"/>
        <v>1.194729320886285</v>
      </c>
      <c r="G57">
        <f t="shared" ca="1" si="19"/>
        <v>2100.0400169604864</v>
      </c>
      <c r="H57">
        <f t="shared" ca="1" si="13"/>
        <v>2100.0873721070484</v>
      </c>
      <c r="I57">
        <f t="shared" ca="1" si="14"/>
        <v>2063.6618025370881</v>
      </c>
      <c r="J57">
        <f t="shared" ca="1" si="15"/>
        <v>1.7474421409667325E-2</v>
      </c>
      <c r="K57">
        <f t="shared" si="20"/>
        <v>108</v>
      </c>
      <c r="L57">
        <f t="shared" ca="1" si="21"/>
        <v>0</v>
      </c>
      <c r="M57">
        <f t="shared" ca="1" si="22"/>
        <v>1.7474421409667325E-3</v>
      </c>
      <c r="N57">
        <f t="shared" ca="1" si="16"/>
        <v>-1.7474421409667325E-3</v>
      </c>
      <c r="O57">
        <f t="shared" ca="1" si="17"/>
        <v>4.7355146562040318E-3</v>
      </c>
      <c r="P57" s="3">
        <f t="shared" ca="1" si="12"/>
        <v>-4.2842606807899919E-2</v>
      </c>
      <c r="Q57" s="3">
        <f t="shared" ca="1" si="23"/>
        <v>3.1334798273677023E-2</v>
      </c>
      <c r="R57" s="3">
        <f t="shared" ca="1" si="24"/>
        <v>1.031830901268544</v>
      </c>
    </row>
    <row r="58" spans="5:18" ht="15" customHeight="1" x14ac:dyDescent="0.25">
      <c r="E58">
        <v>55</v>
      </c>
      <c r="F58">
        <f t="shared" ca="1" si="18"/>
        <v>1.1964767630272517</v>
      </c>
      <c r="G58">
        <f t="shared" ca="1" si="19"/>
        <v>2100.0447524751426</v>
      </c>
      <c r="H58">
        <f t="shared" ca="1" si="13"/>
        <v>2099.7356351572539</v>
      </c>
      <c r="I58">
        <f t="shared" ca="1" si="14"/>
        <v>2214.0681689305966</v>
      </c>
      <c r="J58">
        <f t="shared" ca="1" si="15"/>
        <v>-5.2872968549240409E-2</v>
      </c>
      <c r="K58">
        <f t="shared" si="20"/>
        <v>107</v>
      </c>
      <c r="L58">
        <f t="shared" ca="1" si="21"/>
        <v>0</v>
      </c>
      <c r="M58">
        <f t="shared" ca="1" si="22"/>
        <v>-5.2872968549240416E-3</v>
      </c>
      <c r="N58">
        <f t="shared" ca="1" si="16"/>
        <v>5.2872968549240416E-3</v>
      </c>
      <c r="O58">
        <f t="shared" ca="1" si="17"/>
        <v>-3.091173178886493E-2</v>
      </c>
      <c r="P58" s="3">
        <f t="shared" ca="1" si="12"/>
        <v>7.3483124747742254E-2</v>
      </c>
      <c r="Q58" s="3">
        <f t="shared" ca="1" si="23"/>
        <v>0.10168444319405158</v>
      </c>
      <c r="R58" s="3">
        <f t="shared" ca="1" si="24"/>
        <v>1.1070340844652984</v>
      </c>
    </row>
    <row r="59" spans="5:18" ht="15" customHeight="1" x14ac:dyDescent="0.25">
      <c r="E59">
        <v>56</v>
      </c>
      <c r="F59">
        <f t="shared" ca="1" si="18"/>
        <v>1.1911894661723277</v>
      </c>
      <c r="G59">
        <f t="shared" ca="1" si="19"/>
        <v>2100.0138407433537</v>
      </c>
      <c r="H59">
        <f t="shared" ca="1" si="13"/>
        <v>2080.8631419671033</v>
      </c>
      <c r="I59">
        <f t="shared" ca="1" si="14"/>
        <v>2078.5810539476479</v>
      </c>
      <c r="J59">
        <f t="shared" ca="1" si="15"/>
        <v>1.0258460221168587E-2</v>
      </c>
      <c r="K59">
        <f t="shared" si="20"/>
        <v>106</v>
      </c>
      <c r="L59">
        <f t="shared" ca="1" si="21"/>
        <v>0.3837630066800557</v>
      </c>
      <c r="M59">
        <f t="shared" ca="1" si="22"/>
        <v>1.0258460221168589E-3</v>
      </c>
      <c r="N59">
        <f t="shared" ca="1" si="16"/>
        <v>0.38273716065793884</v>
      </c>
      <c r="O59">
        <f t="shared" ca="1" si="17"/>
        <v>-1.9150698776250465</v>
      </c>
      <c r="P59" s="3">
        <f t="shared" ca="1" si="12"/>
        <v>-5.2977704117934024E-2</v>
      </c>
      <c r="Q59" s="3">
        <f t="shared" ca="1" si="23"/>
        <v>3.8538294756712402E-2</v>
      </c>
      <c r="R59" s="3">
        <f t="shared" ca="1" si="24"/>
        <v>1.039290526973824</v>
      </c>
    </row>
    <row r="60" spans="5:18" ht="15" customHeight="1" x14ac:dyDescent="0.25">
      <c r="E60">
        <v>57</v>
      </c>
      <c r="F60">
        <f t="shared" ca="1" si="18"/>
        <v>1.1922153121944445</v>
      </c>
      <c r="G60">
        <f t="shared" ca="1" si="19"/>
        <v>2098.0987708657285</v>
      </c>
      <c r="H60">
        <f t="shared" ca="1" si="13"/>
        <v>1990.2730361867593</v>
      </c>
      <c r="I60">
        <f t="shared" ca="1" si="14"/>
        <v>2102.9628692512365</v>
      </c>
      <c r="J60">
        <f t="shared" ca="1" si="15"/>
        <v>-2.3156530304633328E-3</v>
      </c>
      <c r="K60">
        <f t="shared" si="20"/>
        <v>105</v>
      </c>
      <c r="L60">
        <f t="shared" ca="1" si="21"/>
        <v>2.1943077109617661</v>
      </c>
      <c r="M60">
        <f t="shared" ca="1" si="22"/>
        <v>-2.3156530304633329E-4</v>
      </c>
      <c r="N60">
        <f t="shared" ca="1" si="16"/>
        <v>2.1945392762648126</v>
      </c>
      <c r="O60">
        <f t="shared" ca="1" si="17"/>
        <v>-10.782573467896919</v>
      </c>
      <c r="P60" s="3">
        <f t="shared" ca="1" si="12"/>
        <v>1.5515594637750783E-2</v>
      </c>
      <c r="Q60" s="3">
        <f t="shared" ca="1" si="23"/>
        <v>5.0200059918791944E-2</v>
      </c>
      <c r="R60" s="3">
        <f t="shared" ca="1" si="24"/>
        <v>1.0514814346256183</v>
      </c>
    </row>
    <row r="61" spans="5:18" ht="15" customHeight="1" x14ac:dyDescent="0.25">
      <c r="E61">
        <v>58</v>
      </c>
      <c r="F61">
        <f t="shared" ca="1" si="18"/>
        <v>1.1919837468913983</v>
      </c>
      <c r="G61">
        <f t="shared" ca="1" si="19"/>
        <v>2087.3161973978317</v>
      </c>
      <c r="H61">
        <f t="shared" ca="1" si="13"/>
        <v>1944.5195088676703</v>
      </c>
      <c r="I61">
        <f t="shared" ca="1" si="14"/>
        <v>1966.204462435735</v>
      </c>
      <c r="J61">
        <f t="shared" ca="1" si="15"/>
        <v>5.9774109193806435E-2</v>
      </c>
      <c r="K61">
        <f t="shared" si="20"/>
        <v>104</v>
      </c>
      <c r="L61">
        <f t="shared" ca="1" si="21"/>
        <v>3.1155872335659751</v>
      </c>
      <c r="M61">
        <f t="shared" ca="1" si="22"/>
        <v>5.9774109193806435E-3</v>
      </c>
      <c r="N61">
        <f t="shared" ca="1" si="16"/>
        <v>3.1096098226465942</v>
      </c>
      <c r="O61">
        <f t="shared" ca="1" si="17"/>
        <v>-14.279668853016142</v>
      </c>
      <c r="P61" s="3">
        <f t="shared" ca="1" si="12"/>
        <v>-6.2222218965084342E-2</v>
      </c>
      <c r="Q61" s="3">
        <f t="shared" ca="1" si="23"/>
        <v>-1.7042165038171589E-2</v>
      </c>
      <c r="R61" s="3">
        <f t="shared" ca="1" si="24"/>
        <v>0.98310223121786744</v>
      </c>
    </row>
    <row r="62" spans="5:18" ht="15" customHeight="1" x14ac:dyDescent="0.25">
      <c r="E62">
        <v>59</v>
      </c>
      <c r="F62">
        <f t="shared" ca="1" si="18"/>
        <v>1.1979611578107789</v>
      </c>
      <c r="G62">
        <f t="shared" ca="1" si="19"/>
        <v>2073.0365285448156</v>
      </c>
      <c r="H62">
        <f t="shared" ca="1" si="13"/>
        <v>1915.6962608224626</v>
      </c>
      <c r="I62">
        <f t="shared" ca="1" si="14"/>
        <v>1811.237999102668</v>
      </c>
      <c r="J62">
        <f t="shared" ca="1" si="15"/>
        <v>0.13500386552398685</v>
      </c>
      <c r="K62">
        <f t="shared" si="20"/>
        <v>103</v>
      </c>
      <c r="L62">
        <f t="shared" ca="1" si="21"/>
        <v>3.6995751701031452</v>
      </c>
      <c r="M62">
        <f t="shared" ca="1" si="22"/>
        <v>1.3500386552398685E-2</v>
      </c>
      <c r="N62">
        <f t="shared" ca="1" si="16"/>
        <v>3.6860747835507466</v>
      </c>
      <c r="O62">
        <f t="shared" ca="1" si="17"/>
        <v>-15.734026772235303</v>
      </c>
      <c r="P62" s="3">
        <f t="shared" ca="1" si="12"/>
        <v>-8.3798643149006646E-2</v>
      </c>
      <c r="Q62" s="3">
        <f t="shared" ca="1" si="23"/>
        <v>-9.9136591683361072E-2</v>
      </c>
      <c r="R62" s="3">
        <f t="shared" ca="1" si="24"/>
        <v>0.90561899955133407</v>
      </c>
    </row>
    <row r="63" spans="5:18" ht="15" customHeight="1" x14ac:dyDescent="0.25">
      <c r="E63">
        <v>60</v>
      </c>
      <c r="F63">
        <f t="shared" ca="1" si="18"/>
        <v>1.2114615443631775</v>
      </c>
      <c r="G63">
        <f t="shared" ca="1" si="19"/>
        <v>2057.3025017725804</v>
      </c>
      <c r="H63">
        <f t="shared" ca="1" si="13"/>
        <v>1893.1407311390803</v>
      </c>
      <c r="I63">
        <f t="shared" ca="1" si="14"/>
        <v>1753.3298859365752</v>
      </c>
      <c r="J63">
        <f t="shared" ca="1" si="15"/>
        <v>0.15987888766015862</v>
      </c>
      <c r="K63">
        <f t="shared" si="20"/>
        <v>102</v>
      </c>
      <c r="L63">
        <f t="shared" ca="1" si="21"/>
        <v>4.1531732659844067</v>
      </c>
      <c r="M63">
        <f t="shared" ca="1" si="22"/>
        <v>1.5987888766015864E-2</v>
      </c>
      <c r="N63">
        <f t="shared" ca="1" si="16"/>
        <v>4.1371853772183913</v>
      </c>
      <c r="O63">
        <f t="shared" ca="1" si="17"/>
        <v>-16.416177063350005</v>
      </c>
      <c r="P63" s="3">
        <f t="shared" ca="1" si="12"/>
        <v>-4.2407476161214062E-2</v>
      </c>
      <c r="Q63" s="3">
        <f t="shared" ca="1" si="23"/>
        <v>-0.13163040867623904</v>
      </c>
      <c r="R63" s="3">
        <f t="shared" ca="1" si="24"/>
        <v>0.87666494296828767</v>
      </c>
    </row>
    <row r="64" spans="5:18" ht="15" customHeight="1" x14ac:dyDescent="0.25">
      <c r="E64">
        <v>61</v>
      </c>
      <c r="F64">
        <f t="shared" ca="1" si="18"/>
        <v>1.2274494331291934</v>
      </c>
      <c r="G64">
        <f t="shared" ca="1" si="19"/>
        <v>2040.8863247092304</v>
      </c>
      <c r="H64">
        <f t="shared" ca="1" si="13"/>
        <v>1873.6081126269489</v>
      </c>
      <c r="I64">
        <f t="shared" ca="1" si="14"/>
        <v>1744.4656468556577</v>
      </c>
      <c r="J64">
        <f t="shared" ca="1" si="15"/>
        <v>0.15693589720413983</v>
      </c>
      <c r="K64">
        <f t="shared" si="20"/>
        <v>101</v>
      </c>
      <c r="L64">
        <f t="shared" ca="1" si="21"/>
        <v>4.5435313371814345</v>
      </c>
      <c r="M64">
        <f t="shared" ca="1" si="22"/>
        <v>1.5693589720413983E-2</v>
      </c>
      <c r="N64">
        <f t="shared" ca="1" si="16"/>
        <v>4.527837747461021</v>
      </c>
      <c r="O64">
        <f t="shared" ca="1" si="17"/>
        <v>-16.727821208228146</v>
      </c>
      <c r="P64" s="3">
        <f t="shared" ca="1" si="12"/>
        <v>-1.8231523558683248E-2</v>
      </c>
      <c r="Q64" s="3">
        <f t="shared" ca="1" si="23"/>
        <v>-0.13669889136729838</v>
      </c>
      <c r="R64" s="3">
        <f t="shared" ca="1" si="24"/>
        <v>0.87223282342782882</v>
      </c>
    </row>
    <row r="65" spans="5:18" ht="15" customHeight="1" x14ac:dyDescent="0.25">
      <c r="E65">
        <v>62</v>
      </c>
      <c r="F65">
        <f t="shared" ca="1" si="18"/>
        <v>1.2431430228496074</v>
      </c>
      <c r="G65">
        <f t="shared" ca="1" si="19"/>
        <v>2024.1585035010023</v>
      </c>
      <c r="H65">
        <f t="shared" ca="1" si="13"/>
        <v>1854.8959469761051</v>
      </c>
      <c r="I65">
        <f t="shared" ca="1" si="14"/>
        <v>2023.0387387255223</v>
      </c>
      <c r="J65">
        <f t="shared" ca="1" si="15"/>
        <v>5.533532155881409E-4</v>
      </c>
      <c r="K65">
        <f t="shared" si="20"/>
        <v>100</v>
      </c>
      <c r="L65">
        <f t="shared" ca="1" si="21"/>
        <v>4.9021363957994595</v>
      </c>
      <c r="M65">
        <f t="shared" ca="1" si="22"/>
        <v>5.5335321558814093E-5</v>
      </c>
      <c r="N65">
        <f t="shared" ca="1" si="16"/>
        <v>4.9020810604779008</v>
      </c>
      <c r="O65">
        <f t="shared" ca="1" si="17"/>
        <v>-16.926255652489726</v>
      </c>
      <c r="P65" s="3">
        <f t="shared" ca="1" si="12"/>
        <v>0.13448252882045314</v>
      </c>
      <c r="Q65" s="3">
        <f t="shared" ca="1" si="23"/>
        <v>1.1453526589884605E-2</v>
      </c>
      <c r="R65" s="3">
        <f t="shared" ca="1" si="24"/>
        <v>1.0115193693627611</v>
      </c>
    </row>
    <row r="66" spans="5:18" ht="15" customHeight="1" x14ac:dyDescent="0.25">
      <c r="E66">
        <v>63</v>
      </c>
      <c r="F66">
        <f t="shared" ca="1" si="18"/>
        <v>1.2431983581711663</v>
      </c>
      <c r="G66">
        <f t="shared" ca="1" si="19"/>
        <v>2007.2322478485125</v>
      </c>
      <c r="H66">
        <f t="shared" ca="1" si="13"/>
        <v>1839.4544901897129</v>
      </c>
      <c r="I66">
        <f t="shared" ca="1" si="14"/>
        <v>2033.2667420203334</v>
      </c>
      <c r="J66">
        <f t="shared" ca="1" si="15"/>
        <v>-1.2886950121440283E-2</v>
      </c>
      <c r="K66">
        <f t="shared" si="20"/>
        <v>99</v>
      </c>
      <c r="L66">
        <f t="shared" ca="1" si="21"/>
        <v>5.2096215011935953</v>
      </c>
      <c r="M66">
        <f t="shared" ca="1" si="22"/>
        <v>-1.2886950121440283E-3</v>
      </c>
      <c r="N66">
        <f t="shared" ca="1" si="16"/>
        <v>5.2109101962057398</v>
      </c>
      <c r="O66">
        <f t="shared" ca="1" si="17"/>
        <v>-16.777775765879962</v>
      </c>
      <c r="P66" s="3">
        <f t="shared" ref="P66:P100" ca="1" si="25">NORMINV(RAND(), 0, $C$34)</f>
        <v>6.1883776579616549E-3</v>
      </c>
      <c r="Q66" s="3">
        <f t="shared" ca="1" si="23"/>
        <v>1.6496551588857801E-2</v>
      </c>
      <c r="R66" s="3">
        <f t="shared" ca="1" si="24"/>
        <v>1.0166333710101667</v>
      </c>
    </row>
    <row r="67" spans="5:18" ht="15" customHeight="1" x14ac:dyDescent="0.25">
      <c r="E67">
        <v>64</v>
      </c>
      <c r="F67">
        <f t="shared" ca="1" si="18"/>
        <v>1.2419096631590223</v>
      </c>
      <c r="G67">
        <f t="shared" ca="1" si="19"/>
        <v>1990.4544720826325</v>
      </c>
      <c r="H67">
        <f t="shared" ref="H67:H100" ca="1" si="26">Beta0_0 -Beta1*(L67-M67)</f>
        <v>1823.6259411377553</v>
      </c>
      <c r="I67">
        <f t="shared" ref="I67:I100" ca="1" si="27">ypot_0*R67</f>
        <v>1955.2330964079479</v>
      </c>
      <c r="J67">
        <f t="shared" ref="J67:J98" ca="1" si="28">LN(G67/I67)</f>
        <v>1.7853573364005868E-2</v>
      </c>
      <c r="K67">
        <f t="shared" si="20"/>
        <v>98</v>
      </c>
      <c r="L67">
        <f t="shared" ca="1" si="21"/>
        <v>5.5292665345812964</v>
      </c>
      <c r="M67">
        <f t="shared" ca="1" si="22"/>
        <v>1.7853573364005869E-3</v>
      </c>
      <c r="N67">
        <f t="shared" ref="N67:N98" ca="1" si="29">L67-M67</f>
        <v>5.527481177244896</v>
      </c>
      <c r="O67">
        <f t="shared" ref="O67:O100" ca="1" si="30">Ni*(H67-G67)</f>
        <v>-16.682853094487722</v>
      </c>
      <c r="P67" s="3">
        <f t="shared" ca="1" si="25"/>
        <v>-3.7484659760820882E-2</v>
      </c>
      <c r="Q67" s="3">
        <f t="shared" ca="1" si="23"/>
        <v>-2.263776333084886E-2</v>
      </c>
      <c r="R67" s="3">
        <f t="shared" ca="1" si="24"/>
        <v>0.97761654820397392</v>
      </c>
    </row>
    <row r="68" spans="5:18" ht="15" customHeight="1" x14ac:dyDescent="0.25">
      <c r="E68">
        <v>65</v>
      </c>
      <c r="F68">
        <f t="shared" ref="F68:F100" ca="1" si="31">F67+M67</f>
        <v>1.2436950204954229</v>
      </c>
      <c r="G68">
        <f t="shared" ref="G68:G100" ca="1" si="32">G67+O67</f>
        <v>1973.7716189881448</v>
      </c>
      <c r="H68">
        <f t="shared" ca="1" si="26"/>
        <v>1806.6762567075548</v>
      </c>
      <c r="I68">
        <f t="shared" ca="1" si="27"/>
        <v>2012.0930530901405</v>
      </c>
      <c r="J68">
        <f t="shared" ca="1" si="28"/>
        <v>-1.9229260435524153E-2</v>
      </c>
      <c r="K68">
        <f t="shared" si="20"/>
        <v>97</v>
      </c>
      <c r="L68">
        <f t="shared" ref="L68:L99" ca="1" si="33">MAX(0, -1/$B$11*(K68-F68-$B$10*G68))</f>
        <v>5.8645519398053523</v>
      </c>
      <c r="M68">
        <f t="shared" ref="M68:M100" ca="1" si="34">Mi*LN(G68/(I68))</f>
        <v>-1.9229260435524153E-3</v>
      </c>
      <c r="N68">
        <f t="shared" ca="1" si="29"/>
        <v>5.8664748658489048</v>
      </c>
      <c r="O68">
        <f t="shared" ca="1" si="30"/>
        <v>-16.709536228059005</v>
      </c>
      <c r="P68" s="3">
        <f t="shared" ca="1" si="25"/>
        <v>2.6402306656622732E-2</v>
      </c>
      <c r="Q68" s="3">
        <f t="shared" ref="Q68:Q99" ca="1" si="35">$C$33*Q67+P68</f>
        <v>6.0283196588587565E-3</v>
      </c>
      <c r="R68" s="3">
        <f t="shared" ref="R68:R99" ca="1" si="36">EXP(Q68)</f>
        <v>1.0060465265450702</v>
      </c>
    </row>
    <row r="69" spans="5:18" ht="15" customHeight="1" x14ac:dyDescent="0.25">
      <c r="E69">
        <v>66</v>
      </c>
      <c r="F69">
        <f t="shared" ca="1" si="31"/>
        <v>1.2417720944518704</v>
      </c>
      <c r="G69">
        <f t="shared" ca="1" si="32"/>
        <v>1957.0620827600858</v>
      </c>
      <c r="H69">
        <f t="shared" ca="1" si="26"/>
        <v>1790.7434904302395</v>
      </c>
      <c r="I69">
        <f t="shared" ca="1" si="27"/>
        <v>1868.660148953317</v>
      </c>
      <c r="J69">
        <f t="shared" ca="1" si="28"/>
        <v>4.6222735171349748E-2</v>
      </c>
      <c r="K69">
        <f t="shared" si="20"/>
        <v>96</v>
      </c>
      <c r="L69">
        <f t="shared" ca="1" si="33"/>
        <v>6.1897524649123454</v>
      </c>
      <c r="M69">
        <f t="shared" ca="1" si="34"/>
        <v>4.6222735171349751E-3</v>
      </c>
      <c r="N69">
        <f t="shared" ca="1" si="29"/>
        <v>6.1851301913952108</v>
      </c>
      <c r="O69">
        <f t="shared" ca="1" si="30"/>
        <v>-16.631859232984631</v>
      </c>
      <c r="P69" s="3">
        <f t="shared" ca="1" si="25"/>
        <v>-7.3350992079635177E-2</v>
      </c>
      <c r="Q69" s="3">
        <f t="shared" ca="1" si="35"/>
        <v>-6.7925504386662297E-2</v>
      </c>
      <c r="R69" s="3">
        <f t="shared" ca="1" si="36"/>
        <v>0.9343300744766585</v>
      </c>
    </row>
    <row r="70" spans="5:18" ht="15" customHeight="1" x14ac:dyDescent="0.25">
      <c r="E70">
        <v>67</v>
      </c>
      <c r="F70">
        <f t="shared" ca="1" si="31"/>
        <v>1.2463943679690055</v>
      </c>
      <c r="G70">
        <f t="shared" ca="1" si="32"/>
        <v>1940.4302235271011</v>
      </c>
      <c r="H70">
        <f t="shared" ca="1" si="26"/>
        <v>1773.694182666655</v>
      </c>
      <c r="I70">
        <f t="shared" ca="1" si="27"/>
        <v>1761.1417025713279</v>
      </c>
      <c r="J70">
        <f t="shared" ca="1" si="28"/>
        <v>9.6947419812333208E-2</v>
      </c>
      <c r="K70">
        <f t="shared" si="20"/>
        <v>95</v>
      </c>
      <c r="L70">
        <f t="shared" ca="1" si="33"/>
        <v>6.5358110886481313</v>
      </c>
      <c r="M70">
        <f t="shared" ca="1" si="34"/>
        <v>9.6947419812333218E-3</v>
      </c>
      <c r="N70">
        <f t="shared" ca="1" si="29"/>
        <v>6.5261163466668979</v>
      </c>
      <c r="O70">
        <f t="shared" ca="1" si="30"/>
        <v>-16.673604086044612</v>
      </c>
      <c r="P70" s="3">
        <f t="shared" ca="1" si="25"/>
        <v>-6.6051933230511742E-2</v>
      </c>
      <c r="Q70" s="3">
        <f t="shared" ca="1" si="35"/>
        <v>-0.12718488717850782</v>
      </c>
      <c r="R70" s="3">
        <f t="shared" ca="1" si="36"/>
        <v>0.88057085128566392</v>
      </c>
    </row>
    <row r="71" spans="5:18" ht="15" customHeight="1" x14ac:dyDescent="0.25">
      <c r="E71">
        <v>68</v>
      </c>
      <c r="F71">
        <f t="shared" ca="1" si="31"/>
        <v>1.2560891099502387</v>
      </c>
      <c r="G71">
        <f t="shared" ca="1" si="32"/>
        <v>1923.7566194410565</v>
      </c>
      <c r="H71">
        <f t="shared" ca="1" si="26"/>
        <v>1755.911315987626</v>
      </c>
      <c r="I71">
        <f t="shared" ca="1" si="27"/>
        <v>1810.5216523693325</v>
      </c>
      <c r="J71">
        <f t="shared" ca="1" si="28"/>
        <v>6.0664837586710367E-2</v>
      </c>
      <c r="K71">
        <f t="shared" si="20"/>
        <v>94</v>
      </c>
      <c r="L71">
        <f t="shared" ca="1" si="33"/>
        <v>6.8878401640061497</v>
      </c>
      <c r="M71">
        <f t="shared" ca="1" si="34"/>
        <v>6.0664837586710367E-3</v>
      </c>
      <c r="N71">
        <f t="shared" ca="1" si="29"/>
        <v>6.8817736802474787</v>
      </c>
      <c r="O71">
        <f t="shared" ca="1" si="30"/>
        <v>-16.784530345343047</v>
      </c>
      <c r="P71" s="3">
        <f t="shared" ca="1" si="25"/>
        <v>1.4934227384066009E-2</v>
      </c>
      <c r="Q71" s="3">
        <f t="shared" ca="1" si="35"/>
        <v>-9.9532171076591028E-2</v>
      </c>
      <c r="R71" s="3">
        <f t="shared" ca="1" si="36"/>
        <v>0.9052608261846663</v>
      </c>
    </row>
    <row r="72" spans="5:18" ht="15" customHeight="1" x14ac:dyDescent="0.25">
      <c r="E72">
        <v>69</v>
      </c>
      <c r="F72">
        <f t="shared" ca="1" si="31"/>
        <v>1.2621555937089097</v>
      </c>
      <c r="G72">
        <f t="shared" ca="1" si="32"/>
        <v>1906.9720890957135</v>
      </c>
      <c r="H72">
        <f t="shared" ca="1" si="26"/>
        <v>1738.8577073360339</v>
      </c>
      <c r="I72">
        <f t="shared" ca="1" si="27"/>
        <v>1932.4222221228176</v>
      </c>
      <c r="J72">
        <f t="shared" ca="1" si="28"/>
        <v>-1.3257562901299149E-2</v>
      </c>
      <c r="K72">
        <f t="shared" si="20"/>
        <v>93</v>
      </c>
      <c r="L72">
        <f t="shared" ca="1" si="33"/>
        <v>7.2215200969891953</v>
      </c>
      <c r="M72">
        <f t="shared" ca="1" si="34"/>
        <v>-1.3257562901299149E-3</v>
      </c>
      <c r="N72">
        <f t="shared" ca="1" si="29"/>
        <v>7.2228458532793249</v>
      </c>
      <c r="O72">
        <f t="shared" ca="1" si="30"/>
        <v>-16.811438175967965</v>
      </c>
      <c r="P72" s="3">
        <f t="shared" ca="1" si="25"/>
        <v>5.5206026794041831E-2</v>
      </c>
      <c r="Q72" s="3">
        <f t="shared" ca="1" si="35"/>
        <v>-3.4372927174890093E-2</v>
      </c>
      <c r="R72" s="3">
        <f t="shared" ca="1" si="36"/>
        <v>0.96621111106140878</v>
      </c>
    </row>
    <row r="73" spans="5:18" ht="15" customHeight="1" x14ac:dyDescent="0.25">
      <c r="E73">
        <v>70</v>
      </c>
      <c r="F73">
        <f t="shared" ca="1" si="31"/>
        <v>1.2608298374187799</v>
      </c>
      <c r="G73">
        <f t="shared" ca="1" si="32"/>
        <v>1890.1606509197454</v>
      </c>
      <c r="H73">
        <f t="shared" ca="1" si="26"/>
        <v>1722.6957208081883</v>
      </c>
      <c r="I73">
        <f t="shared" ca="1" si="27"/>
        <v>2054.9879746659617</v>
      </c>
      <c r="J73">
        <f t="shared" ca="1" si="28"/>
        <v>-8.3608170241166666E-2</v>
      </c>
      <c r="K73">
        <f t="shared" si="20"/>
        <v>92</v>
      </c>
      <c r="L73">
        <f t="shared" ca="1" si="33"/>
        <v>7.5377247668121186</v>
      </c>
      <c r="M73">
        <f t="shared" ca="1" si="34"/>
        <v>-8.3608170241166666E-3</v>
      </c>
      <c r="N73">
        <f t="shared" ca="1" si="29"/>
        <v>7.5460855838362351</v>
      </c>
      <c r="O73">
        <f t="shared" ca="1" si="30"/>
        <v>-16.746493011155714</v>
      </c>
      <c r="P73" s="3">
        <f t="shared" ca="1" si="25"/>
        <v>5.8058450084474668E-2</v>
      </c>
      <c r="Q73" s="3">
        <f t="shared" ca="1" si="35"/>
        <v>2.7122815627073582E-2</v>
      </c>
      <c r="R73" s="3">
        <f t="shared" ca="1" si="36"/>
        <v>1.0274939873329809</v>
      </c>
    </row>
    <row r="74" spans="5:18" ht="15" customHeight="1" x14ac:dyDescent="0.25">
      <c r="E74">
        <v>71</v>
      </c>
      <c r="F74">
        <f t="shared" ca="1" si="31"/>
        <v>1.2524690203946631</v>
      </c>
      <c r="G74">
        <f t="shared" ca="1" si="32"/>
        <v>1873.4141579085897</v>
      </c>
      <c r="H74">
        <f t="shared" ca="1" si="26"/>
        <v>1707.1002381459264</v>
      </c>
      <c r="I74">
        <f t="shared" ca="1" si="27"/>
        <v>2104.707649055033</v>
      </c>
      <c r="J74">
        <f t="shared" ca="1" si="28"/>
        <v>-0.11641405433185156</v>
      </c>
      <c r="K74">
        <f t="shared" si="20"/>
        <v>91</v>
      </c>
      <c r="L74">
        <f t="shared" ca="1" si="33"/>
        <v>7.8463538316482868</v>
      </c>
      <c r="M74">
        <f t="shared" ca="1" si="34"/>
        <v>-1.1641405433185157E-2</v>
      </c>
      <c r="N74">
        <f t="shared" ca="1" si="29"/>
        <v>7.8579952370814716</v>
      </c>
      <c r="O74">
        <f t="shared" ca="1" si="30"/>
        <v>-16.631391976266332</v>
      </c>
      <c r="P74" s="3">
        <f t="shared" ca="1" si="25"/>
        <v>2.6618858805382468E-2</v>
      </c>
      <c r="Q74" s="3">
        <f t="shared" ca="1" si="35"/>
        <v>5.1029392869748696E-2</v>
      </c>
      <c r="R74" s="3">
        <f t="shared" ca="1" si="36"/>
        <v>1.0523538245275166</v>
      </c>
    </row>
    <row r="75" spans="5:18" ht="15" customHeight="1" x14ac:dyDescent="0.25">
      <c r="E75">
        <v>72</v>
      </c>
      <c r="F75">
        <f t="shared" ca="1" si="31"/>
        <v>1.2408276149614779</v>
      </c>
      <c r="G75">
        <f t="shared" ca="1" si="32"/>
        <v>1856.7827659323234</v>
      </c>
      <c r="H75">
        <f t="shared" ca="1" si="26"/>
        <v>1691.467381989522</v>
      </c>
      <c r="I75">
        <f t="shared" ca="1" si="27"/>
        <v>2066.9015804473074</v>
      </c>
      <c r="J75">
        <f t="shared" ca="1" si="28"/>
        <v>-0.10720537054270246</v>
      </c>
      <c r="K75">
        <f t="shared" si="20"/>
        <v>90</v>
      </c>
      <c r="L75">
        <f t="shared" ca="1" si="33"/>
        <v>8.15993182315529</v>
      </c>
      <c r="M75">
        <f t="shared" ca="1" si="34"/>
        <v>-1.0720537054270247E-2</v>
      </c>
      <c r="N75">
        <f t="shared" ca="1" si="29"/>
        <v>8.1706523602095604</v>
      </c>
      <c r="O75">
        <f t="shared" ca="1" si="30"/>
        <v>-16.531538394280144</v>
      </c>
      <c r="P75" s="3">
        <f t="shared" ca="1" si="25"/>
        <v>-1.3022969261121299E-2</v>
      </c>
      <c r="Q75" s="3">
        <f t="shared" ca="1" si="35"/>
        <v>3.2903484321652528E-2</v>
      </c>
      <c r="R75" s="3">
        <f t="shared" ca="1" si="36"/>
        <v>1.0334507902236536</v>
      </c>
    </row>
    <row r="76" spans="5:18" ht="15" customHeight="1" x14ac:dyDescent="0.25">
      <c r="E76">
        <v>73</v>
      </c>
      <c r="F76">
        <f t="shared" ca="1" si="31"/>
        <v>1.2301070779072076</v>
      </c>
      <c r="G76">
        <f t="shared" ca="1" si="32"/>
        <v>1840.2512275380432</v>
      </c>
      <c r="H76">
        <f t="shared" ca="1" si="26"/>
        <v>1675.3365039819282</v>
      </c>
      <c r="I76">
        <f t="shared" ca="1" si="27"/>
        <v>1992.1853587862836</v>
      </c>
      <c r="J76">
        <f t="shared" ca="1" si="28"/>
        <v>-7.9330107426850066E-2</v>
      </c>
      <c r="K76">
        <f t="shared" si="20"/>
        <v>89</v>
      </c>
      <c r="L76">
        <f t="shared" ca="1" si="33"/>
        <v>8.4853369096187521</v>
      </c>
      <c r="M76">
        <f t="shared" ca="1" si="34"/>
        <v>-7.9330107426850063E-3</v>
      </c>
      <c r="N76">
        <f t="shared" ca="1" si="29"/>
        <v>8.4932699203614366</v>
      </c>
      <c r="O76">
        <f t="shared" ca="1" si="30"/>
        <v>-16.491472355611496</v>
      </c>
      <c r="P76" s="3">
        <f t="shared" ca="1" si="25"/>
        <v>-3.3528110016517627E-2</v>
      </c>
      <c r="Q76" s="3">
        <f t="shared" ca="1" si="35"/>
        <v>-3.9149741270303531E-3</v>
      </c>
      <c r="R76" s="3">
        <f t="shared" ca="1" si="36"/>
        <v>0.99609267939314183</v>
      </c>
    </row>
    <row r="77" spans="5:18" ht="15" customHeight="1" x14ac:dyDescent="0.25">
      <c r="E77">
        <v>74</v>
      </c>
      <c r="F77">
        <f t="shared" ca="1" si="31"/>
        <v>1.2221740671645227</v>
      </c>
      <c r="G77">
        <f t="shared" ca="1" si="32"/>
        <v>1823.7597551824317</v>
      </c>
      <c r="H77">
        <f t="shared" ca="1" si="26"/>
        <v>1658.6831196272335</v>
      </c>
      <c r="I77">
        <f t="shared" ca="1" si="27"/>
        <v>1936.8050201901349</v>
      </c>
      <c r="J77">
        <f t="shared" ca="1" si="28"/>
        <v>-6.0139548831021725E-2</v>
      </c>
      <c r="K77">
        <f t="shared" si="20"/>
        <v>88</v>
      </c>
      <c r="L77">
        <f t="shared" ca="1" si="33"/>
        <v>8.8203236525722275</v>
      </c>
      <c r="M77">
        <f t="shared" ca="1" si="34"/>
        <v>-6.0139548831021732E-3</v>
      </c>
      <c r="N77">
        <f t="shared" ca="1" si="29"/>
        <v>8.8263376074553292</v>
      </c>
      <c r="O77">
        <f t="shared" ca="1" si="30"/>
        <v>-16.507663555519823</v>
      </c>
      <c r="P77" s="3">
        <f t="shared" ca="1" si="25"/>
        <v>-2.8583985204924167E-2</v>
      </c>
      <c r="Q77" s="3">
        <f t="shared" ca="1" si="35"/>
        <v>-3.2107461919251484E-2</v>
      </c>
      <c r="R77" s="3">
        <f t="shared" ca="1" si="36"/>
        <v>0.96840251009506739</v>
      </c>
    </row>
    <row r="78" spans="5:18" ht="15" customHeight="1" x14ac:dyDescent="0.25">
      <c r="E78">
        <v>75</v>
      </c>
      <c r="F78">
        <f t="shared" ca="1" si="31"/>
        <v>1.2161601122814205</v>
      </c>
      <c r="G78">
        <f t="shared" ca="1" si="32"/>
        <v>1807.2520916269118</v>
      </c>
      <c r="H78">
        <f t="shared" ca="1" si="26"/>
        <v>1641.7966963952169</v>
      </c>
      <c r="I78">
        <f t="shared" ca="1" si="27"/>
        <v>1929.3330218739729</v>
      </c>
      <c r="J78">
        <f t="shared" ca="1" si="28"/>
        <v>-6.5366848416456361E-2</v>
      </c>
      <c r="K78">
        <f t="shared" si="20"/>
        <v>87</v>
      </c>
      <c r="L78">
        <f t="shared" ca="1" si="33"/>
        <v>9.1575293872540158</v>
      </c>
      <c r="M78">
        <f t="shared" ca="1" si="34"/>
        <v>-6.5366848416456361E-3</v>
      </c>
      <c r="N78">
        <f t="shared" ca="1" si="29"/>
        <v>9.164066072095661</v>
      </c>
      <c r="O78">
        <f t="shared" ca="1" si="30"/>
        <v>-16.545539523169488</v>
      </c>
      <c r="P78" s="3">
        <f t="shared" ca="1" si="25"/>
        <v>-7.0761061651740398E-3</v>
      </c>
      <c r="Q78" s="3">
        <f t="shared" ca="1" si="35"/>
        <v>-3.5972821892500381E-2</v>
      </c>
      <c r="R78" s="3">
        <f t="shared" ca="1" si="36"/>
        <v>0.96466651093698652</v>
      </c>
    </row>
    <row r="79" spans="5:18" ht="15" customHeight="1" x14ac:dyDescent="0.25">
      <c r="E79">
        <v>76</v>
      </c>
      <c r="F79">
        <f t="shared" ca="1" si="31"/>
        <v>1.2096234274397748</v>
      </c>
      <c r="G79">
        <f t="shared" ca="1" si="32"/>
        <v>1790.7065521037423</v>
      </c>
      <c r="H79">
        <f t="shared" ca="1" si="26"/>
        <v>1624.9140873038373</v>
      </c>
      <c r="I79">
        <f t="shared" ca="1" si="27"/>
        <v>2015.3082281226923</v>
      </c>
      <c r="J79">
        <f t="shared" ca="1" si="28"/>
        <v>-0.11816188669453005</v>
      </c>
      <c r="K79">
        <f t="shared" si="20"/>
        <v>86</v>
      </c>
      <c r="L79">
        <f t="shared" ca="1" si="33"/>
        <v>9.4899020652538013</v>
      </c>
      <c r="M79">
        <f t="shared" ca="1" si="34"/>
        <v>-1.1816188669453005E-2</v>
      </c>
      <c r="N79">
        <f t="shared" ca="1" si="29"/>
        <v>9.5017182539232543</v>
      </c>
      <c r="O79">
        <f t="shared" ca="1" si="30"/>
        <v>-16.579246479990502</v>
      </c>
      <c r="P79" s="3">
        <f t="shared" ca="1" si="25"/>
        <v>4.0000509653990983E-2</v>
      </c>
      <c r="Q79" s="3">
        <f t="shared" ca="1" si="35"/>
        <v>7.6249699507406413E-3</v>
      </c>
      <c r="R79" s="3">
        <f t="shared" ca="1" si="36"/>
        <v>1.0076541140613462</v>
      </c>
    </row>
    <row r="80" spans="5:18" ht="15" customHeight="1" x14ac:dyDescent="0.25">
      <c r="E80">
        <v>77</v>
      </c>
      <c r="F80">
        <f t="shared" ca="1" si="31"/>
        <v>1.1978072387703218</v>
      </c>
      <c r="G80">
        <f t="shared" ca="1" si="32"/>
        <v>1774.1273056237519</v>
      </c>
      <c r="H80">
        <f t="shared" ca="1" si="26"/>
        <v>1609.1894808417585</v>
      </c>
      <c r="I80">
        <f t="shared" ca="1" si="27"/>
        <v>1919.3029547264996</v>
      </c>
      <c r="J80">
        <f t="shared" ca="1" si="28"/>
        <v>-7.8653432489792549E-2</v>
      </c>
      <c r="K80">
        <f t="shared" si="20"/>
        <v>85</v>
      </c>
      <c r="L80">
        <f t="shared" ca="1" si="33"/>
        <v>9.8083450399158494</v>
      </c>
      <c r="M80">
        <f t="shared" ca="1" si="34"/>
        <v>-7.8653432489792559E-3</v>
      </c>
      <c r="N80">
        <f t="shared" ca="1" si="29"/>
        <v>9.8162103831648295</v>
      </c>
      <c r="O80">
        <f t="shared" ca="1" si="30"/>
        <v>-16.493782478199343</v>
      </c>
      <c r="P80" s="3">
        <f t="shared" ca="1" si="25"/>
        <v>-4.8047577805780395E-2</v>
      </c>
      <c r="Q80" s="3">
        <f t="shared" ca="1" si="35"/>
        <v>-4.118510485011382E-2</v>
      </c>
      <c r="R80" s="3">
        <f t="shared" ca="1" si="36"/>
        <v>0.95965147736324985</v>
      </c>
    </row>
    <row r="81" spans="5:18" ht="15" customHeight="1" x14ac:dyDescent="0.25">
      <c r="E81">
        <v>78</v>
      </c>
      <c r="F81">
        <f t="shared" ca="1" si="31"/>
        <v>1.1899418955213426</v>
      </c>
      <c r="G81">
        <f t="shared" ca="1" si="32"/>
        <v>1757.6335231455525</v>
      </c>
      <c r="H81">
        <f t="shared" ca="1" si="26"/>
        <v>1592.0607930862984</v>
      </c>
      <c r="I81">
        <f t="shared" ca="1" si="27"/>
        <v>2053.3007945009754</v>
      </c>
      <c r="J81">
        <f t="shared" ca="1" si="28"/>
        <v>-0.15548032676067491</v>
      </c>
      <c r="K81">
        <f t="shared" si="20"/>
        <v>84</v>
      </c>
      <c r="L81">
        <f t="shared" ca="1" si="33"/>
        <v>10.143236105597964</v>
      </c>
      <c r="M81">
        <f t="shared" ca="1" si="34"/>
        <v>-1.5548032676067492E-2</v>
      </c>
      <c r="N81">
        <f t="shared" ca="1" si="29"/>
        <v>10.158784138274031</v>
      </c>
      <c r="O81">
        <f t="shared" ca="1" si="30"/>
        <v>-16.557273005925413</v>
      </c>
      <c r="P81" s="3">
        <f t="shared" ca="1" si="25"/>
        <v>6.336805572297291E-2</v>
      </c>
      <c r="Q81" s="3">
        <f t="shared" ca="1" si="35"/>
        <v>2.6301461357870475E-2</v>
      </c>
      <c r="R81" s="3">
        <f t="shared" ca="1" si="36"/>
        <v>1.0266503972504877</v>
      </c>
    </row>
    <row r="82" spans="5:18" ht="15" customHeight="1" x14ac:dyDescent="0.25">
      <c r="E82">
        <v>79</v>
      </c>
      <c r="F82">
        <f t="shared" ca="1" si="31"/>
        <v>1.174393862845275</v>
      </c>
      <c r="G82">
        <f t="shared" ca="1" si="32"/>
        <v>1741.0762501396271</v>
      </c>
      <c r="H82">
        <f t="shared" ca="1" si="26"/>
        <v>1576.2964966830766</v>
      </c>
      <c r="I82">
        <f t="shared" ca="1" si="27"/>
        <v>2077.3160988657228</v>
      </c>
      <c r="J82">
        <f t="shared" ca="1" si="28"/>
        <v>-0.17657326685194374</v>
      </c>
      <c r="K82">
        <f t="shared" si="20"/>
        <v>83</v>
      </c>
      <c r="L82">
        <f t="shared" ca="1" si="33"/>
        <v>10.456412739653274</v>
      </c>
      <c r="M82">
        <f t="shared" ca="1" si="34"/>
        <v>-1.7657326685194374E-2</v>
      </c>
      <c r="N82">
        <f t="shared" ca="1" si="29"/>
        <v>10.474070066338468</v>
      </c>
      <c r="O82">
        <f t="shared" ca="1" si="30"/>
        <v>-16.477975345655047</v>
      </c>
      <c r="P82" s="3">
        <f t="shared" ca="1" si="25"/>
        <v>1.425822764569816E-2</v>
      </c>
      <c r="Q82" s="3">
        <f t="shared" ca="1" si="35"/>
        <v>3.7929542867781586E-2</v>
      </c>
      <c r="R82" s="3">
        <f t="shared" ca="1" si="36"/>
        <v>1.0386580494328614</v>
      </c>
    </row>
    <row r="83" spans="5:18" ht="15" customHeight="1" x14ac:dyDescent="0.25">
      <c r="E83">
        <v>80</v>
      </c>
      <c r="F83">
        <f t="shared" ca="1" si="31"/>
        <v>1.1567365361600808</v>
      </c>
      <c r="G83">
        <f t="shared" ca="1" si="32"/>
        <v>1724.598274793972</v>
      </c>
      <c r="H83">
        <f t="shared" ca="1" si="26"/>
        <v>1560.3918432881164</v>
      </c>
      <c r="I83">
        <f t="shared" ca="1" si="27"/>
        <v>2082.6059380706902</v>
      </c>
      <c r="J83">
        <f t="shared" ca="1" si="28"/>
        <v>-0.18862582520298998</v>
      </c>
      <c r="K83">
        <f t="shared" si="20"/>
        <v>82</v>
      </c>
      <c r="L83">
        <f t="shared" ca="1" si="33"/>
        <v>10.773300551717369</v>
      </c>
      <c r="M83">
        <f t="shared" ca="1" si="34"/>
        <v>-1.8862582520299001E-2</v>
      </c>
      <c r="N83">
        <f t="shared" ca="1" si="29"/>
        <v>10.792163134237668</v>
      </c>
      <c r="O83">
        <f t="shared" ca="1" si="30"/>
        <v>-16.420643150585558</v>
      </c>
      <c r="P83" s="3">
        <f t="shared" ca="1" si="25"/>
        <v>6.3361952462257821E-3</v>
      </c>
      <c r="Q83" s="3">
        <f t="shared" ca="1" si="35"/>
        <v>4.0472783827229214E-2</v>
      </c>
      <c r="R83" s="3">
        <f t="shared" ca="1" si="36"/>
        <v>1.041302969035345</v>
      </c>
    </row>
    <row r="84" spans="5:18" ht="15" customHeight="1" x14ac:dyDescent="0.25">
      <c r="E84">
        <v>81</v>
      </c>
      <c r="F84">
        <f t="shared" ca="1" si="31"/>
        <v>1.1378739536397817</v>
      </c>
      <c r="G84">
        <f t="shared" ca="1" si="32"/>
        <v>1708.1776316433863</v>
      </c>
      <c r="H84">
        <f t="shared" ca="1" si="26"/>
        <v>1544.2320837847701</v>
      </c>
      <c r="I84">
        <f t="shared" ca="1" si="27"/>
        <v>2125.2716226126195</v>
      </c>
      <c r="J84">
        <f t="shared" ca="1" si="28"/>
        <v>-0.21847252686374649</v>
      </c>
      <c r="K84">
        <f t="shared" si="20"/>
        <v>81</v>
      </c>
      <c r="L84">
        <f t="shared" ca="1" si="33"/>
        <v>11.093511071618224</v>
      </c>
      <c r="M84">
        <f t="shared" ca="1" si="34"/>
        <v>-2.1847252686374649E-2</v>
      </c>
      <c r="N84">
        <f t="shared" ca="1" si="29"/>
        <v>11.115358324304598</v>
      </c>
      <c r="O84">
        <f t="shared" ca="1" si="30"/>
        <v>-16.394554785861626</v>
      </c>
      <c r="P84" s="3">
        <f t="shared" ca="1" si="25"/>
        <v>2.432693060927946E-2</v>
      </c>
      <c r="Q84" s="3">
        <f t="shared" ca="1" si="35"/>
        <v>6.0752436053785761E-2</v>
      </c>
      <c r="R84" s="3">
        <f t="shared" ca="1" si="36"/>
        <v>1.0626358113063097</v>
      </c>
    </row>
    <row r="85" spans="5:18" ht="15" customHeight="1" x14ac:dyDescent="0.25">
      <c r="E85">
        <v>82</v>
      </c>
      <c r="F85">
        <f t="shared" ca="1" si="31"/>
        <v>1.1160267009534071</v>
      </c>
      <c r="G85">
        <f t="shared" ca="1" si="32"/>
        <v>1691.7830768575247</v>
      </c>
      <c r="H85">
        <f t="shared" ca="1" si="26"/>
        <v>1528.0685965574921</v>
      </c>
      <c r="I85">
        <f t="shared" ca="1" si="27"/>
        <v>2244.4328466121883</v>
      </c>
      <c r="J85">
        <f t="shared" ca="1" si="28"/>
        <v>-0.2826698119084845</v>
      </c>
      <c r="K85">
        <f t="shared" si="20"/>
        <v>80</v>
      </c>
      <c r="L85">
        <f t="shared" ca="1" si="33"/>
        <v>11.410361087659311</v>
      </c>
      <c r="M85">
        <f t="shared" ca="1" si="34"/>
        <v>-2.8266981190848452E-2</v>
      </c>
      <c r="N85">
        <f t="shared" ca="1" si="29"/>
        <v>11.438628068850159</v>
      </c>
      <c r="O85">
        <f t="shared" ca="1" si="30"/>
        <v>-16.371448030003261</v>
      </c>
      <c r="P85" s="3">
        <f t="shared" ca="1" si="25"/>
        <v>6.0628486698231079E-2</v>
      </c>
      <c r="Q85" s="3">
        <f t="shared" ca="1" si="35"/>
        <v>0.11530567914663827</v>
      </c>
      <c r="R85" s="3">
        <f t="shared" ca="1" si="36"/>
        <v>1.1222164233060941</v>
      </c>
    </row>
    <row r="86" spans="5:18" ht="15" customHeight="1" x14ac:dyDescent="0.25">
      <c r="E86">
        <v>83</v>
      </c>
      <c r="F86">
        <f t="shared" ca="1" si="31"/>
        <v>1.0877597197625586</v>
      </c>
      <c r="G86">
        <f t="shared" ca="1" si="32"/>
        <v>1675.4116288275216</v>
      </c>
      <c r="H86">
        <f t="shared" ca="1" si="26"/>
        <v>1512.4556187068674</v>
      </c>
      <c r="I86">
        <f t="shared" ca="1" si="27"/>
        <v>2358.7030655703334</v>
      </c>
      <c r="J86">
        <f t="shared" ca="1" si="28"/>
        <v>-0.34205303585371299</v>
      </c>
      <c r="K86">
        <f t="shared" si="20"/>
        <v>79</v>
      </c>
      <c r="L86">
        <f t="shared" ca="1" si="33"/>
        <v>11.716682322277279</v>
      </c>
      <c r="M86">
        <f t="shared" ca="1" si="34"/>
        <v>-3.4205303585371299E-2</v>
      </c>
      <c r="N86">
        <f t="shared" ca="1" si="29"/>
        <v>11.750887625862651</v>
      </c>
      <c r="O86">
        <f t="shared" ca="1" si="30"/>
        <v>-16.295601012065415</v>
      </c>
      <c r="P86" s="3">
        <f t="shared" ca="1" si="25"/>
        <v>6.1189627701337505E-2</v>
      </c>
      <c r="Q86" s="3">
        <f t="shared" ca="1" si="35"/>
        <v>0.16496473893331196</v>
      </c>
      <c r="R86" s="3">
        <f t="shared" ca="1" si="36"/>
        <v>1.1793515327851667</v>
      </c>
    </row>
    <row r="87" spans="5:18" ht="15" customHeight="1" x14ac:dyDescent="0.25">
      <c r="E87">
        <v>84</v>
      </c>
      <c r="F87">
        <f t="shared" ca="1" si="31"/>
        <v>1.0535544161771873</v>
      </c>
      <c r="G87">
        <f t="shared" ca="1" si="32"/>
        <v>1659.1160278154562</v>
      </c>
      <c r="H87">
        <f t="shared" ca="1" si="26"/>
        <v>1497.5449264132371</v>
      </c>
      <c r="I87">
        <f t="shared" ca="1" si="27"/>
        <v>2248.3205730198561</v>
      </c>
      <c r="J87">
        <f t="shared" ca="1" si="28"/>
        <v>-0.30389857835235723</v>
      </c>
      <c r="K87">
        <f t="shared" si="20"/>
        <v>78</v>
      </c>
      <c r="L87">
        <f t="shared" ca="1" si="33"/>
        <v>12.018711613900024</v>
      </c>
      <c r="M87">
        <f t="shared" ca="1" si="34"/>
        <v>-3.0389857835235724E-2</v>
      </c>
      <c r="N87">
        <f t="shared" ca="1" si="29"/>
        <v>12.049101471735259</v>
      </c>
      <c r="O87">
        <f t="shared" ca="1" si="30"/>
        <v>-16.157110140221903</v>
      </c>
      <c r="P87" s="3">
        <f t="shared" ca="1" si="25"/>
        <v>-3.1431920078896648E-2</v>
      </c>
      <c r="Q87" s="3">
        <f t="shared" ca="1" si="35"/>
        <v>0.11703634496108412</v>
      </c>
      <c r="R87" s="3">
        <f t="shared" ca="1" si="36"/>
        <v>1.1241602865099281</v>
      </c>
    </row>
    <row r="88" spans="5:18" ht="15" customHeight="1" x14ac:dyDescent="0.25">
      <c r="E88">
        <v>85</v>
      </c>
      <c r="F88">
        <f t="shared" ca="1" si="31"/>
        <v>1.0231645583419515</v>
      </c>
      <c r="G88">
        <f t="shared" ca="1" si="32"/>
        <v>1642.9589176752343</v>
      </c>
      <c r="H88">
        <f t="shared" ca="1" si="26"/>
        <v>1481.5361477201122</v>
      </c>
      <c r="I88">
        <f t="shared" ca="1" si="27"/>
        <v>2153.4268310769476</v>
      </c>
      <c r="J88">
        <f t="shared" ca="1" si="28"/>
        <v>-0.27056161390420513</v>
      </c>
      <c r="K88">
        <f t="shared" si="20"/>
        <v>77</v>
      </c>
      <c r="L88">
        <f t="shared" ca="1" si="33"/>
        <v>12.342220884207336</v>
      </c>
      <c r="M88">
        <f t="shared" ca="1" si="34"/>
        <v>-2.7056161390420514E-2</v>
      </c>
      <c r="N88">
        <f t="shared" ca="1" si="29"/>
        <v>12.369277045597757</v>
      </c>
      <c r="O88">
        <f t="shared" ca="1" si="30"/>
        <v>-16.142276995512201</v>
      </c>
      <c r="P88" s="3">
        <f t="shared" ca="1" si="25"/>
        <v>-3.141944283636685E-2</v>
      </c>
      <c r="Q88" s="3">
        <f t="shared" ca="1" si="35"/>
        <v>7.3913267628608864E-2</v>
      </c>
      <c r="R88" s="3">
        <f t="shared" ca="1" si="36"/>
        <v>1.0767134155384739</v>
      </c>
    </row>
    <row r="89" spans="5:18" ht="15" customHeight="1" x14ac:dyDescent="0.25">
      <c r="E89">
        <v>86</v>
      </c>
      <c r="F89">
        <f t="shared" ca="1" si="31"/>
        <v>0.99610839695153097</v>
      </c>
      <c r="G89">
        <f t="shared" ca="1" si="32"/>
        <v>1626.816640679722</v>
      </c>
      <c r="H89">
        <f t="shared" ca="1" si="26"/>
        <v>1465.0362223782618</v>
      </c>
      <c r="I89">
        <f t="shared" ca="1" si="27"/>
        <v>2097.1347947978647</v>
      </c>
      <c r="J89">
        <f t="shared" ca="1" si="28"/>
        <v>-0.25394690559500688</v>
      </c>
      <c r="K89">
        <f t="shared" si="20"/>
        <v>76</v>
      </c>
      <c r="L89">
        <f t="shared" ca="1" si="33"/>
        <v>12.673880861875261</v>
      </c>
      <c r="M89">
        <f t="shared" ca="1" si="34"/>
        <v>-2.539469055950069E-2</v>
      </c>
      <c r="N89">
        <f t="shared" ca="1" si="29"/>
        <v>12.699275552434763</v>
      </c>
      <c r="O89">
        <f t="shared" ca="1" si="30"/>
        <v>-16.178041830146025</v>
      </c>
      <c r="P89" s="3">
        <f t="shared" ca="1" si="25"/>
        <v>-1.9097091744462034E-2</v>
      </c>
      <c r="Q89" s="3">
        <f t="shared" ca="1" si="35"/>
        <v>4.7424849121285945E-2</v>
      </c>
      <c r="R89" s="3">
        <f t="shared" ca="1" si="36"/>
        <v>1.0485673973989325</v>
      </c>
    </row>
    <row r="90" spans="5:18" ht="15" customHeight="1" x14ac:dyDescent="0.25">
      <c r="E90">
        <v>87</v>
      </c>
      <c r="F90">
        <f t="shared" ca="1" si="31"/>
        <v>0.97071370639203025</v>
      </c>
      <c r="G90">
        <f t="shared" ca="1" si="32"/>
        <v>1610.6385988495761</v>
      </c>
      <c r="H90">
        <f t="shared" ca="1" si="26"/>
        <v>1448.4670512441724</v>
      </c>
      <c r="I90">
        <f t="shared" ca="1" si="27"/>
        <v>2075.8018636565935</v>
      </c>
      <c r="J90">
        <f t="shared" ca="1" si="28"/>
        <v>-0.2537167737486401</v>
      </c>
      <c r="K90">
        <f t="shared" si="20"/>
        <v>75</v>
      </c>
      <c r="L90">
        <f t="shared" ca="1" si="33"/>
        <v>13.005287297741688</v>
      </c>
      <c r="M90">
        <f t="shared" ca="1" si="34"/>
        <v>-2.537167737486401E-2</v>
      </c>
      <c r="N90">
        <f t="shared" ca="1" si="29"/>
        <v>13.030658975116552</v>
      </c>
      <c r="O90">
        <f t="shared" ca="1" si="30"/>
        <v>-16.217154760540371</v>
      </c>
      <c r="P90" s="3">
        <f t="shared" ca="1" si="25"/>
        <v>-5.4820254188385903E-3</v>
      </c>
      <c r="Q90" s="3">
        <f t="shared" ca="1" si="35"/>
        <v>3.7200338790318761E-2</v>
      </c>
      <c r="R90" s="3">
        <f t="shared" ca="1" si="36"/>
        <v>1.0379009318282968</v>
      </c>
    </row>
    <row r="91" spans="5:18" ht="15" customHeight="1" x14ac:dyDescent="0.25">
      <c r="E91">
        <v>88</v>
      </c>
      <c r="F91">
        <f t="shared" ca="1" si="31"/>
        <v>0.94534202901716624</v>
      </c>
      <c r="G91">
        <f t="shared" ca="1" si="32"/>
        <v>1594.4214440890357</v>
      </c>
      <c r="H91">
        <f t="shared" ca="1" si="26"/>
        <v>1432.0738691432521</v>
      </c>
      <c r="I91">
        <f t="shared" ca="1" si="27"/>
        <v>2061.5382788254105</v>
      </c>
      <c r="J91">
        <f t="shared" ca="1" si="28"/>
        <v>-0.25694150197045279</v>
      </c>
      <c r="K91">
        <f t="shared" si="20"/>
        <v>74</v>
      </c>
      <c r="L91">
        <f t="shared" ca="1" si="33"/>
        <v>13.332828466937912</v>
      </c>
      <c r="M91">
        <f t="shared" ca="1" si="34"/>
        <v>-2.5694150197045282E-2</v>
      </c>
      <c r="N91">
        <f t="shared" ca="1" si="29"/>
        <v>13.358522617134957</v>
      </c>
      <c r="O91">
        <f t="shared" ca="1" si="30"/>
        <v>-16.234757494578368</v>
      </c>
      <c r="P91" s="3">
        <f t="shared" ca="1" si="25"/>
        <v>-3.175044045427006E-3</v>
      </c>
      <c r="Q91" s="3">
        <f t="shared" ca="1" si="35"/>
        <v>3.0305260865859884E-2</v>
      </c>
      <c r="R91" s="3">
        <f t="shared" ca="1" si="36"/>
        <v>1.0307691394127052</v>
      </c>
    </row>
    <row r="92" spans="5:18" ht="15" customHeight="1" x14ac:dyDescent="0.25">
      <c r="E92">
        <v>89</v>
      </c>
      <c r="F92">
        <f t="shared" ca="1" si="31"/>
        <v>0.919647878820121</v>
      </c>
      <c r="G92">
        <f t="shared" ca="1" si="32"/>
        <v>1578.1866865944573</v>
      </c>
      <c r="H92">
        <f t="shared" ca="1" si="26"/>
        <v>1415.5370176447932</v>
      </c>
      <c r="I92">
        <f t="shared" ca="1" si="27"/>
        <v>2158.1013304026133</v>
      </c>
      <c r="J92">
        <f t="shared" ca="1" si="28"/>
        <v>-0.31295230018173903</v>
      </c>
      <c r="K92">
        <f t="shared" si="20"/>
        <v>73</v>
      </c>
      <c r="L92">
        <f t="shared" ca="1" si="33"/>
        <v>13.657964417085964</v>
      </c>
      <c r="M92">
        <f t="shared" ca="1" si="34"/>
        <v>-3.1295230018173907E-2</v>
      </c>
      <c r="N92">
        <f t="shared" ca="1" si="29"/>
        <v>13.689259647104137</v>
      </c>
      <c r="O92">
        <f t="shared" ca="1" si="30"/>
        <v>-16.264966894966417</v>
      </c>
      <c r="P92" s="3">
        <f t="shared" ca="1" si="25"/>
        <v>4.8806906095272162E-2</v>
      </c>
      <c r="Q92" s="3">
        <f t="shared" ca="1" si="35"/>
        <v>7.6081640874546053E-2</v>
      </c>
      <c r="R92" s="3">
        <f t="shared" ca="1" si="36"/>
        <v>1.0790506652013065</v>
      </c>
    </row>
    <row r="93" spans="5:18" ht="15" customHeight="1" x14ac:dyDescent="0.25">
      <c r="E93">
        <v>90</v>
      </c>
      <c r="F93">
        <f t="shared" ca="1" si="31"/>
        <v>0.88835264880194709</v>
      </c>
      <c r="G93">
        <f t="shared" ca="1" si="32"/>
        <v>1561.921719699491</v>
      </c>
      <c r="H93">
        <f t="shared" ca="1" si="26"/>
        <v>1399.7530889668546</v>
      </c>
      <c r="I93">
        <f t="shared" ca="1" si="27"/>
        <v>2240.1133467885543</v>
      </c>
      <c r="J93">
        <f t="shared" ca="1" si="28"/>
        <v>-0.36060953109922794</v>
      </c>
      <c r="K93">
        <f t="shared" si="20"/>
        <v>72</v>
      </c>
      <c r="L93">
        <f t="shared" ca="1" si="33"/>
        <v>13.968877267552983</v>
      </c>
      <c r="M93">
        <f t="shared" ca="1" si="34"/>
        <v>-3.6060953109922793E-2</v>
      </c>
      <c r="N93">
        <f t="shared" ca="1" si="29"/>
        <v>14.004938220662906</v>
      </c>
      <c r="O93">
        <f t="shared" ca="1" si="30"/>
        <v>-16.216863073263632</v>
      </c>
      <c r="P93" s="3">
        <f t="shared" ca="1" si="25"/>
        <v>4.4905808484602211E-2</v>
      </c>
      <c r="Q93" s="3">
        <f t="shared" ca="1" si="35"/>
        <v>0.11337928527169366</v>
      </c>
      <c r="R93" s="3">
        <f t="shared" ca="1" si="36"/>
        <v>1.1200566733942772</v>
      </c>
    </row>
    <row r="94" spans="5:18" ht="15" customHeight="1" x14ac:dyDescent="0.25">
      <c r="E94">
        <v>91</v>
      </c>
      <c r="F94">
        <f t="shared" ca="1" si="31"/>
        <v>0.85229169569202434</v>
      </c>
      <c r="G94">
        <f t="shared" ca="1" si="32"/>
        <v>1545.7048566262274</v>
      </c>
      <c r="H94">
        <f t="shared" ca="1" si="26"/>
        <v>1384.1432979965907</v>
      </c>
      <c r="I94">
        <f t="shared" ca="1" si="27"/>
        <v>2354.0326642613149</v>
      </c>
      <c r="J94">
        <f t="shared" ca="1" si="28"/>
        <v>-0.42064986061361664</v>
      </c>
      <c r="K94">
        <f t="shared" si="20"/>
        <v>71</v>
      </c>
      <c r="L94">
        <f t="shared" ca="1" si="33"/>
        <v>14.275069054006821</v>
      </c>
      <c r="M94">
        <f t="shared" ca="1" si="34"/>
        <v>-4.2064986061361664E-2</v>
      </c>
      <c r="N94">
        <f t="shared" ca="1" si="29"/>
        <v>14.317134040068183</v>
      </c>
      <c r="O94">
        <f t="shared" ca="1" si="30"/>
        <v>-16.156155862963669</v>
      </c>
      <c r="P94" s="3">
        <f t="shared" ca="1" si="25"/>
        <v>6.0941347504172343E-2</v>
      </c>
      <c r="Q94" s="3">
        <f t="shared" ca="1" si="35"/>
        <v>0.16298270424869665</v>
      </c>
      <c r="R94" s="3">
        <f t="shared" ca="1" si="36"/>
        <v>1.1770163321306575</v>
      </c>
    </row>
    <row r="95" spans="5:18" ht="15" customHeight="1" x14ac:dyDescent="0.25">
      <c r="E95">
        <v>92</v>
      </c>
      <c r="F95">
        <f t="shared" ca="1" si="31"/>
        <v>0.81022670963066268</v>
      </c>
      <c r="G95">
        <f t="shared" ca="1" si="32"/>
        <v>1529.5487007632637</v>
      </c>
      <c r="H95">
        <f t="shared" ca="1" si="26"/>
        <v>1369.2344602500009</v>
      </c>
      <c r="I95">
        <f t="shared" ca="1" si="27"/>
        <v>2281.5287420821428</v>
      </c>
      <c r="J95">
        <f t="shared" ca="1" si="28"/>
        <v>-0.39987299412258293</v>
      </c>
      <c r="K95">
        <f t="shared" si="20"/>
        <v>70</v>
      </c>
      <c r="L95">
        <f t="shared" ca="1" si="33"/>
        <v>14.575323495587725</v>
      </c>
      <c r="M95">
        <f t="shared" ca="1" si="34"/>
        <v>-3.9987299412258294E-2</v>
      </c>
      <c r="N95">
        <f t="shared" ca="1" si="29"/>
        <v>14.615310794999983</v>
      </c>
      <c r="O95">
        <f t="shared" ca="1" si="30"/>
        <v>-16.03142405132628</v>
      </c>
      <c r="P95" s="3">
        <f t="shared" ca="1" si="25"/>
        <v>-1.4985895189510823E-2</v>
      </c>
      <c r="Q95" s="3">
        <f t="shared" ca="1" si="35"/>
        <v>0.13169853863431616</v>
      </c>
      <c r="R95" s="3">
        <f t="shared" ca="1" si="36"/>
        <v>1.1407643710410713</v>
      </c>
    </row>
    <row r="96" spans="5:18" ht="15" customHeight="1" x14ac:dyDescent="0.25">
      <c r="E96">
        <v>93</v>
      </c>
      <c r="F96">
        <f t="shared" ca="1" si="31"/>
        <v>0.77023941021840436</v>
      </c>
      <c r="G96">
        <f t="shared" ca="1" si="32"/>
        <v>1513.5172767119375</v>
      </c>
      <c r="H96">
        <f t="shared" ca="1" si="26"/>
        <v>1353.3171202552915</v>
      </c>
      <c r="I96">
        <f t="shared" ca="1" si="27"/>
        <v>2290.9058272912725</v>
      </c>
      <c r="J96">
        <f t="shared" ca="1" si="28"/>
        <v>-0.41451103263612055</v>
      </c>
      <c r="K96">
        <f t="shared" si="20"/>
        <v>69</v>
      </c>
      <c r="L96">
        <f t="shared" ca="1" si="33"/>
        <v>14.89220649163056</v>
      </c>
      <c r="M96">
        <f t="shared" ca="1" si="34"/>
        <v>-4.1451103263612059E-2</v>
      </c>
      <c r="N96">
        <f t="shared" ca="1" si="29"/>
        <v>14.933657594894171</v>
      </c>
      <c r="O96">
        <f t="shared" ca="1" si="30"/>
        <v>-16.020015645664603</v>
      </c>
      <c r="P96" s="3">
        <f t="shared" ca="1" si="25"/>
        <v>1.7271431792082972E-2</v>
      </c>
      <c r="Q96" s="3">
        <f t="shared" ca="1" si="35"/>
        <v>0.13580011656296753</v>
      </c>
      <c r="R96" s="3">
        <f t="shared" ca="1" si="36"/>
        <v>1.1454529136456362</v>
      </c>
    </row>
    <row r="97" spans="2:18" ht="15" customHeight="1" x14ac:dyDescent="0.25">
      <c r="E97">
        <v>94</v>
      </c>
      <c r="F97">
        <f t="shared" ca="1" si="31"/>
        <v>0.72878830695479235</v>
      </c>
      <c r="G97">
        <f t="shared" ca="1" si="32"/>
        <v>1497.4972610662728</v>
      </c>
      <c r="H97">
        <f t="shared" ca="1" si="26"/>
        <v>1337.7954267039468</v>
      </c>
      <c r="I97">
        <f t="shared" ca="1" si="27"/>
        <v>2163.4034995821376</v>
      </c>
      <c r="J97">
        <f t="shared" ca="1" si="28"/>
        <v>-0.36788745384175259</v>
      </c>
      <c r="K97">
        <f t="shared" si="20"/>
        <v>68</v>
      </c>
      <c r="L97">
        <f t="shared" ca="1" si="33"/>
        <v>15.207302720536887</v>
      </c>
      <c r="M97">
        <f t="shared" ca="1" si="34"/>
        <v>-3.6788745384175259E-2</v>
      </c>
      <c r="N97">
        <f t="shared" ca="1" si="29"/>
        <v>15.244091465921063</v>
      </c>
      <c r="O97">
        <f t="shared" ca="1" si="30"/>
        <v>-15.970183436232606</v>
      </c>
      <c r="P97" s="3">
        <f t="shared" ca="1" si="25"/>
        <v>-4.3684609623227101E-2</v>
      </c>
      <c r="Q97" s="3">
        <f t="shared" ca="1" si="35"/>
        <v>7.8535495283443668E-2</v>
      </c>
      <c r="R97" s="3">
        <f t="shared" ca="1" si="36"/>
        <v>1.0817017497910688</v>
      </c>
    </row>
    <row r="98" spans="2:18" ht="15" customHeight="1" x14ac:dyDescent="0.25">
      <c r="E98">
        <v>95</v>
      </c>
      <c r="F98">
        <f t="shared" ca="1" si="31"/>
        <v>0.69199956157061715</v>
      </c>
      <c r="G98">
        <f t="shared" ca="1" si="32"/>
        <v>1481.5270776300401</v>
      </c>
      <c r="H98">
        <f t="shared" ca="1" si="26"/>
        <v>1321.6078384479113</v>
      </c>
      <c r="I98">
        <f t="shared" ca="1" si="27"/>
        <v>2022.7072037062826</v>
      </c>
      <c r="J98">
        <f t="shared" ca="1" si="28"/>
        <v>-0.31136344896520174</v>
      </c>
      <c r="K98">
        <f t="shared" si="20"/>
        <v>67</v>
      </c>
      <c r="L98">
        <f t="shared" ca="1" si="33"/>
        <v>15.536706886145254</v>
      </c>
      <c r="M98">
        <f t="shared" ca="1" si="34"/>
        <v>-3.1136344896520174E-2</v>
      </c>
      <c r="N98">
        <f t="shared" ca="1" si="29"/>
        <v>15.567843231041774</v>
      </c>
      <c r="O98">
        <f t="shared" ca="1" si="30"/>
        <v>-15.991923918212889</v>
      </c>
      <c r="P98" s="3">
        <f t="shared" ca="1" si="25"/>
        <v>-5.9392312313573205E-2</v>
      </c>
      <c r="Q98" s="3">
        <f t="shared" ca="1" si="35"/>
        <v>1.1289633441526094E-2</v>
      </c>
      <c r="R98" s="3">
        <f t="shared" ca="1" si="36"/>
        <v>1.0113536018531413</v>
      </c>
    </row>
    <row r="99" spans="2:18" ht="15" customHeight="1" x14ac:dyDescent="0.25">
      <c r="E99">
        <v>96</v>
      </c>
      <c r="F99">
        <f t="shared" ca="1" si="31"/>
        <v>0.66086321667409698</v>
      </c>
      <c r="G99">
        <f t="shared" ca="1" si="32"/>
        <v>1465.5351537118272</v>
      </c>
      <c r="H99">
        <f t="shared" ca="1" si="26"/>
        <v>1304.4230675594847</v>
      </c>
      <c r="I99">
        <f t="shared" ca="1" si="27"/>
        <v>2106.8394029400715</v>
      </c>
      <c r="J99">
        <f t="shared" ref="J99:J100" ca="1" si="37">LN(G99/I99)</f>
        <v>-0.36296844279375556</v>
      </c>
      <c r="K99">
        <f t="shared" si="20"/>
        <v>66</v>
      </c>
      <c r="L99">
        <f t="shared" ca="1" si="33"/>
        <v>15.87524180453093</v>
      </c>
      <c r="M99">
        <f t="shared" ca="1" si="34"/>
        <v>-3.6296844279375559E-2</v>
      </c>
      <c r="N99">
        <f t="shared" ref="N99:N100" ca="1" si="38">L99-M99</f>
        <v>15.911538648810305</v>
      </c>
      <c r="O99">
        <f t="shared" ca="1" si="30"/>
        <v>-16.111208615234251</v>
      </c>
      <c r="P99" s="3">
        <f t="shared" ca="1" si="25"/>
        <v>4.1881060538415428E-2</v>
      </c>
      <c r="Q99" s="3">
        <f t="shared" ca="1" si="35"/>
        <v>5.2041730635788916E-2</v>
      </c>
      <c r="R99" s="3">
        <f t="shared" ca="1" si="36"/>
        <v>1.0534197014700357</v>
      </c>
    </row>
    <row r="100" spans="2:18" ht="15" customHeight="1" x14ac:dyDescent="0.25">
      <c r="E100">
        <v>97</v>
      </c>
      <c r="F100">
        <f t="shared" ca="1" si="31"/>
        <v>0.62456637239472146</v>
      </c>
      <c r="G100">
        <f t="shared" ca="1" si="32"/>
        <v>1449.4239450965929</v>
      </c>
      <c r="H100">
        <f t="shared" ca="1" si="26"/>
        <v>1289.0493809598727</v>
      </c>
      <c r="I100">
        <f t="shared" ca="1" si="27"/>
        <v>1907.9272851480603</v>
      </c>
      <c r="J100">
        <f t="shared" ca="1" si="37"/>
        <v>-0.27485126353802042</v>
      </c>
      <c r="K100">
        <f t="shared" ref="K100" si="39">K99-1</f>
        <v>65</v>
      </c>
      <c r="L100">
        <f t="shared" ref="L100:L101" ca="1" si="40">MAX(0, -1/$B$11*(K100-F100-$B$10*G100))</f>
        <v>16.191527254448744</v>
      </c>
      <c r="M100">
        <f t="shared" ca="1" si="34"/>
        <v>-2.7485126353802042E-2</v>
      </c>
      <c r="N100">
        <f t="shared" ca="1" si="38"/>
        <v>16.219012380802546</v>
      </c>
      <c r="O100">
        <f t="shared" ca="1" si="30"/>
        <v>-16.037456413672022</v>
      </c>
      <c r="P100" s="3">
        <f t="shared" ca="1" si="25"/>
        <v>-9.3967276341686862E-2</v>
      </c>
      <c r="Q100" s="3">
        <f t="shared" ref="Q100" ca="1" si="41">$C$33*Q99+P100</f>
        <v>-4.7129718769476837E-2</v>
      </c>
      <c r="R100" s="3">
        <f t="shared" ref="R100" ca="1" si="42">EXP(Q100)</f>
        <v>0.9539636425740301</v>
      </c>
    </row>
    <row r="101" spans="2:18" ht="15" customHeight="1" x14ac:dyDescent="0.25">
      <c r="C101" s="3"/>
      <c r="K101"/>
      <c r="L101">
        <f t="shared" si="40"/>
        <v>0</v>
      </c>
    </row>
    <row r="102" spans="2:18" ht="15" customHeight="1" x14ac:dyDescent="0.25">
      <c r="C102" s="3" t="s">
        <v>51</v>
      </c>
      <c r="F102" s="2">
        <f t="shared" ref="F102:O102" ca="1" si="43">STDEV((F4:F100))</f>
        <v>0.13797134987666548</v>
      </c>
      <c r="G102" s="2">
        <f t="shared" ca="1" si="43"/>
        <v>199.29718397026798</v>
      </c>
      <c r="H102" s="2">
        <f t="shared" ca="1" si="43"/>
        <v>273.41141340945063</v>
      </c>
      <c r="I102" s="2">
        <f t="shared" ca="1" si="43"/>
        <v>145.65885069774839</v>
      </c>
      <c r="J102" s="2">
        <f t="shared" ca="1" si="43"/>
        <v>0.15166886216630907</v>
      </c>
      <c r="K102" s="2">
        <f t="shared" si="43"/>
        <v>18.722620330164553</v>
      </c>
      <c r="L102" s="2">
        <f t="shared" ca="1" si="43"/>
        <v>5.4555570803058204</v>
      </c>
      <c r="M102" s="2">
        <f t="shared" ca="1" si="43"/>
        <v>1.5166886216630909E-2</v>
      </c>
      <c r="N102" s="2">
        <f t="shared" ca="1" si="43"/>
        <v>5.4682282681890673</v>
      </c>
      <c r="O102" s="2">
        <f t="shared" ca="1" si="43"/>
        <v>9.1482389869145617</v>
      </c>
      <c r="P102" s="2">
        <f ca="1">STDEV(P4:P100)</f>
        <v>4.6247469887504958E-2</v>
      </c>
      <c r="Q102" s="2">
        <f ca="1">STDEV(Q4:Q100)</f>
        <v>7.1727655672266924E-2</v>
      </c>
      <c r="R102" s="2">
        <f ca="1">STDEV(R4:R100)</f>
        <v>7.2829425348874183E-2</v>
      </c>
    </row>
    <row r="103" spans="2:18" ht="15" customHeight="1" x14ac:dyDescent="0.25">
      <c r="C103" s="3"/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/>
      <c r="L103"/>
      <c r="M103" t="s">
        <v>10</v>
      </c>
      <c r="N103" t="s">
        <v>11</v>
      </c>
      <c r="O103" t="s">
        <v>12</v>
      </c>
      <c r="P103" s="3" t="s">
        <v>13</v>
      </c>
      <c r="Q103" s="3" t="s">
        <v>14</v>
      </c>
      <c r="R103" s="3" t="s">
        <v>15</v>
      </c>
    </row>
    <row r="104" spans="2:18" ht="15" customHeight="1" x14ac:dyDescent="0.25">
      <c r="C104" s="3"/>
      <c r="K104"/>
      <c r="L104"/>
    </row>
    <row r="105" spans="2:18" x14ac:dyDescent="0.25">
      <c r="B105" s="1" t="s">
        <v>52</v>
      </c>
      <c r="C105" s="1">
        <v>0.75</v>
      </c>
      <c r="K105"/>
      <c r="L105"/>
    </row>
    <row r="106" spans="2:18" x14ac:dyDescent="0.25">
      <c r="B106" s="1" t="s">
        <v>53</v>
      </c>
      <c r="C106" s="1">
        <v>0.25</v>
      </c>
      <c r="K106"/>
      <c r="L106"/>
    </row>
    <row r="107" spans="2:18" x14ac:dyDescent="0.25">
      <c r="C107" s="1" t="s">
        <v>54</v>
      </c>
      <c r="E107" s="2">
        <f ca="1">C105*M102^2+C106*J102^2</f>
        <v>5.9233867658368862E-3</v>
      </c>
      <c r="K107"/>
      <c r="L107"/>
    </row>
  </sheetData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F47"/>
  <sheetViews>
    <sheetView tabSelected="1" topLeftCell="A9" zoomScale="91" workbookViewId="0">
      <selection activeCell="F13" sqref="F13"/>
    </sheetView>
  </sheetViews>
  <sheetFormatPr defaultColWidth="8.85546875" defaultRowHeight="12.75" x14ac:dyDescent="0.2"/>
  <cols>
    <col min="1" max="1" width="8.85546875" customWidth="1"/>
  </cols>
  <sheetData>
    <row r="7" spans="1:6" x14ac:dyDescent="0.2">
      <c r="A7" t="s">
        <v>62</v>
      </c>
    </row>
    <row r="9" spans="1:6" x14ac:dyDescent="0.2">
      <c r="A9" t="s">
        <v>2</v>
      </c>
      <c r="B9" t="s">
        <v>63</v>
      </c>
      <c r="C9" t="s">
        <v>64</v>
      </c>
      <c r="D9" t="s">
        <v>11</v>
      </c>
      <c r="E9" t="s">
        <v>65</v>
      </c>
      <c r="F9" t="s">
        <v>66</v>
      </c>
    </row>
    <row r="10" spans="1:6" x14ac:dyDescent="0.2">
      <c r="A10">
        <f>'Money-Path'!E4</f>
        <v>1</v>
      </c>
      <c r="B10">
        <f>'Money-Path'!M4</f>
        <v>2.2204460492503129E-17</v>
      </c>
      <c r="C10">
        <f>'Money-Path'!J4</f>
        <v>2.2204460492503128E-16</v>
      </c>
      <c r="D10">
        <f>'Money-Path'!N4</f>
        <v>-2.2204460492503129E-17</v>
      </c>
      <c r="E10">
        <f t="shared" ref="E10:E39" si="0">ABS(B10 - $B$1)</f>
        <v>2.2204460492503129E-17</v>
      </c>
      <c r="F10">
        <f t="shared" ref="F10:F39" si="1">ABS(C10)</f>
        <v>2.2204460492503128E-16</v>
      </c>
    </row>
    <row r="11" spans="1:6" x14ac:dyDescent="0.2">
      <c r="A11">
        <f>'Money-Path'!E5</f>
        <v>2</v>
      </c>
      <c r="B11">
        <f>'Money-Path'!M5</f>
        <v>2.7709069754805454E-3</v>
      </c>
      <c r="C11">
        <f>'Money-Path'!J5</f>
        <v>2.770906975480545E-2</v>
      </c>
      <c r="D11">
        <f>'Money-Path'!N5</f>
        <v>-2.7709069754805454E-3</v>
      </c>
      <c r="E11">
        <f t="shared" si="0"/>
        <v>2.7709069754805454E-3</v>
      </c>
      <c r="F11">
        <f t="shared" si="1"/>
        <v>2.770906975480545E-2</v>
      </c>
    </row>
    <row r="12" spans="1:6" x14ac:dyDescent="0.2">
      <c r="A12">
        <f>'Money-Path'!E6</f>
        <v>3</v>
      </c>
      <c r="B12">
        <f>'Money-Path'!M6</f>
        <v>4.8285027519576959E-3</v>
      </c>
      <c r="C12">
        <f>'Money-Path'!J6</f>
        <v>4.8285027519576952E-2</v>
      </c>
      <c r="D12">
        <f>'Money-Path'!N6</f>
        <v>-4.8285027519576959E-3</v>
      </c>
      <c r="E12">
        <f t="shared" si="0"/>
        <v>4.8285027519576959E-3</v>
      </c>
      <c r="F12">
        <f t="shared" si="1"/>
        <v>4.8285027519576952E-2</v>
      </c>
    </row>
    <row r="13" spans="1:6" x14ac:dyDescent="0.2">
      <c r="A13">
        <f>'Money-Path'!E7</f>
        <v>4</v>
      </c>
      <c r="B13">
        <f>'Money-Path'!M7</f>
        <v>1.3561949471866189E-3</v>
      </c>
      <c r="C13">
        <f>'Money-Path'!J7</f>
        <v>1.3561949471866187E-2</v>
      </c>
      <c r="D13">
        <f>'Money-Path'!N7</f>
        <v>-1.3561949471866189E-3</v>
      </c>
      <c r="E13">
        <f t="shared" si="0"/>
        <v>1.3561949471866189E-3</v>
      </c>
      <c r="F13">
        <f t="shared" si="1"/>
        <v>1.3561949471866187E-2</v>
      </c>
    </row>
    <row r="14" spans="1:6" x14ac:dyDescent="0.2">
      <c r="A14">
        <f>'Money-Path'!E8</f>
        <v>5</v>
      </c>
      <c r="B14">
        <f>'Money-Path'!M8</f>
        <v>-4.2888965615304007E-3</v>
      </c>
      <c r="C14">
        <f>'Money-Path'!J8</f>
        <v>-4.2888965615304003E-2</v>
      </c>
      <c r="D14">
        <f>'Money-Path'!N8</f>
        <v>4.2888965615304007E-3</v>
      </c>
      <c r="E14">
        <f t="shared" si="0"/>
        <v>4.2888965615304007E-3</v>
      </c>
      <c r="F14">
        <f t="shared" si="1"/>
        <v>4.2888965615304003E-2</v>
      </c>
    </row>
    <row r="15" spans="1:6" x14ac:dyDescent="0.2">
      <c r="A15">
        <f>'Money-Path'!E9</f>
        <v>6</v>
      </c>
      <c r="B15">
        <f>'Money-Path'!M9</f>
        <v>-1.1781911987307971E-2</v>
      </c>
      <c r="C15">
        <f>'Money-Path'!J9</f>
        <v>-0.11781911987307969</v>
      </c>
      <c r="D15">
        <f>'Money-Path'!N9</f>
        <v>1.1781911987307971E-2</v>
      </c>
      <c r="E15">
        <f t="shared" si="0"/>
        <v>1.1781911987307971E-2</v>
      </c>
      <c r="F15">
        <f t="shared" si="1"/>
        <v>0.11781911987307969</v>
      </c>
    </row>
    <row r="16" spans="1:6" x14ac:dyDescent="0.2">
      <c r="A16">
        <f>'Money-Path'!E10</f>
        <v>7</v>
      </c>
      <c r="B16">
        <f>'Money-Path'!M10</f>
        <v>-5.7119107107499664E-3</v>
      </c>
      <c r="C16">
        <f>'Money-Path'!J10</f>
        <v>-5.7119107107499657E-2</v>
      </c>
      <c r="D16">
        <f>'Money-Path'!N10</f>
        <v>5.7119107107499664E-3</v>
      </c>
      <c r="E16">
        <f t="shared" si="0"/>
        <v>5.7119107107499664E-3</v>
      </c>
      <c r="F16">
        <f t="shared" si="1"/>
        <v>5.7119107107499657E-2</v>
      </c>
    </row>
    <row r="17" spans="1:6" x14ac:dyDescent="0.2">
      <c r="A17">
        <f>'Money-Path'!E11</f>
        <v>8</v>
      </c>
      <c r="B17">
        <f>'Money-Path'!M11</f>
        <v>-9.127096684807599E-3</v>
      </c>
      <c r="C17">
        <f>'Money-Path'!J11</f>
        <v>-9.1270966848075979E-2</v>
      </c>
      <c r="D17">
        <f>'Money-Path'!N11</f>
        <v>9.127096684807599E-3</v>
      </c>
      <c r="E17">
        <f t="shared" si="0"/>
        <v>9.127096684807599E-3</v>
      </c>
      <c r="F17">
        <f t="shared" si="1"/>
        <v>9.1270966848075979E-2</v>
      </c>
    </row>
    <row r="18" spans="1:6" x14ac:dyDescent="0.2">
      <c r="A18">
        <f>'Money-Path'!E12</f>
        <v>9</v>
      </c>
      <c r="B18">
        <f>'Money-Path'!M12</f>
        <v>-9.4874609058724323E-3</v>
      </c>
      <c r="C18">
        <f>'Money-Path'!J12</f>
        <v>-9.4874609058724316E-2</v>
      </c>
      <c r="D18">
        <f>'Money-Path'!N12</f>
        <v>9.4874609058724323E-3</v>
      </c>
      <c r="E18">
        <f t="shared" si="0"/>
        <v>9.4874609058724323E-3</v>
      </c>
      <c r="F18">
        <f t="shared" si="1"/>
        <v>9.4874609058724316E-2</v>
      </c>
    </row>
    <row r="19" spans="1:6" x14ac:dyDescent="0.2">
      <c r="A19">
        <f>'Money-Path'!E13</f>
        <v>10</v>
      </c>
      <c r="B19">
        <f>'Money-Path'!M13</f>
        <v>-3.199854930974866E-3</v>
      </c>
      <c r="C19">
        <f>'Money-Path'!J13</f>
        <v>-3.1998549309748658E-2</v>
      </c>
      <c r="D19">
        <f>'Money-Path'!N13</f>
        <v>3.199854930974866E-3</v>
      </c>
      <c r="E19">
        <f t="shared" si="0"/>
        <v>3.199854930974866E-3</v>
      </c>
      <c r="F19">
        <f t="shared" si="1"/>
        <v>3.1998549309748658E-2</v>
      </c>
    </row>
    <row r="20" spans="1:6" x14ac:dyDescent="0.2">
      <c r="A20">
        <f>'Money-Path'!E14</f>
        <v>11</v>
      </c>
      <c r="B20">
        <f>'Money-Path'!M14</f>
        <v>-4.6777491852134454E-3</v>
      </c>
      <c r="C20">
        <f>'Money-Path'!J14</f>
        <v>-4.6777491852134451E-2</v>
      </c>
      <c r="D20">
        <f>'Money-Path'!N14</f>
        <v>4.6777491852134454E-3</v>
      </c>
      <c r="E20">
        <f t="shared" si="0"/>
        <v>4.6777491852134454E-3</v>
      </c>
      <c r="F20">
        <f t="shared" si="1"/>
        <v>4.6777491852134451E-2</v>
      </c>
    </row>
    <row r="21" spans="1:6" x14ac:dyDescent="0.2">
      <c r="A21">
        <f>'Money-Path'!E15</f>
        <v>12</v>
      </c>
      <c r="B21">
        <f>'Money-Path'!M15</f>
        <v>4.8577908065397532E-3</v>
      </c>
      <c r="C21">
        <f>'Money-Path'!J15</f>
        <v>4.8577908065397531E-2</v>
      </c>
      <c r="D21">
        <f>'Money-Path'!N15</f>
        <v>-4.8577908065397532E-3</v>
      </c>
      <c r="E21">
        <f t="shared" si="0"/>
        <v>4.8577908065397532E-3</v>
      </c>
      <c r="F21">
        <f t="shared" si="1"/>
        <v>4.8577908065397531E-2</v>
      </c>
    </row>
    <row r="22" spans="1:6" x14ac:dyDescent="0.2">
      <c r="A22">
        <f>'Money-Path'!E16</f>
        <v>13</v>
      </c>
      <c r="B22">
        <f>'Money-Path'!M16</f>
        <v>7.8989483019282075E-3</v>
      </c>
      <c r="C22">
        <f>'Money-Path'!J16</f>
        <v>7.8989483019282075E-2</v>
      </c>
      <c r="D22">
        <f>'Money-Path'!N16</f>
        <v>-7.8989483019282075E-3</v>
      </c>
      <c r="E22">
        <f t="shared" si="0"/>
        <v>7.8989483019282075E-3</v>
      </c>
      <c r="F22">
        <f t="shared" si="1"/>
        <v>7.8989483019282075E-2</v>
      </c>
    </row>
    <row r="23" spans="1:6" x14ac:dyDescent="0.2">
      <c r="A23">
        <f>'Money-Path'!E17</f>
        <v>14</v>
      </c>
      <c r="B23">
        <f>'Money-Path'!M17</f>
        <v>7.3107130641485414E-3</v>
      </c>
      <c r="C23">
        <f>'Money-Path'!J17</f>
        <v>7.3107130641485413E-2</v>
      </c>
      <c r="D23">
        <f>'Money-Path'!N17</f>
        <v>-7.3107130641485414E-3</v>
      </c>
      <c r="E23">
        <f t="shared" si="0"/>
        <v>7.3107130641485414E-3</v>
      </c>
      <c r="F23">
        <f t="shared" si="1"/>
        <v>7.3107130641485413E-2</v>
      </c>
    </row>
    <row r="24" spans="1:6" x14ac:dyDescent="0.2">
      <c r="A24">
        <f>'Money-Path'!E18</f>
        <v>15</v>
      </c>
      <c r="B24">
        <f>'Money-Path'!M18</f>
        <v>4.7089815117650272E-3</v>
      </c>
      <c r="C24">
        <f>'Money-Path'!J18</f>
        <v>4.7089815117650272E-2</v>
      </c>
      <c r="D24">
        <f>'Money-Path'!N18</f>
        <v>-4.7089815117650272E-3</v>
      </c>
      <c r="E24">
        <f t="shared" si="0"/>
        <v>4.7089815117650272E-3</v>
      </c>
      <c r="F24">
        <f t="shared" si="1"/>
        <v>4.7089815117650272E-2</v>
      </c>
    </row>
    <row r="25" spans="1:6" x14ac:dyDescent="0.2">
      <c r="A25">
        <f>'Money-Path'!E19</f>
        <v>16</v>
      </c>
      <c r="B25">
        <f>'Money-Path'!M19</f>
        <v>2.6818825615191857E-4</v>
      </c>
      <c r="C25">
        <f>'Money-Path'!J19</f>
        <v>2.6818825615191858E-3</v>
      </c>
      <c r="D25">
        <f>'Money-Path'!N19</f>
        <v>-2.6818825615191857E-4</v>
      </c>
      <c r="E25">
        <f t="shared" si="0"/>
        <v>2.6818825615191857E-4</v>
      </c>
      <c r="F25">
        <f t="shared" si="1"/>
        <v>2.6818825615191858E-3</v>
      </c>
    </row>
    <row r="26" spans="1:6" x14ac:dyDescent="0.2">
      <c r="A26">
        <f>'Money-Path'!E20</f>
        <v>17</v>
      </c>
      <c r="B26">
        <f>'Money-Path'!M20</f>
        <v>-1.0813626840159509E-2</v>
      </c>
      <c r="C26">
        <f>'Money-Path'!J20</f>
        <v>-0.10813626840159508</v>
      </c>
      <c r="D26">
        <f>'Money-Path'!N20</f>
        <v>1.0813626840159509E-2</v>
      </c>
      <c r="E26">
        <f t="shared" si="0"/>
        <v>1.0813626840159509E-2</v>
      </c>
      <c r="F26">
        <f t="shared" si="1"/>
        <v>0.10813626840159508</v>
      </c>
    </row>
    <row r="27" spans="1:6" x14ac:dyDescent="0.2">
      <c r="A27">
        <f>'Money-Path'!E21</f>
        <v>18</v>
      </c>
      <c r="B27">
        <f>'Money-Path'!M21</f>
        <v>-7.5247230264885697E-3</v>
      </c>
      <c r="C27">
        <f>'Money-Path'!J21</f>
        <v>-7.5247230264885695E-2</v>
      </c>
      <c r="D27">
        <f>'Money-Path'!N21</f>
        <v>7.5247230264885697E-3</v>
      </c>
      <c r="E27">
        <f t="shared" si="0"/>
        <v>7.5247230264885697E-3</v>
      </c>
      <c r="F27">
        <f t="shared" si="1"/>
        <v>7.5247230264885695E-2</v>
      </c>
    </row>
    <row r="28" spans="1:6" x14ac:dyDescent="0.2">
      <c r="A28">
        <f>'Money-Path'!E22</f>
        <v>19</v>
      </c>
      <c r="B28">
        <f>'Money-Path'!M22</f>
        <v>-3.5786675925460058E-4</v>
      </c>
      <c r="C28">
        <f>'Money-Path'!J22</f>
        <v>-3.5786675925460055E-3</v>
      </c>
      <c r="D28">
        <f>'Money-Path'!N22</f>
        <v>3.5786675925460058E-4</v>
      </c>
      <c r="E28">
        <f t="shared" si="0"/>
        <v>3.5786675925460058E-4</v>
      </c>
      <c r="F28">
        <f t="shared" si="1"/>
        <v>3.5786675925460055E-3</v>
      </c>
    </row>
    <row r="29" spans="1:6" x14ac:dyDescent="0.2">
      <c r="A29">
        <f>'Money-Path'!E23</f>
        <v>20</v>
      </c>
      <c r="B29">
        <f>'Money-Path'!M23</f>
        <v>-4.4152552577098378E-4</v>
      </c>
      <c r="C29">
        <f>'Money-Path'!J23</f>
        <v>-4.4152552577098377E-3</v>
      </c>
      <c r="D29">
        <f>'Money-Path'!N23</f>
        <v>4.4152552577098378E-4</v>
      </c>
      <c r="E29">
        <f t="shared" si="0"/>
        <v>4.4152552577098378E-4</v>
      </c>
      <c r="F29">
        <f t="shared" si="1"/>
        <v>4.4152552577098377E-3</v>
      </c>
    </row>
    <row r="30" spans="1:6" x14ac:dyDescent="0.2">
      <c r="A30">
        <f>'Money-Path'!E24</f>
        <v>21</v>
      </c>
      <c r="B30">
        <f>'Money-Path'!M24</f>
        <v>3.6576922234244241E-3</v>
      </c>
      <c r="C30">
        <f>'Money-Path'!J24</f>
        <v>3.657692223424424E-2</v>
      </c>
      <c r="D30">
        <f>'Money-Path'!N24</f>
        <v>-3.6576922234244241E-3</v>
      </c>
      <c r="E30">
        <f t="shared" si="0"/>
        <v>3.6576922234244241E-3</v>
      </c>
      <c r="F30">
        <f t="shared" si="1"/>
        <v>3.657692223424424E-2</v>
      </c>
    </row>
    <row r="31" spans="1:6" x14ac:dyDescent="0.2">
      <c r="A31">
        <f>'Money-Path'!E25</f>
        <v>22</v>
      </c>
      <c r="B31">
        <f>'Money-Path'!M25</f>
        <v>5.390540064964703E-3</v>
      </c>
      <c r="C31">
        <f>'Money-Path'!J25</f>
        <v>5.390540064964703E-2</v>
      </c>
      <c r="D31">
        <f>'Money-Path'!N25</f>
        <v>-5.390540064964703E-3</v>
      </c>
      <c r="E31">
        <f t="shared" si="0"/>
        <v>5.390540064964703E-3</v>
      </c>
      <c r="F31">
        <f t="shared" si="1"/>
        <v>5.390540064964703E-2</v>
      </c>
    </row>
    <row r="32" spans="1:6" x14ac:dyDescent="0.2">
      <c r="A32">
        <f>'Money-Path'!E26</f>
        <v>23</v>
      </c>
      <c r="B32">
        <f>'Money-Path'!M26</f>
        <v>7.7687162698596521E-3</v>
      </c>
      <c r="C32">
        <f>'Money-Path'!J26</f>
        <v>7.7687162698596518E-2</v>
      </c>
      <c r="D32">
        <f>'Money-Path'!N26</f>
        <v>-7.7687162698596521E-3</v>
      </c>
      <c r="E32">
        <f t="shared" si="0"/>
        <v>7.7687162698596521E-3</v>
      </c>
      <c r="F32">
        <f t="shared" si="1"/>
        <v>7.7687162698596518E-2</v>
      </c>
    </row>
    <row r="33" spans="1:6" x14ac:dyDescent="0.2">
      <c r="A33">
        <f>'Money-Path'!E27</f>
        <v>24</v>
      </c>
      <c r="B33">
        <f>'Money-Path'!M27</f>
        <v>5.8190021973841093E-3</v>
      </c>
      <c r="C33">
        <f>'Money-Path'!J27</f>
        <v>5.8190021973841086E-2</v>
      </c>
      <c r="D33">
        <f>'Money-Path'!N27</f>
        <v>-5.8190021973841093E-3</v>
      </c>
      <c r="E33">
        <f t="shared" si="0"/>
        <v>5.8190021973841093E-3</v>
      </c>
      <c r="F33">
        <f t="shared" si="1"/>
        <v>5.8190021973841086E-2</v>
      </c>
    </row>
    <row r="34" spans="1:6" x14ac:dyDescent="0.2">
      <c r="A34">
        <f>'Money-Path'!E28</f>
        <v>25</v>
      </c>
      <c r="B34">
        <f>'Money-Path'!M28</f>
        <v>5.2992726047466241E-3</v>
      </c>
      <c r="C34">
        <f>'Money-Path'!J28</f>
        <v>5.2992726047466236E-2</v>
      </c>
      <c r="D34">
        <f>'Money-Path'!N28</f>
        <v>-5.2992726047466241E-3</v>
      </c>
      <c r="E34">
        <f t="shared" si="0"/>
        <v>5.2992726047466241E-3</v>
      </c>
      <c r="F34">
        <f t="shared" si="1"/>
        <v>5.2992726047466236E-2</v>
      </c>
    </row>
    <row r="35" spans="1:6" x14ac:dyDescent="0.2">
      <c r="A35">
        <f>'Money-Path'!E29</f>
        <v>26</v>
      </c>
      <c r="B35">
        <f>'Money-Path'!M29</f>
        <v>3.4577557281427031E-3</v>
      </c>
      <c r="C35">
        <f>'Money-Path'!J29</f>
        <v>3.4577557281427029E-2</v>
      </c>
      <c r="D35">
        <f>'Money-Path'!N29</f>
        <v>-3.4577557281427031E-3</v>
      </c>
      <c r="E35">
        <f t="shared" si="0"/>
        <v>3.4577557281427031E-3</v>
      </c>
      <c r="F35">
        <f t="shared" si="1"/>
        <v>3.4577557281427029E-2</v>
      </c>
    </row>
    <row r="36" spans="1:6" x14ac:dyDescent="0.2">
      <c r="A36">
        <f>'Money-Path'!E30</f>
        <v>27</v>
      </c>
      <c r="B36">
        <f>'Money-Path'!M30</f>
        <v>1.0298890984962748E-2</v>
      </c>
      <c r="C36">
        <f>'Money-Path'!J30</f>
        <v>0.10298890984962748</v>
      </c>
      <c r="D36">
        <f>'Money-Path'!N30</f>
        <v>-1.0298890984962748E-2</v>
      </c>
      <c r="E36">
        <f t="shared" si="0"/>
        <v>1.0298890984962748E-2</v>
      </c>
      <c r="F36">
        <f t="shared" si="1"/>
        <v>0.10298890984962748</v>
      </c>
    </row>
    <row r="37" spans="1:6" x14ac:dyDescent="0.2">
      <c r="A37">
        <f>'Money-Path'!E31</f>
        <v>28</v>
      </c>
      <c r="B37">
        <f>'Money-Path'!M31</f>
        <v>9.3504779996969548E-3</v>
      </c>
      <c r="C37">
        <f>'Money-Path'!J31</f>
        <v>9.3504779996969545E-2</v>
      </c>
      <c r="D37">
        <f>'Money-Path'!N31</f>
        <v>-9.3504779996969548E-3</v>
      </c>
      <c r="E37">
        <f t="shared" si="0"/>
        <v>9.3504779996969548E-3</v>
      </c>
      <c r="F37">
        <f t="shared" si="1"/>
        <v>9.3504779996969545E-2</v>
      </c>
    </row>
    <row r="38" spans="1:6" x14ac:dyDescent="0.2">
      <c r="A38">
        <f>'Money-Path'!E32</f>
        <v>29</v>
      </c>
      <c r="B38">
        <f>'Money-Path'!M32</f>
        <v>1.0145777176430986E-2</v>
      </c>
      <c r="C38">
        <f>'Money-Path'!J32</f>
        <v>0.10145777176430985</v>
      </c>
      <c r="D38">
        <f>'Money-Path'!N32</f>
        <v>-1.0145777176430986E-2</v>
      </c>
      <c r="E38">
        <f t="shared" si="0"/>
        <v>1.0145777176430986E-2</v>
      </c>
      <c r="F38">
        <f t="shared" si="1"/>
        <v>0.10145777176430985</v>
      </c>
    </row>
    <row r="39" spans="1:6" x14ac:dyDescent="0.2">
      <c r="A39">
        <f>'Money-Path'!E33</f>
        <v>30</v>
      </c>
      <c r="B39">
        <f>'Money-Path'!M33</f>
        <v>6.2495740852367941E-3</v>
      </c>
      <c r="C39">
        <f>'Money-Path'!J33</f>
        <v>6.2495740852367941E-2</v>
      </c>
      <c r="D39">
        <f>'Money-Path'!N33</f>
        <v>-6.2495740852367941E-3</v>
      </c>
      <c r="E39">
        <f t="shared" si="0"/>
        <v>6.2495740852367941E-3</v>
      </c>
      <c r="F39">
        <f t="shared" si="1"/>
        <v>6.2495740852367941E-2</v>
      </c>
    </row>
    <row r="42" spans="1:6" x14ac:dyDescent="0.2">
      <c r="A42" t="s">
        <v>67</v>
      </c>
      <c r="B42">
        <f>STDEV(B10:B39)</f>
        <v>6.5317683050624574E-3</v>
      </c>
      <c r="C42">
        <f>STDEV(C10:C39)</f>
        <v>6.5317683050624548E-2</v>
      </c>
    </row>
    <row r="43" spans="1:6" x14ac:dyDescent="0.2">
      <c r="A43" t="s">
        <v>68</v>
      </c>
      <c r="B43" s="8">
        <f>0.75*B42^2+0.25*C42^2</f>
        <v>1.0985979276687252E-3</v>
      </c>
    </row>
    <row r="46" spans="1:6" x14ac:dyDescent="0.2">
      <c r="A46" t="s">
        <v>69</v>
      </c>
    </row>
    <row r="47" spans="1:6" x14ac:dyDescent="0.2">
      <c r="A47" s="8">
        <f>_xlfn.VAR.P(D10:D39)</f>
        <v>4.1241863951317869E-5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Fixing Money</vt:lpstr>
      <vt:lpstr>Money-Path</vt:lpstr>
      <vt:lpstr>summary</vt:lpstr>
      <vt:lpstr>Beta</vt:lpstr>
      <vt:lpstr>Beta0_0</vt:lpstr>
      <vt:lpstr>Beta0_1</vt:lpstr>
      <vt:lpstr>Beta1</vt:lpstr>
      <vt:lpstr>Delta</vt:lpstr>
      <vt:lpstr>m_0</vt:lpstr>
      <vt:lpstr>m_1</vt:lpstr>
      <vt:lpstr>Mi</vt:lpstr>
      <vt:lpstr>Ni</vt:lpstr>
      <vt:lpstr>pbar_0</vt:lpstr>
      <vt:lpstr>pbar_1</vt:lpstr>
      <vt:lpstr>Psi</vt:lpstr>
      <vt:lpstr>Theta</vt:lpstr>
      <vt:lpstr>ybar0</vt:lpstr>
      <vt:lpstr>ybar1</vt:lpstr>
      <vt:lpstr>ypot_0</vt:lpstr>
      <vt:lpstr>ypot_1</vt:lpstr>
      <vt:lpstr>ypot0</vt:lpstr>
      <vt:lpstr>ypot1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Le</dc:creator>
  <cp:lastModifiedBy>Paul D McNelis</cp:lastModifiedBy>
  <dcterms:created xsi:type="dcterms:W3CDTF">2025-10-01T23:23:49Z</dcterms:created>
  <dcterms:modified xsi:type="dcterms:W3CDTF">2026-01-29T13:16:41Z</dcterms:modified>
</cp:coreProperties>
</file>