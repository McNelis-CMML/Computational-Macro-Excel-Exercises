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6DE3B2D5-8443-47E3-91B7-C5F7B1B2428B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Money Rule" sheetId="1" r:id="rId1"/>
    <sheet name="Interest Rate" sheetId="2" r:id="rId2"/>
    <sheet name="Taylor Rule-Stochastic " sheetId="3" r:id="rId3"/>
  </sheets>
  <definedNames>
    <definedName name="Alpha">'Money Rule'!#REF!</definedName>
    <definedName name="Beta">'Money Rule'!$B$9</definedName>
    <definedName name="Beta0_0">'Money Rule'!$B$18</definedName>
    <definedName name="Beta0_1">'Money Rule'!$C$18</definedName>
    <definedName name="Beta1">'Money Rule'!$B$12</definedName>
    <definedName name="Delta">'Money Rule'!$B$11</definedName>
    <definedName name="i_0">'Interest Rate'!$B$17</definedName>
    <definedName name="i_1">'Interest Rate'!$C$17</definedName>
    <definedName name="m_0">'Money Rule'!$B$17</definedName>
    <definedName name="m_1">'Money Rule'!$C$17</definedName>
    <definedName name="Mi">'Money Rule'!$B$13</definedName>
    <definedName name="Ni">'Money Rule'!$B$14</definedName>
    <definedName name="pbar_0">'Money Rule'!$B$22</definedName>
    <definedName name="pbar_1">'Money Rule'!$C$22</definedName>
    <definedName name="Psi">'Money Rule'!$B$10</definedName>
    <definedName name="rho_z">'Taylor Rule-Stochastic '!$A$34</definedName>
    <definedName name="sigma_z">'Taylor Rule-Stochastic '!$A$35</definedName>
    <definedName name="Theta">'Money Rule'!$B$11</definedName>
    <definedName name="ybar0">'Money Rule'!$B$23</definedName>
    <definedName name="ybar1">'Money Rule'!$C$23</definedName>
    <definedName name="ypot_0">'Money Rule'!$B$19</definedName>
    <definedName name="ypot_1">'Money Rule'!$C$19</definedName>
    <definedName name="ypot0">'Money Rule'!$B$19</definedName>
    <definedName name="ypot1">'Money Rule'!$C$19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4" i="2"/>
  <c r="L4" i="2" s="1"/>
  <c r="M4" i="2" s="1"/>
  <c r="I4" i="3"/>
  <c r="I3" i="3"/>
  <c r="J3" i="3"/>
  <c r="P3" i="3"/>
  <c r="N4" i="3"/>
  <c r="O4" i="3" s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" i="3"/>
  <c r="B30" i="3"/>
  <c r="C27" i="3"/>
  <c r="B27" i="3"/>
  <c r="B31" i="3" s="1"/>
  <c r="C26" i="3"/>
  <c r="B26" i="3"/>
  <c r="C23" i="3"/>
  <c r="B23" i="3"/>
  <c r="C22" i="3"/>
  <c r="B22" i="3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G3" i="3"/>
  <c r="F3" i="3"/>
  <c r="L3" i="2"/>
  <c r="I3" i="2"/>
  <c r="B31" i="2"/>
  <c r="C27" i="2"/>
  <c r="B27" i="2"/>
  <c r="C26" i="2"/>
  <c r="B30" i="2" s="1"/>
  <c r="B26" i="2"/>
  <c r="C23" i="2"/>
  <c r="B23" i="2"/>
  <c r="B22" i="2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G3" i="2"/>
  <c r="F3" i="2"/>
  <c r="G3" i="1"/>
  <c r="J3" i="1" s="1"/>
  <c r="F3" i="1"/>
  <c r="O5" i="3" l="1"/>
  <c r="P4" i="3"/>
  <c r="H3" i="3"/>
  <c r="K3" i="3" s="1"/>
  <c r="G4" i="3" s="1"/>
  <c r="J4" i="3" s="1"/>
  <c r="L3" i="3"/>
  <c r="J3" i="2"/>
  <c r="F4" i="2" s="1"/>
  <c r="I3" i="1"/>
  <c r="O6" i="3" l="1"/>
  <c r="P5" i="3"/>
  <c r="H4" i="3"/>
  <c r="K4" i="3" s="1"/>
  <c r="F4" i="3"/>
  <c r="H3" i="2"/>
  <c r="K3" i="2" s="1"/>
  <c r="G4" i="2" s="1"/>
  <c r="C23" i="1"/>
  <c r="B23" i="1"/>
  <c r="B22" i="1" s="1"/>
  <c r="B27" i="1"/>
  <c r="B26" i="1"/>
  <c r="C27" i="1"/>
  <c r="C26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G5" i="3" l="1"/>
  <c r="J5" i="3" s="1"/>
  <c r="I5" i="3" s="1"/>
  <c r="O7" i="3"/>
  <c r="P6" i="3"/>
  <c r="F5" i="3"/>
  <c r="L4" i="3"/>
  <c r="M4" i="3" s="1"/>
  <c r="C22" i="1"/>
  <c r="C22" i="2"/>
  <c r="J4" i="2"/>
  <c r="F5" i="2" s="1"/>
  <c r="H4" i="2"/>
  <c r="K4" i="2" s="1"/>
  <c r="G5" i="2" s="1"/>
  <c r="L5" i="2" s="1"/>
  <c r="M5" i="2" s="1"/>
  <c r="B31" i="1"/>
  <c r="B30" i="1"/>
  <c r="F4" i="1"/>
  <c r="H3" i="1"/>
  <c r="K3" i="1" s="1"/>
  <c r="G4" i="1" s="1"/>
  <c r="J4" i="1" s="1"/>
  <c r="H5" i="3" l="1"/>
  <c r="K5" i="3" s="1"/>
  <c r="O8" i="3"/>
  <c r="P7" i="3"/>
  <c r="F6" i="3"/>
  <c r="L5" i="3"/>
  <c r="M5" i="3" s="1"/>
  <c r="J5" i="2"/>
  <c r="F6" i="2" s="1"/>
  <c r="H5" i="2"/>
  <c r="K5" i="2" s="1"/>
  <c r="G6" i="2" s="1"/>
  <c r="I4" i="1"/>
  <c r="H4" i="1" s="1"/>
  <c r="K4" i="1" s="1"/>
  <c r="G5" i="1" s="1"/>
  <c r="J5" i="1" s="1"/>
  <c r="F5" i="1"/>
  <c r="G6" i="3" l="1"/>
  <c r="J6" i="3" s="1"/>
  <c r="I6" i="3" s="1"/>
  <c r="O9" i="3"/>
  <c r="P8" i="3"/>
  <c r="L6" i="2"/>
  <c r="M6" i="2" s="1"/>
  <c r="J6" i="2"/>
  <c r="F7" i="2" s="1"/>
  <c r="H6" i="2"/>
  <c r="K6" i="2" s="1"/>
  <c r="G7" i="2" s="1"/>
  <c r="I5" i="1"/>
  <c r="F6" i="1"/>
  <c r="F7" i="3" l="1"/>
  <c r="O10" i="3"/>
  <c r="P9" i="3"/>
  <c r="L7" i="2"/>
  <c r="M7" i="2" s="1"/>
  <c r="J7" i="2"/>
  <c r="H7" i="2" s="1"/>
  <c r="K7" i="2" s="1"/>
  <c r="G8" i="2" s="1"/>
  <c r="H5" i="1"/>
  <c r="K5" i="1" s="1"/>
  <c r="G6" i="1" s="1"/>
  <c r="H6" i="3" l="1"/>
  <c r="K6" i="3" s="1"/>
  <c r="L6" i="3"/>
  <c r="M6" i="3" s="1"/>
  <c r="O11" i="3"/>
  <c r="P10" i="3"/>
  <c r="F8" i="2"/>
  <c r="L8" i="2" s="1"/>
  <c r="M8" i="2" s="1"/>
  <c r="J8" i="2"/>
  <c r="I6" i="1"/>
  <c r="J6" i="1"/>
  <c r="F7" i="1" s="1"/>
  <c r="F9" i="2" l="1"/>
  <c r="G7" i="3"/>
  <c r="O12" i="3"/>
  <c r="P11" i="3"/>
  <c r="H8" i="2"/>
  <c r="K8" i="2" s="1"/>
  <c r="G9" i="2" s="1"/>
  <c r="J9" i="2" s="1"/>
  <c r="H9" i="2" s="1"/>
  <c r="K9" i="2" s="1"/>
  <c r="G10" i="2" s="1"/>
  <c r="H6" i="1"/>
  <c r="K6" i="1" s="1"/>
  <c r="G7" i="1" s="1"/>
  <c r="L9" i="2" l="1"/>
  <c r="M9" i="2" s="1"/>
  <c r="J7" i="3"/>
  <c r="I7" i="3" s="1"/>
  <c r="O13" i="3"/>
  <c r="P12" i="3"/>
  <c r="F10" i="2"/>
  <c r="L10" i="2" s="1"/>
  <c r="J10" i="2"/>
  <c r="J7" i="1"/>
  <c r="F8" i="1" s="1"/>
  <c r="I7" i="1"/>
  <c r="F11" i="2" l="1"/>
  <c r="M10" i="2"/>
  <c r="F8" i="3"/>
  <c r="O14" i="3"/>
  <c r="P13" i="3"/>
  <c r="H10" i="2"/>
  <c r="K10" i="2" s="1"/>
  <c r="G11" i="2" s="1"/>
  <c r="L11" i="2" s="1"/>
  <c r="M11" i="2" s="1"/>
  <c r="H7" i="1"/>
  <c r="K7" i="1" s="1"/>
  <c r="G8" i="1" s="1"/>
  <c r="J8" i="1" s="1"/>
  <c r="F9" i="1" s="1"/>
  <c r="H7" i="3" l="1"/>
  <c r="K7" i="3" s="1"/>
  <c r="L7" i="3"/>
  <c r="M7" i="3" s="1"/>
  <c r="O15" i="3"/>
  <c r="P14" i="3"/>
  <c r="J11" i="2"/>
  <c r="I8" i="1"/>
  <c r="H8" i="1" s="1"/>
  <c r="K8" i="1" s="1"/>
  <c r="G9" i="1" s="1"/>
  <c r="G8" i="3" l="1"/>
  <c r="O16" i="3"/>
  <c r="P15" i="3"/>
  <c r="F12" i="2"/>
  <c r="H11" i="2"/>
  <c r="K11" i="2" s="1"/>
  <c r="G12" i="2" s="1"/>
  <c r="J12" i="2" s="1"/>
  <c r="H12" i="2" s="1"/>
  <c r="K12" i="2" s="1"/>
  <c r="G13" i="2" s="1"/>
  <c r="J13" i="2" s="1"/>
  <c r="J9" i="1"/>
  <c r="F10" i="1" s="1"/>
  <c r="I9" i="1"/>
  <c r="J8" i="3" l="1"/>
  <c r="I8" i="3" s="1"/>
  <c r="O17" i="3"/>
  <c r="P16" i="3"/>
  <c r="H13" i="2"/>
  <c r="K13" i="2" s="1"/>
  <c r="G14" i="2" s="1"/>
  <c r="J14" i="2" s="1"/>
  <c r="H14" i="2" s="1"/>
  <c r="K14" i="2" s="1"/>
  <c r="G15" i="2" s="1"/>
  <c r="L12" i="2"/>
  <c r="M12" i="2" s="1"/>
  <c r="F13" i="2"/>
  <c r="L13" i="2" s="1"/>
  <c r="H9" i="1"/>
  <c r="K9" i="1" s="1"/>
  <c r="G10" i="1" s="1"/>
  <c r="J10" i="1" s="1"/>
  <c r="F11" i="1" s="1"/>
  <c r="M13" i="2" l="1"/>
  <c r="F9" i="3"/>
  <c r="O18" i="3"/>
  <c r="P17" i="3"/>
  <c r="F14" i="2"/>
  <c r="J15" i="2"/>
  <c r="I10" i="1"/>
  <c r="H10" i="1" s="1"/>
  <c r="K10" i="1" s="1"/>
  <c r="G11" i="1" s="1"/>
  <c r="H8" i="3" l="1"/>
  <c r="K8" i="3" s="1"/>
  <c r="L8" i="3"/>
  <c r="M8" i="3" s="1"/>
  <c r="O19" i="3"/>
  <c r="P18" i="3"/>
  <c r="L14" i="2"/>
  <c r="M14" i="2" s="1"/>
  <c r="F15" i="2"/>
  <c r="L15" i="2" s="1"/>
  <c r="M15" i="2" s="1"/>
  <c r="H15" i="2"/>
  <c r="K15" i="2" s="1"/>
  <c r="G16" i="2" s="1"/>
  <c r="J16" i="2" s="1"/>
  <c r="J11" i="1"/>
  <c r="F12" i="1" s="1"/>
  <c r="I11" i="1"/>
  <c r="G9" i="3" l="1"/>
  <c r="P19" i="3"/>
  <c r="O20" i="3"/>
  <c r="F16" i="2"/>
  <c r="L16" i="2" s="1"/>
  <c r="M16" i="2" s="1"/>
  <c r="H16" i="2"/>
  <c r="K16" i="2" s="1"/>
  <c r="G17" i="2" s="1"/>
  <c r="J17" i="2" s="1"/>
  <c r="F17" i="2"/>
  <c r="H11" i="1"/>
  <c r="K11" i="1" s="1"/>
  <c r="G12" i="1" s="1"/>
  <c r="I12" i="1" s="1"/>
  <c r="J9" i="3" l="1"/>
  <c r="I9" i="3" s="1"/>
  <c r="O21" i="3"/>
  <c r="P20" i="3"/>
  <c r="L17" i="2"/>
  <c r="M17" i="2" s="1"/>
  <c r="F18" i="2"/>
  <c r="H17" i="2"/>
  <c r="K17" i="2" s="1"/>
  <c r="G18" i="2" s="1"/>
  <c r="J18" i="2" s="1"/>
  <c r="J12" i="1"/>
  <c r="F13" i="1" s="1"/>
  <c r="F10" i="3" l="1"/>
  <c r="O22" i="3"/>
  <c r="P21" i="3"/>
  <c r="L18" i="2"/>
  <c r="M18" i="2" s="1"/>
  <c r="F19" i="2"/>
  <c r="H18" i="2"/>
  <c r="K18" i="2" s="1"/>
  <c r="G19" i="2" s="1"/>
  <c r="J19" i="2" s="1"/>
  <c r="H12" i="1"/>
  <c r="K12" i="1" s="1"/>
  <c r="G13" i="1" s="1"/>
  <c r="J13" i="1" s="1"/>
  <c r="F14" i="1" s="1"/>
  <c r="H9" i="3" l="1"/>
  <c r="K9" i="3" s="1"/>
  <c r="G10" i="3" s="1"/>
  <c r="J10" i="3" s="1"/>
  <c r="L9" i="3"/>
  <c r="M9" i="3" s="1"/>
  <c r="O23" i="3"/>
  <c r="P22" i="3"/>
  <c r="L19" i="2"/>
  <c r="M19" i="2" s="1"/>
  <c r="H19" i="2"/>
  <c r="K19" i="2" s="1"/>
  <c r="G20" i="2" s="1"/>
  <c r="J20" i="2" s="1"/>
  <c r="F20" i="2"/>
  <c r="I13" i="1"/>
  <c r="H13" i="1" s="1"/>
  <c r="K13" i="1" s="1"/>
  <c r="G14" i="1" s="1"/>
  <c r="J14" i="1" s="1"/>
  <c r="F15" i="1" s="1"/>
  <c r="I10" i="3" l="1"/>
  <c r="L10" i="3" s="1"/>
  <c r="M10" i="3" s="1"/>
  <c r="F11" i="3"/>
  <c r="O24" i="3"/>
  <c r="P23" i="3"/>
  <c r="L20" i="2"/>
  <c r="M20" i="2" s="1"/>
  <c r="F21" i="2"/>
  <c r="H20" i="2"/>
  <c r="K20" i="2" s="1"/>
  <c r="G21" i="2" s="1"/>
  <c r="J21" i="2" s="1"/>
  <c r="F22" i="2" s="1"/>
  <c r="I14" i="1"/>
  <c r="H14" i="1" s="1"/>
  <c r="K14" i="1" s="1"/>
  <c r="G15" i="1" s="1"/>
  <c r="I15" i="1" s="1"/>
  <c r="H10" i="3" l="1"/>
  <c r="K10" i="3" s="1"/>
  <c r="G11" i="3" s="1"/>
  <c r="J11" i="3" s="1"/>
  <c r="F12" i="3" s="1"/>
  <c r="O25" i="3"/>
  <c r="P24" i="3"/>
  <c r="L21" i="2"/>
  <c r="M21" i="2" s="1"/>
  <c r="H21" i="2"/>
  <c r="K21" i="2" s="1"/>
  <c r="G22" i="2" s="1"/>
  <c r="J22" i="2" s="1"/>
  <c r="F23" i="2" s="1"/>
  <c r="J15" i="1"/>
  <c r="F16" i="1" s="1"/>
  <c r="I11" i="3" l="1"/>
  <c r="O26" i="3"/>
  <c r="P25" i="3"/>
  <c r="L22" i="2"/>
  <c r="M22" i="2" s="1"/>
  <c r="H22" i="2"/>
  <c r="K22" i="2" s="1"/>
  <c r="G23" i="2" s="1"/>
  <c r="J23" i="2" s="1"/>
  <c r="F24" i="2" s="1"/>
  <c r="H15" i="1"/>
  <c r="K15" i="1" s="1"/>
  <c r="G16" i="1" s="1"/>
  <c r="J16" i="1" s="1"/>
  <c r="F17" i="1" s="1"/>
  <c r="L11" i="3" l="1"/>
  <c r="M11" i="3" s="1"/>
  <c r="H11" i="3"/>
  <c r="K11" i="3" s="1"/>
  <c r="G12" i="3" s="1"/>
  <c r="O27" i="3"/>
  <c r="P26" i="3"/>
  <c r="L23" i="2"/>
  <c r="M23" i="2" s="1"/>
  <c r="H23" i="2"/>
  <c r="K23" i="2" s="1"/>
  <c r="G24" i="2" s="1"/>
  <c r="J24" i="2" s="1"/>
  <c r="I16" i="1"/>
  <c r="H16" i="1" s="1"/>
  <c r="K16" i="1" s="1"/>
  <c r="G17" i="1" s="1"/>
  <c r="J17" i="1" s="1"/>
  <c r="F18" i="1" s="1"/>
  <c r="J12" i="3" l="1"/>
  <c r="O28" i="3"/>
  <c r="P27" i="3"/>
  <c r="L24" i="2"/>
  <c r="M24" i="2" s="1"/>
  <c r="H24" i="2"/>
  <c r="K24" i="2" s="1"/>
  <c r="G25" i="2" s="1"/>
  <c r="J25" i="2" s="1"/>
  <c r="F25" i="2"/>
  <c r="I17" i="1"/>
  <c r="H17" i="1" s="1"/>
  <c r="K17" i="1" s="1"/>
  <c r="G18" i="1" s="1"/>
  <c r="I18" i="1" s="1"/>
  <c r="F13" i="3" l="1"/>
  <c r="I12" i="3"/>
  <c r="O29" i="3"/>
  <c r="P28" i="3"/>
  <c r="L25" i="2"/>
  <c r="M25" i="2" s="1"/>
  <c r="F26" i="2"/>
  <c r="H25" i="2"/>
  <c r="K25" i="2" s="1"/>
  <c r="G26" i="2" s="1"/>
  <c r="J26" i="2" s="1"/>
  <c r="J18" i="1"/>
  <c r="F19" i="1" s="1"/>
  <c r="L12" i="3" l="1"/>
  <c r="M12" i="3" s="1"/>
  <c r="H12" i="3"/>
  <c r="K12" i="3" s="1"/>
  <c r="G13" i="3" s="1"/>
  <c r="J13" i="3" s="1"/>
  <c r="O30" i="3"/>
  <c r="P29" i="3"/>
  <c r="L26" i="2"/>
  <c r="M26" i="2" s="1"/>
  <c r="F27" i="2"/>
  <c r="H26" i="2"/>
  <c r="K26" i="2" s="1"/>
  <c r="G27" i="2" s="1"/>
  <c r="J27" i="2" s="1"/>
  <c r="H18" i="1"/>
  <c r="K18" i="1" s="1"/>
  <c r="G19" i="1" s="1"/>
  <c r="J19" i="1" s="1"/>
  <c r="F20" i="1" s="1"/>
  <c r="I19" i="1" l="1"/>
  <c r="H19" i="1" s="1"/>
  <c r="K19" i="1" s="1"/>
  <c r="G20" i="1" s="1"/>
  <c r="J20" i="1" s="1"/>
  <c r="F21" i="1" s="1"/>
  <c r="F14" i="3"/>
  <c r="I13" i="3"/>
  <c r="O31" i="3"/>
  <c r="P30" i="3"/>
  <c r="L27" i="2"/>
  <c r="M27" i="2" s="1"/>
  <c r="F28" i="2"/>
  <c r="H27" i="2"/>
  <c r="K27" i="2" s="1"/>
  <c r="G28" i="2" s="1"/>
  <c r="J28" i="2" s="1"/>
  <c r="I20" i="1" l="1"/>
  <c r="H20" i="1" s="1"/>
  <c r="K20" i="1" s="1"/>
  <c r="G21" i="1" s="1"/>
  <c r="J21" i="1" s="1"/>
  <c r="F22" i="1" s="1"/>
  <c r="L13" i="3"/>
  <c r="M13" i="3" s="1"/>
  <c r="H13" i="3"/>
  <c r="K13" i="3" s="1"/>
  <c r="G14" i="3" s="1"/>
  <c r="J14" i="3" s="1"/>
  <c r="O32" i="3"/>
  <c r="P31" i="3"/>
  <c r="L28" i="2"/>
  <c r="M28" i="2" s="1"/>
  <c r="H28" i="2"/>
  <c r="K28" i="2" s="1"/>
  <c r="G29" i="2" s="1"/>
  <c r="J29" i="2" s="1"/>
  <c r="F29" i="2"/>
  <c r="I21" i="1"/>
  <c r="H21" i="1" s="1"/>
  <c r="K21" i="1" s="1"/>
  <c r="G22" i="1" s="1"/>
  <c r="J22" i="1" s="1"/>
  <c r="F23" i="1" s="1"/>
  <c r="F15" i="3" l="1"/>
  <c r="I14" i="3"/>
  <c r="L14" i="3" s="1"/>
  <c r="M14" i="3" s="1"/>
  <c r="O33" i="3"/>
  <c r="P33" i="3" s="1"/>
  <c r="P32" i="3"/>
  <c r="L29" i="2"/>
  <c r="M29" i="2" s="1"/>
  <c r="F30" i="2"/>
  <c r="H29" i="2"/>
  <c r="K29" i="2" s="1"/>
  <c r="G30" i="2" s="1"/>
  <c r="J30" i="2" s="1"/>
  <c r="I22" i="1"/>
  <c r="H22" i="1" s="1"/>
  <c r="K22" i="1" s="1"/>
  <c r="G23" i="1" s="1"/>
  <c r="J23" i="1" s="1"/>
  <c r="F24" i="1" s="1"/>
  <c r="H14" i="3" l="1"/>
  <c r="K14" i="3" s="1"/>
  <c r="G15" i="3" s="1"/>
  <c r="J15" i="3" s="1"/>
  <c r="L30" i="2"/>
  <c r="M30" i="2" s="1"/>
  <c r="F31" i="2"/>
  <c r="H30" i="2"/>
  <c r="K30" i="2" s="1"/>
  <c r="G31" i="2" s="1"/>
  <c r="J31" i="2" s="1"/>
  <c r="I23" i="1"/>
  <c r="H23" i="1" s="1"/>
  <c r="K23" i="1" s="1"/>
  <c r="G24" i="1" s="1"/>
  <c r="I24" i="1" s="1"/>
  <c r="I15" i="3" l="1"/>
  <c r="L15" i="3" s="1"/>
  <c r="M15" i="3" s="1"/>
  <c r="F16" i="3"/>
  <c r="L31" i="2"/>
  <c r="M31" i="2" s="1"/>
  <c r="H31" i="2"/>
  <c r="K31" i="2" s="1"/>
  <c r="G32" i="2" s="1"/>
  <c r="J32" i="2" s="1"/>
  <c r="F32" i="2"/>
  <c r="J24" i="1"/>
  <c r="F25" i="1" s="1"/>
  <c r="H15" i="3" l="1"/>
  <c r="K15" i="3" s="1"/>
  <c r="G16" i="3" s="1"/>
  <c r="J16" i="3" s="1"/>
  <c r="L32" i="2"/>
  <c r="M32" i="2" s="1"/>
  <c r="F33" i="2"/>
  <c r="H32" i="2"/>
  <c r="K32" i="2" s="1"/>
  <c r="G33" i="2" s="1"/>
  <c r="J33" i="2" s="1"/>
  <c r="H33" i="2" s="1"/>
  <c r="K33" i="2" s="1"/>
  <c r="H24" i="1"/>
  <c r="K24" i="1" s="1"/>
  <c r="G25" i="1" s="1"/>
  <c r="J25" i="1" s="1"/>
  <c r="F26" i="1" s="1"/>
  <c r="I16" i="3" l="1"/>
  <c r="L16" i="3" s="1"/>
  <c r="M16" i="3" s="1"/>
  <c r="F17" i="3"/>
  <c r="L33" i="2"/>
  <c r="M33" i="2" s="1"/>
  <c r="I25" i="1"/>
  <c r="H25" i="1" s="1"/>
  <c r="K25" i="1" s="1"/>
  <c r="G26" i="1" s="1"/>
  <c r="J26" i="1" s="1"/>
  <c r="F27" i="1" s="1"/>
  <c r="H16" i="3" l="1"/>
  <c r="K16" i="3" s="1"/>
  <c r="G17" i="3" s="1"/>
  <c r="J17" i="3" s="1"/>
  <c r="I26" i="1"/>
  <c r="H26" i="1" s="1"/>
  <c r="K26" i="1" s="1"/>
  <c r="G27" i="1" s="1"/>
  <c r="I27" i="1" s="1"/>
  <c r="F18" i="3" l="1"/>
  <c r="I17" i="3"/>
  <c r="J27" i="1"/>
  <c r="F28" i="1" s="1"/>
  <c r="L17" i="3" l="1"/>
  <c r="M17" i="3" s="1"/>
  <c r="H17" i="3"/>
  <c r="K17" i="3" s="1"/>
  <c r="G18" i="3" s="1"/>
  <c r="J18" i="3" s="1"/>
  <c r="H27" i="1"/>
  <c r="K27" i="1" s="1"/>
  <c r="G28" i="1" s="1"/>
  <c r="J28" i="1" s="1"/>
  <c r="F29" i="1" s="1"/>
  <c r="I18" i="3" l="1"/>
  <c r="L18" i="3" s="1"/>
  <c r="M18" i="3" s="1"/>
  <c r="F19" i="3"/>
  <c r="I28" i="1"/>
  <c r="H28" i="1" s="1"/>
  <c r="K28" i="1" s="1"/>
  <c r="G29" i="1" s="1"/>
  <c r="J29" i="1" s="1"/>
  <c r="F30" i="1" s="1"/>
  <c r="H18" i="3" l="1"/>
  <c r="K18" i="3" s="1"/>
  <c r="G19" i="3" s="1"/>
  <c r="J19" i="3" s="1"/>
  <c r="I29" i="1"/>
  <c r="H29" i="1" s="1"/>
  <c r="K29" i="1" s="1"/>
  <c r="G30" i="1" s="1"/>
  <c r="J30" i="1" s="1"/>
  <c r="F31" i="1" s="1"/>
  <c r="I19" i="3" l="1"/>
  <c r="F20" i="3"/>
  <c r="I30" i="1"/>
  <c r="H30" i="1" s="1"/>
  <c r="K30" i="1" s="1"/>
  <c r="G31" i="1" s="1"/>
  <c r="J31" i="1" s="1"/>
  <c r="F32" i="1" s="1"/>
  <c r="L19" i="3" l="1"/>
  <c r="M19" i="3" s="1"/>
  <c r="H19" i="3"/>
  <c r="K19" i="3" s="1"/>
  <c r="G20" i="3" s="1"/>
  <c r="J20" i="3" s="1"/>
  <c r="I31" i="1"/>
  <c r="H31" i="1" s="1"/>
  <c r="K31" i="1" s="1"/>
  <c r="G32" i="1" s="1"/>
  <c r="J32" i="1" s="1"/>
  <c r="F33" i="1" s="1"/>
  <c r="F21" i="3" l="1"/>
  <c r="I20" i="3"/>
  <c r="L20" i="3" s="1"/>
  <c r="M20" i="3" s="1"/>
  <c r="I32" i="1"/>
  <c r="H32" i="1" s="1"/>
  <c r="K32" i="1" s="1"/>
  <c r="G33" i="1" s="1"/>
  <c r="J33" i="1" s="1"/>
  <c r="H20" i="3" l="1"/>
  <c r="K20" i="3" s="1"/>
  <c r="G21" i="3" s="1"/>
  <c r="J21" i="3" s="1"/>
  <c r="I33" i="1"/>
  <c r="H33" i="1" s="1"/>
  <c r="K33" i="1" s="1"/>
  <c r="I21" i="3" l="1"/>
  <c r="L21" i="3" s="1"/>
  <c r="M21" i="3" s="1"/>
  <c r="F22" i="3"/>
  <c r="H21" i="3" l="1"/>
  <c r="K21" i="3" s="1"/>
  <c r="G22" i="3" s="1"/>
  <c r="J22" i="3" s="1"/>
  <c r="F23" i="3" s="1"/>
  <c r="I22" i="3" l="1"/>
  <c r="L22" i="3" s="1"/>
  <c r="M22" i="3" s="1"/>
  <c r="H22" i="3" l="1"/>
  <c r="K22" i="3" s="1"/>
  <c r="G23" i="3" s="1"/>
  <c r="J23" i="3" l="1"/>
  <c r="F24" i="3" l="1"/>
  <c r="I23" i="3"/>
  <c r="H23" i="3" l="1"/>
  <c r="K23" i="3" s="1"/>
  <c r="G24" i="3" s="1"/>
  <c r="J24" i="3" s="1"/>
  <c r="I24" i="3" s="1"/>
  <c r="L23" i="3"/>
  <c r="M23" i="3" s="1"/>
  <c r="F25" i="3" l="1"/>
  <c r="H24" i="3"/>
  <c r="K24" i="3" s="1"/>
  <c r="G25" i="3" s="1"/>
  <c r="J25" i="3" s="1"/>
  <c r="I25" i="3" s="1"/>
  <c r="L24" i="3"/>
  <c r="M24" i="3" s="1"/>
  <c r="H25" i="3" l="1"/>
  <c r="K25" i="3" s="1"/>
  <c r="G26" i="3" s="1"/>
  <c r="J26" i="3" s="1"/>
  <c r="I26" i="3" s="1"/>
  <c r="L25" i="3"/>
  <c r="M25" i="3" s="1"/>
  <c r="F26" i="3"/>
  <c r="H26" i="3" l="1"/>
  <c r="K26" i="3" s="1"/>
  <c r="G27" i="3" s="1"/>
  <c r="J27" i="3" s="1"/>
  <c r="I27" i="3" s="1"/>
  <c r="L26" i="3"/>
  <c r="M26" i="3" s="1"/>
  <c r="F27" i="3"/>
  <c r="H27" i="3" l="1"/>
  <c r="K27" i="3" s="1"/>
  <c r="G28" i="3" s="1"/>
  <c r="J28" i="3" s="1"/>
  <c r="I28" i="3" s="1"/>
  <c r="L27" i="3"/>
  <c r="M27" i="3" s="1"/>
  <c r="F28" i="3"/>
  <c r="H28" i="3" l="1"/>
  <c r="K28" i="3" s="1"/>
  <c r="G29" i="3" s="1"/>
  <c r="J29" i="3" s="1"/>
  <c r="I29" i="3" s="1"/>
  <c r="F29" i="3"/>
  <c r="L28" i="3"/>
  <c r="M28" i="3" s="1"/>
  <c r="H29" i="3" l="1"/>
  <c r="K29" i="3" s="1"/>
  <c r="G30" i="3" s="1"/>
  <c r="J30" i="3" s="1"/>
  <c r="I30" i="3" s="1"/>
  <c r="L29" i="3"/>
  <c r="M29" i="3" s="1"/>
  <c r="F30" i="3"/>
  <c r="H30" i="3" l="1"/>
  <c r="K30" i="3" s="1"/>
  <c r="G31" i="3" s="1"/>
  <c r="J31" i="3" s="1"/>
  <c r="I31" i="3" s="1"/>
  <c r="L30" i="3"/>
  <c r="M30" i="3" s="1"/>
  <c r="F31" i="3"/>
  <c r="H31" i="3" l="1"/>
  <c r="K31" i="3" s="1"/>
  <c r="G32" i="3" s="1"/>
  <c r="J32" i="3" s="1"/>
  <c r="I32" i="3" s="1"/>
  <c r="L31" i="3"/>
  <c r="M31" i="3" s="1"/>
  <c r="F32" i="3"/>
  <c r="H32" i="3" l="1"/>
  <c r="K32" i="3" s="1"/>
  <c r="G33" i="3" s="1"/>
  <c r="J33" i="3" s="1"/>
  <c r="J35" i="3" s="1"/>
  <c r="J37" i="3" s="1"/>
  <c r="L32" i="3"/>
  <c r="M32" i="3" s="1"/>
  <c r="F33" i="3"/>
  <c r="I33" i="3" l="1"/>
  <c r="H33" i="3" s="1"/>
  <c r="K33" i="3" s="1"/>
  <c r="K35" i="3" s="1"/>
  <c r="L33" i="3" l="1"/>
  <c r="M33" i="3" s="1"/>
</calcChain>
</file>

<file path=xl/sharedStrings.xml><?xml version="1.0" encoding="utf-8"?>
<sst xmlns="http://schemas.openxmlformats.org/spreadsheetml/2006/main" count="154" uniqueCount="58">
  <si>
    <t xml:space="preserve"> </t>
  </si>
  <si>
    <t>Psi</t>
  </si>
  <si>
    <t>Theta</t>
  </si>
  <si>
    <t>Beta1</t>
  </si>
  <si>
    <t>p</t>
  </si>
  <si>
    <t>y</t>
  </si>
  <si>
    <t>Ni</t>
  </si>
  <si>
    <t>yd</t>
  </si>
  <si>
    <t>i</t>
  </si>
  <si>
    <t>Mi</t>
  </si>
  <si>
    <r>
      <t>λ</t>
    </r>
    <r>
      <rPr>
        <vertAlign val="subscript"/>
        <sz val="11"/>
        <rFont val="Times New Roman"/>
        <family val="1"/>
      </rPr>
      <t>1</t>
    </r>
  </si>
  <si>
    <r>
      <t>λ</t>
    </r>
    <r>
      <rPr>
        <vertAlign val="subscript"/>
        <sz val="11"/>
        <rFont val="Times New Roman"/>
        <family val="1"/>
      </rPr>
      <t>2</t>
    </r>
  </si>
  <si>
    <r>
      <rPr>
        <b/>
        <sz val="11"/>
        <color indexed="9"/>
        <rFont val="Times New Roman"/>
        <family val="1"/>
      </rPr>
      <t>∆p</t>
    </r>
  </si>
  <si>
    <r>
      <rPr>
        <b/>
        <sz val="11"/>
        <color indexed="9"/>
        <rFont val="Times New Roman"/>
        <family val="1"/>
      </rPr>
      <t>∆y</t>
    </r>
  </si>
  <si>
    <t>EXERCISE 2: Dynamic IS-LM model</t>
  </si>
  <si>
    <t>Time</t>
  </si>
  <si>
    <t>Endogenous variables</t>
  </si>
  <si>
    <t>p: Price level</t>
  </si>
  <si>
    <t>y: Output</t>
  </si>
  <si>
    <t>yd: Aggregate demand</t>
  </si>
  <si>
    <t>i: Nominal interest rate</t>
  </si>
  <si>
    <t>∆p: Inflation</t>
  </si>
  <si>
    <t>∆y: Output growth</t>
  </si>
  <si>
    <t>Change over time</t>
  </si>
  <si>
    <t>Parameters</t>
  </si>
  <si>
    <t>Exogenous variables</t>
  </si>
  <si>
    <t>Initial value</t>
  </si>
  <si>
    <t>Final value</t>
  </si>
  <si>
    <t>m: Money</t>
  </si>
  <si>
    <t>Beta0: Government spending</t>
  </si>
  <si>
    <t>Steady State</t>
  </si>
  <si>
    <t>Initial SS</t>
  </si>
  <si>
    <t>Final SS</t>
  </si>
  <si>
    <t>Steady state for p</t>
  </si>
  <si>
    <t>Steady state for y</t>
  </si>
  <si>
    <t>Eigenvalues</t>
  </si>
  <si>
    <t>Real</t>
  </si>
  <si>
    <t>Imaginary</t>
  </si>
  <si>
    <t>Stability condition</t>
  </si>
  <si>
    <r>
      <t>Modulus (1+λ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</si>
  <si>
    <r>
      <t>Modulus (1+λ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</si>
  <si>
    <t>Ypot: Potential output</t>
  </si>
  <si>
    <t>m</t>
  </si>
  <si>
    <t>∆m</t>
  </si>
  <si>
    <t>rho_z</t>
  </si>
  <si>
    <t>sigma_z</t>
  </si>
  <si>
    <t>epsilon</t>
  </si>
  <si>
    <t>z</t>
  </si>
  <si>
    <t>Z</t>
  </si>
  <si>
    <t>Z1_fixed</t>
  </si>
  <si>
    <t>rho_r</t>
  </si>
  <si>
    <t>rho_pi</t>
  </si>
  <si>
    <t>rho_y</t>
  </si>
  <si>
    <t>Volatility:</t>
  </si>
  <si>
    <t>Loss</t>
  </si>
  <si>
    <t>Taylor Rule Parameters</t>
  </si>
  <si>
    <t>Stochastic Shock Process</t>
  </si>
  <si>
    <t>Loss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</si>
</sst>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vertAlign val="subscript"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9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5" fillId="0" borderId="0" xfId="0" applyFont="1"/>
    <xf numFmtId="0" fontId="4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3" borderId="7" xfId="0" applyFont="1" applyFill="1" applyBorder="1"/>
    <xf numFmtId="0" fontId="5" fillId="3" borderId="0" xfId="0" applyFont="1" applyFill="1"/>
    <xf numFmtId="0" fontId="5" fillId="3" borderId="8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11" xfId="0" applyFont="1" applyFill="1" applyBorder="1"/>
    <xf numFmtId="2" fontId="5" fillId="3" borderId="0" xfId="0" applyNumberFormat="1" applyFont="1" applyFill="1" applyAlignment="1">
      <alignment horizontal="right"/>
    </xf>
    <xf numFmtId="2" fontId="5" fillId="3" borderId="8" xfId="0" applyNumberFormat="1" applyFont="1" applyFill="1" applyBorder="1" applyAlignment="1">
      <alignment horizontal="right"/>
    </xf>
    <xf numFmtId="1" fontId="5" fillId="3" borderId="10" xfId="0" applyNumberFormat="1" applyFont="1" applyFill="1" applyBorder="1" applyAlignment="1">
      <alignment horizontal="right"/>
    </xf>
    <xf numFmtId="2" fontId="5" fillId="3" borderId="0" xfId="0" applyNumberFormat="1" applyFont="1" applyFill="1"/>
    <xf numFmtId="2" fontId="5" fillId="3" borderId="8" xfId="0" applyNumberFormat="1" applyFont="1" applyFill="1" applyBorder="1"/>
    <xf numFmtId="2" fontId="5" fillId="3" borderId="10" xfId="0" applyNumberFormat="1" applyFont="1" applyFill="1" applyBorder="1"/>
    <xf numFmtId="2" fontId="5" fillId="3" borderId="11" xfId="0" applyNumberFormat="1" applyFont="1" applyFill="1" applyBorder="1"/>
    <xf numFmtId="165" fontId="5" fillId="3" borderId="8" xfId="0" applyNumberFormat="1" applyFont="1" applyFill="1" applyBorder="1"/>
    <xf numFmtId="165" fontId="5" fillId="3" borderId="11" xfId="0" applyNumberFormat="1" applyFont="1" applyFill="1" applyBorder="1"/>
    <xf numFmtId="0" fontId="5" fillId="3" borderId="7" xfId="0" applyFont="1" applyFill="1" applyBorder="1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5" fillId="3" borderId="8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2" fontId="5" fillId="3" borderId="10" xfId="0" applyNumberFormat="1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0" fontId="7" fillId="4" borderId="4" xfId="0" applyFont="1" applyFill="1" applyBorder="1"/>
    <xf numFmtId="0" fontId="7" fillId="4" borderId="6" xfId="0" applyFont="1" applyFill="1" applyBorder="1"/>
    <xf numFmtId="0" fontId="8" fillId="4" borderId="5" xfId="0" applyFont="1" applyFill="1" applyBorder="1"/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Output</a:t>
            </a:r>
          </a:p>
        </c:rich>
      </c:tx>
      <c:layout>
        <c:manualLayout>
          <c:xMode val="edge"/>
          <c:yMode val="edge"/>
          <c:x val="0.43431496062992125"/>
          <c:y val="4.18729212222772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60154097343796"/>
          <c:y val="0.24774883757758648"/>
          <c:w val="0.77165552118069525"/>
          <c:h val="0.4684705292376180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dPt>
            <c:idx val="25"/>
            <c:bubble3D val="0"/>
            <c:spPr>
              <a:ln w="254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E7-49AE-9D13-5154CD52136E}"/>
              </c:ext>
            </c:extLst>
          </c:dPt>
          <c:cat>
            <c:numRef>
              <c:f>'Money Rule'!$E$3:$E$32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'Money Rule'!$G$3:$G$32</c:f>
              <c:numCache>
                <c:formatCode>0.00</c:formatCode>
                <c:ptCount val="30"/>
                <c:pt idx="0">
                  <c:v>2000</c:v>
                </c:pt>
                <c:pt idx="1">
                  <c:v>2000.0000000000002</c:v>
                </c:pt>
                <c:pt idx="2">
                  <c:v>2100</c:v>
                </c:pt>
                <c:pt idx="3">
                  <c:v>2090.0000000000005</c:v>
                </c:pt>
                <c:pt idx="4">
                  <c:v>2071</c:v>
                </c:pt>
                <c:pt idx="5">
                  <c:v>2054.9</c:v>
                </c:pt>
                <c:pt idx="6">
                  <c:v>2042.3100000000004</c:v>
                </c:pt>
                <c:pt idx="7">
                  <c:v>2032.5889999999999</c:v>
                </c:pt>
                <c:pt idx="8">
                  <c:v>2025.0990999999999</c:v>
                </c:pt>
                <c:pt idx="9">
                  <c:v>2019.3302900000001</c:v>
                </c:pt>
                <c:pt idx="10">
                  <c:v>2014.8873509999999</c:v>
                </c:pt>
                <c:pt idx="11">
                  <c:v>2011.4655869000001</c:v>
                </c:pt>
                <c:pt idx="12">
                  <c:v>2008.8302931100002</c:v>
                </c:pt>
                <c:pt idx="13">
                  <c:v>2006.8007051090001</c:v>
                </c:pt>
                <c:pt idx="14">
                  <c:v>2005.2376052871</c:v>
                </c:pt>
                <c:pt idx="15">
                  <c:v>2004.0337742474899</c:v>
                </c:pt>
                <c:pt idx="16">
                  <c:v>2003.1066362940307</c:v>
                </c:pt>
                <c:pt idx="17">
                  <c:v>2002.3925952398788</c:v>
                </c:pt>
                <c:pt idx="18">
                  <c:v>2001.8426720864877</c:v>
                </c:pt>
                <c:pt idx="19">
                  <c:v>2001.4191453538513</c:v>
                </c:pt>
                <c:pt idx="20">
                  <c:v>2001.0929636098176</c:v>
                </c:pt>
                <c:pt idx="21">
                  <c:v>2000.8417527134507</c:v>
                </c:pt>
                <c:pt idx="22">
                  <c:v>2000.6482810811235</c:v>
                </c:pt>
                <c:pt idx="23">
                  <c:v>2000.4992777016664</c:v>
                </c:pt>
                <c:pt idx="24">
                  <c:v>2000.3845218233873</c:v>
                </c:pt>
                <c:pt idx="25">
                  <c:v>2000.2961418708819</c:v>
                </c:pt>
                <c:pt idx="26">
                  <c:v>2000.2280755014549</c:v>
                </c:pt>
                <c:pt idx="27">
                  <c:v>2000.1756537642211</c:v>
                </c:pt>
                <c:pt idx="28">
                  <c:v>2000.1352808376539</c:v>
                </c:pt>
                <c:pt idx="29">
                  <c:v>2000.1041873774659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E7-49AE-9D13-5154CD521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236400"/>
        <c:axId val="291234720"/>
      </c:lineChart>
      <c:catAx>
        <c:axId val="29123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51971404890178208"/>
              <c:y val="0.85978031271472954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29123472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123472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29123640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Aggregate demand</a:t>
            </a:r>
          </a:p>
        </c:rich>
      </c:tx>
      <c:layout>
        <c:manualLayout>
          <c:xMode val="edge"/>
          <c:yMode val="edge"/>
          <c:x val="0.31413660825553302"/>
          <c:y val="3.66304780084307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75109770370574"/>
          <c:y val="0.22727311529091199"/>
          <c:w val="0.77862788900457469"/>
          <c:h val="0.5244764199021045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Rule'!$E$3:$E$32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'Money Rule'!$H$3:$H$32</c:f>
              <c:numCache>
                <c:formatCode>0.00</c:formatCode>
                <c:ptCount val="30"/>
                <c:pt idx="0">
                  <c:v>2000.0000000000014</c:v>
                </c:pt>
                <c:pt idx="1">
                  <c:v>2500</c:v>
                </c:pt>
                <c:pt idx="2">
                  <c:v>2050.0000000000014</c:v>
                </c:pt>
                <c:pt idx="3">
                  <c:v>1994.9999999999989</c:v>
                </c:pt>
                <c:pt idx="4">
                  <c:v>1990.4999999999998</c:v>
                </c:pt>
                <c:pt idx="5">
                  <c:v>1991.9500000000012</c:v>
                </c:pt>
                <c:pt idx="6">
                  <c:v>1993.7049999999986</c:v>
                </c:pt>
                <c:pt idx="7">
                  <c:v>1995.1394999999998</c:v>
                </c:pt>
                <c:pt idx="8">
                  <c:v>1996.2550500000007</c:v>
                </c:pt>
                <c:pt idx="9">
                  <c:v>1997.1155949999986</c:v>
                </c:pt>
                <c:pt idx="10">
                  <c:v>1997.7785305000004</c:v>
                </c:pt>
                <c:pt idx="11">
                  <c:v>1998.2891179500007</c:v>
                </c:pt>
                <c:pt idx="12">
                  <c:v>1998.6823531049993</c:v>
                </c:pt>
                <c:pt idx="13">
                  <c:v>1998.9852059994998</c:v>
                </c:pt>
                <c:pt idx="14">
                  <c:v>1999.2184500890496</c:v>
                </c:pt>
                <c:pt idx="15">
                  <c:v>1999.3980844801943</c:v>
                </c:pt>
                <c:pt idx="16">
                  <c:v>1999.5364310232708</c:v>
                </c:pt>
                <c:pt idx="17">
                  <c:v>1999.6429794729233</c:v>
                </c:pt>
                <c:pt idx="18">
                  <c:v>1999.7250384233053</c:v>
                </c:pt>
                <c:pt idx="19">
                  <c:v>1999.788236633683</c:v>
                </c:pt>
                <c:pt idx="20">
                  <c:v>1999.8369091279824</c:v>
                </c:pt>
                <c:pt idx="21">
                  <c:v>1999.8743945518147</c:v>
                </c:pt>
                <c:pt idx="22">
                  <c:v>1999.9032641838382</c:v>
                </c:pt>
                <c:pt idx="23">
                  <c:v>1999.9254983102715</c:v>
                </c:pt>
                <c:pt idx="24">
                  <c:v>1999.9426220608602</c:v>
                </c:pt>
                <c:pt idx="25">
                  <c:v>1999.9558100237464</c:v>
                </c:pt>
                <c:pt idx="26">
                  <c:v>1999.9659668152863</c:v>
                </c:pt>
                <c:pt idx="27">
                  <c:v>1999.973789131385</c:v>
                </c:pt>
                <c:pt idx="28">
                  <c:v>1999.9798135367143</c:v>
                </c:pt>
                <c:pt idx="29">
                  <c:v>1999.9844532699076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5-4A4F-B9E4-5D2F4A175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933248"/>
        <c:axId val="292385680"/>
      </c:lineChart>
      <c:catAx>
        <c:axId val="29093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50785382596406226"/>
              <c:y val="0.86080887616320678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2923856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238568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290933248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Nominal  interest rate</a:t>
            </a:r>
          </a:p>
        </c:rich>
      </c:tx>
      <c:layout>
        <c:manualLayout>
          <c:xMode val="edge"/>
          <c:yMode val="edge"/>
          <c:x val="0.33837082271986813"/>
          <c:y val="3.67650841460613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35354806423952"/>
          <c:y val="0.24663731133800304"/>
          <c:w val="0.83582292595354757"/>
          <c:h val="0.4708530489180057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Rule'!$E$3:$E$32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'Money Rule'!$I$3:$I$32</c:f>
              <c:numCache>
                <c:formatCode>0.00</c:formatCode>
                <c:ptCount val="30"/>
                <c:pt idx="0">
                  <c:v>1.9999999999999716</c:v>
                </c:pt>
                <c:pt idx="1">
                  <c:v>-8</c:v>
                </c:pt>
                <c:pt idx="2">
                  <c:v>1.9999999999999716</c:v>
                </c:pt>
                <c:pt idx="3">
                  <c:v>3.0000000000000284</c:v>
                </c:pt>
                <c:pt idx="4">
                  <c:v>2.9000000000000057</c:v>
                </c:pt>
                <c:pt idx="5">
                  <c:v>2.7099999999999795</c:v>
                </c:pt>
                <c:pt idx="6">
                  <c:v>2.549000000000035</c:v>
                </c:pt>
                <c:pt idx="7">
                  <c:v>2.4231000000000051</c:v>
                </c:pt>
                <c:pt idx="8">
                  <c:v>2.3258899999999869</c:v>
                </c:pt>
                <c:pt idx="9">
                  <c:v>2.2509910000000275</c:v>
                </c:pt>
                <c:pt idx="10">
                  <c:v>2.193302899999992</c:v>
                </c:pt>
                <c:pt idx="11">
                  <c:v>2.1488735099999872</c:v>
                </c:pt>
                <c:pt idx="12">
                  <c:v>2.1146558690000177</c:v>
                </c:pt>
                <c:pt idx="13">
                  <c:v>2.088302931100003</c:v>
                </c:pt>
                <c:pt idx="14">
                  <c:v>2.0680070510900066</c:v>
                </c:pt>
                <c:pt idx="15">
                  <c:v>2.0523760528710113</c:v>
                </c:pt>
                <c:pt idx="16">
                  <c:v>2.0403377424748896</c:v>
                </c:pt>
                <c:pt idx="17">
                  <c:v>2.0310663629403223</c:v>
                </c:pt>
                <c:pt idx="18">
                  <c:v>2.0239259523987698</c:v>
                </c:pt>
                <c:pt idx="19">
                  <c:v>2.0184267208648521</c:v>
                </c:pt>
                <c:pt idx="20">
                  <c:v>2.0141914535385297</c:v>
                </c:pt>
                <c:pt idx="21">
                  <c:v>2.0109296360982114</c:v>
                </c:pt>
                <c:pt idx="22">
                  <c:v>2.0084175271344691</c:v>
                </c:pt>
                <c:pt idx="23">
                  <c:v>2.0064828108112351</c:v>
                </c:pt>
                <c:pt idx="24">
                  <c:v>2.0049927770166676</c:v>
                </c:pt>
                <c:pt idx="25">
                  <c:v>2.0038452182338915</c:v>
                </c:pt>
                <c:pt idx="26">
                  <c:v>2.0029614187088214</c:v>
                </c:pt>
                <c:pt idx="27">
                  <c:v>2.0022807550145103</c:v>
                </c:pt>
                <c:pt idx="28">
                  <c:v>2.001756537642251</c:v>
                </c:pt>
                <c:pt idx="29">
                  <c:v>2.0013528083765095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2-41F3-B92C-82DCE374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555520"/>
        <c:axId val="859556080"/>
      </c:lineChart>
      <c:catAx>
        <c:axId val="85955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48041771966833058"/>
              <c:y val="0.8602942813966435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859556080"/>
        <c:crossesAt val="0"/>
        <c:auto val="1"/>
        <c:lblAlgn val="ctr"/>
        <c:lblOffset val="100"/>
        <c:tickLblSkip val="4"/>
        <c:tickMarkSkip val="1"/>
        <c:noMultiLvlLbl val="0"/>
      </c:catAx>
      <c:valAx>
        <c:axId val="8595560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85955552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baseline="0"/>
            </a:pPr>
            <a:r>
              <a:rPr lang="es-ES" sz="1100" b="1" i="0" baseline="0"/>
              <a:t>Price level</a:t>
            </a:r>
          </a:p>
        </c:rich>
      </c:tx>
      <c:layout>
        <c:manualLayout>
          <c:xMode val="edge"/>
          <c:yMode val="edge"/>
          <c:x val="0.39477273687200665"/>
          <c:y val="3.66303876157732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75109770370574"/>
          <c:y val="0.22727311529091199"/>
          <c:w val="0.77862788900457469"/>
          <c:h val="0.52447641990210458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Rule'!$E$3:$E$32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'Money Rule'!$F$3:$F$32</c:f>
              <c:numCache>
                <c:formatCode>0.00</c:formatCode>
                <c:ptCount val="30"/>
                <c:pt idx="0">
                  <c:v>0.99999999999998579</c:v>
                </c:pt>
                <c:pt idx="1">
                  <c:v>0.99999999999998579</c:v>
                </c:pt>
                <c:pt idx="2">
                  <c:v>0.99999999999998801</c:v>
                </c:pt>
                <c:pt idx="3">
                  <c:v>1.999999999999988</c:v>
                </c:pt>
                <c:pt idx="4">
                  <c:v>2.8999999999999924</c:v>
                </c:pt>
                <c:pt idx="5">
                  <c:v>3.6099999999999923</c:v>
                </c:pt>
                <c:pt idx="6">
                  <c:v>4.1589999999999936</c:v>
                </c:pt>
                <c:pt idx="7">
                  <c:v>4.5820999999999978</c:v>
                </c:pt>
                <c:pt idx="8">
                  <c:v>4.9079899999999972</c:v>
                </c:pt>
                <c:pt idx="9">
                  <c:v>5.1589809999999963</c:v>
                </c:pt>
                <c:pt idx="10">
                  <c:v>5.3522838999999971</c:v>
                </c:pt>
                <c:pt idx="11">
                  <c:v>5.5011574099999958</c:v>
                </c:pt>
                <c:pt idx="12">
                  <c:v>5.6158132789999966</c:v>
                </c:pt>
                <c:pt idx="13">
                  <c:v>5.7041162100999987</c:v>
                </c:pt>
                <c:pt idx="14">
                  <c:v>5.77212326119</c:v>
                </c:pt>
                <c:pt idx="15">
                  <c:v>5.8244993140609997</c:v>
                </c:pt>
                <c:pt idx="16">
                  <c:v>5.8648370565358983</c:v>
                </c:pt>
                <c:pt idx="17">
                  <c:v>5.8959034194762054</c:v>
                </c:pt>
                <c:pt idx="18">
                  <c:v>5.919829371874993</c:v>
                </c:pt>
                <c:pt idx="19">
                  <c:v>5.93825609273987</c:v>
                </c:pt>
                <c:pt idx="20">
                  <c:v>5.9524475462783828</c:v>
                </c:pt>
                <c:pt idx="21">
                  <c:v>5.9633771823765587</c:v>
                </c:pt>
                <c:pt idx="22">
                  <c:v>5.9717947095110651</c:v>
                </c:pt>
                <c:pt idx="23">
                  <c:v>5.9782775203223002</c:v>
                </c:pt>
                <c:pt idx="24">
                  <c:v>5.9832702973389642</c:v>
                </c:pt>
                <c:pt idx="25">
                  <c:v>5.9871155155728379</c:v>
                </c:pt>
                <c:pt idx="26">
                  <c:v>5.9900769342816567</c:v>
                </c:pt>
                <c:pt idx="27">
                  <c:v>5.992357689296206</c:v>
                </c:pt>
                <c:pt idx="28">
                  <c:v>5.9941142269384171</c:v>
                </c:pt>
                <c:pt idx="29">
                  <c:v>5.995467035314956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8-4EE0-9421-E8D0C5BFE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558320"/>
        <c:axId val="859558880"/>
      </c:lineChart>
      <c:catAx>
        <c:axId val="85955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 i="0" baseline="0"/>
                </a:pPr>
                <a:r>
                  <a:rPr lang="es-ES" b="1" i="0" baseline="0"/>
                  <a:t>Time</a:t>
                </a:r>
              </a:p>
            </c:rich>
          </c:tx>
          <c:layout>
            <c:manualLayout>
              <c:xMode val="edge"/>
              <c:yMode val="edge"/>
              <c:x val="0.50785382596406226"/>
              <c:y val="0.86080887616320678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8595588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595588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859558320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'Money Rule'!$J$2</c:f>
              <c:strCache>
                <c:ptCount val="1"/>
                <c:pt idx="0">
                  <c:v>∆p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'Money Rule'!$J$3:$J$29</c:f>
              <c:numCache>
                <c:formatCode>0.00</c:formatCode>
                <c:ptCount val="27"/>
                <c:pt idx="0">
                  <c:v>0</c:v>
                </c:pt>
                <c:pt idx="1">
                  <c:v>2.2737367544323206E-15</c:v>
                </c:pt>
                <c:pt idx="2">
                  <c:v>1</c:v>
                </c:pt>
                <c:pt idx="3">
                  <c:v>0.90000000000000457</c:v>
                </c:pt>
                <c:pt idx="4">
                  <c:v>0.71</c:v>
                </c:pt>
                <c:pt idx="5">
                  <c:v>0.54900000000000093</c:v>
                </c:pt>
                <c:pt idx="6">
                  <c:v>0.42310000000000403</c:v>
                </c:pt>
                <c:pt idx="7">
                  <c:v>0.3258899999999994</c:v>
                </c:pt>
                <c:pt idx="8">
                  <c:v>0.25099099999999908</c:v>
                </c:pt>
                <c:pt idx="9">
                  <c:v>0.19330290000000105</c:v>
                </c:pt>
                <c:pt idx="10">
                  <c:v>0.14887350999999854</c:v>
                </c:pt>
                <c:pt idx="11">
                  <c:v>0.11465586900000062</c:v>
                </c:pt>
                <c:pt idx="12">
                  <c:v>8.8302931100001841E-2</c:v>
                </c:pt>
                <c:pt idx="13">
                  <c:v>6.8007051090000922E-2</c:v>
                </c:pt>
                <c:pt idx="14">
                  <c:v>5.2376052870999959E-2</c:v>
                </c:pt>
                <c:pt idx="15">
                  <c:v>4.0337742474898734E-2</c:v>
                </c:pt>
                <c:pt idx="16">
                  <c:v>3.1066362940307499E-2</c:v>
                </c:pt>
                <c:pt idx="17">
                  <c:v>2.3925952398788013E-2</c:v>
                </c:pt>
                <c:pt idx="18">
                  <c:v>1.8426720864877098E-2</c:v>
                </c:pt>
                <c:pt idx="19">
                  <c:v>1.4191453538512633E-2</c:v>
                </c:pt>
                <c:pt idx="20">
                  <c:v>1.0929636098176161E-2</c:v>
                </c:pt>
                <c:pt idx="21">
                  <c:v>8.4175271345065996E-3</c:v>
                </c:pt>
                <c:pt idx="22">
                  <c:v>6.4828108112351401E-3</c:v>
                </c:pt>
                <c:pt idx="23">
                  <c:v>4.9927770166641496E-3</c:v>
                </c:pt>
                <c:pt idx="24">
                  <c:v>3.845218233873311E-3</c:v>
                </c:pt>
                <c:pt idx="25">
                  <c:v>2.9614187088191101E-3</c:v>
                </c:pt>
                <c:pt idx="26">
                  <c:v>2.2807550145489586E-3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9-41C0-983E-B726B7BCB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676512"/>
        <c:axId val="1420673152"/>
      </c:lineChart>
      <c:catAx>
        <c:axId val="1420676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73152"/>
        <c:crosses val="autoZero"/>
        <c:auto val="1"/>
        <c:lblAlgn val="ctr"/>
        <c:lblOffset val="100"/>
        <c:noMultiLvlLbl val="0"/>
      </c:catAx>
      <c:valAx>
        <c:axId val="14206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7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'Interest Rate'!$K$2</c:f>
              <c:strCache>
                <c:ptCount val="1"/>
                <c:pt idx="0">
                  <c:v>∆y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'Interest Rate'!$K$3:$K$33</c:f>
              <c:numCache>
                <c:formatCode>0.00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1.8</c:v>
                </c:pt>
                <c:pt idx="3">
                  <c:v>1.6200000000000274</c:v>
                </c:pt>
                <c:pt idx="4">
                  <c:v>1.4579999999999929</c:v>
                </c:pt>
                <c:pt idx="5">
                  <c:v>1.3121999999999845</c:v>
                </c:pt>
                <c:pt idx="6">
                  <c:v>1.1809799999999542</c:v>
                </c:pt>
                <c:pt idx="7">
                  <c:v>1.0628819999999906</c:v>
                </c:pt>
                <c:pt idx="8">
                  <c:v>0.95659380000001881</c:v>
                </c:pt>
                <c:pt idx="9">
                  <c:v>0.86093441999996689</c:v>
                </c:pt>
                <c:pt idx="10">
                  <c:v>0.77484097800002028</c:v>
                </c:pt>
                <c:pt idx="11">
                  <c:v>0.69735688020000453</c:v>
                </c:pt>
                <c:pt idx="12">
                  <c:v>0.62762119218000412</c:v>
                </c:pt>
                <c:pt idx="13">
                  <c:v>0.56485907296200821</c:v>
                </c:pt>
                <c:pt idx="14">
                  <c:v>0.50837316566580737</c:v>
                </c:pt>
                <c:pt idx="15">
                  <c:v>0.45753584909921302</c:v>
                </c:pt>
                <c:pt idx="16">
                  <c:v>0.41178226418928721</c:v>
                </c:pt>
                <c:pt idx="17">
                  <c:v>0.37060403777036299</c:v>
                </c:pt>
                <c:pt idx="18">
                  <c:v>0.33354363399334946</c:v>
                </c:pt>
                <c:pt idx="19">
                  <c:v>0.30018927059404632</c:v>
                </c:pt>
                <c:pt idx="20">
                  <c:v>0.27017034353461894</c:v>
                </c:pt>
                <c:pt idx="21">
                  <c:v>0.24315330918116163</c:v>
                </c:pt>
                <c:pt idx="22">
                  <c:v>0.21883797826303636</c:v>
                </c:pt>
                <c:pt idx="23">
                  <c:v>0.19695418043670543</c:v>
                </c:pt>
                <c:pt idx="24">
                  <c:v>0.17725876239305763</c:v>
                </c:pt>
                <c:pt idx="25">
                  <c:v>0.15953288615378369</c:v>
                </c:pt>
                <c:pt idx="26">
                  <c:v>0.14357959753838259</c:v>
                </c:pt>
                <c:pt idx="27">
                  <c:v>0.12922163778453069</c:v>
                </c:pt>
                <c:pt idx="28">
                  <c:v>0.11629947400610946</c:v>
                </c:pt>
                <c:pt idx="29">
                  <c:v>0.10466952660549396</c:v>
                </c:pt>
                <c:pt idx="30">
                  <c:v>9.4202573944949117E-2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D-46A7-9D22-D704F607D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303776"/>
        <c:axId val="1430301856"/>
      </c:lineChart>
      <c:catAx>
        <c:axId val="1430303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01856"/>
        <c:crosses val="autoZero"/>
        <c:auto val="1"/>
        <c:lblAlgn val="ctr"/>
        <c:lblOffset val="100"/>
        <c:noMultiLvlLbl val="0"/>
      </c:catAx>
      <c:valAx>
        <c:axId val="14303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4103</xdr:colOff>
      <xdr:row>17</xdr:row>
      <xdr:rowOff>7620</xdr:rowOff>
    </xdr:from>
    <xdr:to>
      <xdr:col>16</xdr:col>
      <xdr:colOff>575603</xdr:colOff>
      <xdr:row>31</xdr:row>
      <xdr:rowOff>137160</xdr:rowOff>
    </xdr:to>
    <xdr:graphicFrame macro="">
      <xdr:nvGraphicFramePr>
        <xdr:cNvPr id="1202" name="Chart 10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750223</xdr:colOff>
      <xdr:row>0</xdr:row>
      <xdr:rowOff>168679</xdr:rowOff>
    </xdr:from>
    <xdr:to>
      <xdr:col>21</xdr:col>
      <xdr:colOff>559723</xdr:colOff>
      <xdr:row>15</xdr:row>
      <xdr:rowOff>122959</xdr:rowOff>
    </xdr:to>
    <xdr:graphicFrame macro="">
      <xdr:nvGraphicFramePr>
        <xdr:cNvPr id="1203" name="Chart 11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13508</xdr:colOff>
      <xdr:row>17</xdr:row>
      <xdr:rowOff>17319</xdr:rowOff>
    </xdr:from>
    <xdr:to>
      <xdr:col>21</xdr:col>
      <xdr:colOff>581198</xdr:colOff>
      <xdr:row>31</xdr:row>
      <xdr:rowOff>139239</xdr:rowOff>
    </xdr:to>
    <xdr:graphicFrame macro="">
      <xdr:nvGraphicFramePr>
        <xdr:cNvPr id="1204" name="Chart 12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5275</xdr:colOff>
      <xdr:row>1</xdr:row>
      <xdr:rowOff>18757</xdr:rowOff>
    </xdr:from>
    <xdr:to>
      <xdr:col>16</xdr:col>
      <xdr:colOff>579706</xdr:colOff>
      <xdr:row>15</xdr:row>
      <xdr:rowOff>140677</xdr:rowOff>
    </xdr:to>
    <xdr:graphicFrame macro="">
      <xdr:nvGraphicFramePr>
        <xdr:cNvPr id="1205" name="Chart 11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8659</xdr:colOff>
      <xdr:row>9</xdr:row>
      <xdr:rowOff>109103</xdr:rowOff>
    </xdr:from>
    <xdr:to>
      <xdr:col>16</xdr:col>
      <xdr:colOff>567170</xdr:colOff>
      <xdr:row>25</xdr:row>
      <xdr:rowOff>12121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DA17F-D38A-228E-BBC4-864BDFFA7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659605</xdr:colOff>
      <xdr:row>13</xdr:row>
      <xdr:rowOff>142874</xdr:rowOff>
    </xdr:from>
    <xdr:to>
      <xdr:col>9</xdr:col>
      <xdr:colOff>650080</xdr:colOff>
      <xdr:row>29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2E73F7-DC01-DEE1-7AB6-B6AB58BA7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D264B8-FCC9-43B4-8A3A-5F3959BE1CCE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9"/>
  <sheetViews>
    <sheetView topLeftCell="E7" zoomScale="110" zoomScaleNormal="110" workbookViewId="0">
      <selection activeCell="J2" sqref="J2:J29"/>
    </sheetView>
  </sheetViews>
  <sheetFormatPr defaultColWidth="10.73046875" defaultRowHeight="13.9" x14ac:dyDescent="0.4"/>
  <cols>
    <col min="1" max="1" width="28.59765625" style="4" customWidth="1"/>
    <col min="2" max="2" width="12.3984375" style="4" customWidth="1"/>
    <col min="3" max="3" width="13.265625" style="4" customWidth="1"/>
    <col min="4" max="4" width="5.86328125" style="4" customWidth="1"/>
    <col min="5" max="5" width="11.3984375" style="6" customWidth="1"/>
    <col min="6" max="6" width="9.73046875" style="6" customWidth="1"/>
    <col min="7" max="7" width="8" style="6" customWidth="1"/>
    <col min="8" max="8" width="9.265625" style="6" customWidth="1"/>
    <col min="9" max="9" width="6.59765625" style="6" customWidth="1"/>
    <col min="10" max="10" width="7.86328125" style="6" customWidth="1"/>
    <col min="11" max="11" width="6.73046875" style="6" customWidth="1"/>
    <col min="12" max="12" width="3.86328125" style="4" customWidth="1"/>
    <col min="13" max="20" width="11.3984375" style="4" customWidth="1"/>
  </cols>
  <sheetData>
    <row r="1" spans="1:59" ht="14.1" customHeight="1" thickBot="1" x14ac:dyDescent="0.45">
      <c r="A1" s="8" t="s">
        <v>14</v>
      </c>
      <c r="B1" s="9"/>
      <c r="C1" s="10"/>
      <c r="D1" s="6"/>
      <c r="BD1" s="1"/>
    </row>
    <row r="2" spans="1:59" ht="14.1" customHeight="1" thickBot="1" x14ac:dyDescent="0.45">
      <c r="A2" s="6" t="s">
        <v>0</v>
      </c>
      <c r="B2" s="6"/>
      <c r="C2" s="6"/>
      <c r="D2" s="6"/>
      <c r="E2" s="38" t="s">
        <v>15</v>
      </c>
      <c r="F2" s="39" t="s">
        <v>4</v>
      </c>
      <c r="G2" s="39" t="s">
        <v>5</v>
      </c>
      <c r="H2" s="39" t="s">
        <v>7</v>
      </c>
      <c r="I2" s="39" t="s">
        <v>8</v>
      </c>
      <c r="J2" s="39" t="s">
        <v>12</v>
      </c>
      <c r="K2" s="40" t="s">
        <v>13</v>
      </c>
      <c r="BD2" s="2"/>
      <c r="BE2" s="2"/>
      <c r="BF2" s="2"/>
    </row>
    <row r="3" spans="1:59" ht="14.1" customHeight="1" x14ac:dyDescent="0.4">
      <c r="A3" s="32" t="s">
        <v>16</v>
      </c>
      <c r="B3" s="33" t="s">
        <v>23</v>
      </c>
      <c r="C3" s="34"/>
      <c r="D3" s="6"/>
      <c r="E3" s="26">
        <v>0</v>
      </c>
      <c r="F3" s="27">
        <f>(Theta*Beta0_0)/Beta1+m_0-(Psi+Theta/Beta1)*ypot_0</f>
        <v>0.99999999999998579</v>
      </c>
      <c r="G3" s="27">
        <f>ypot_0</f>
        <v>2000</v>
      </c>
      <c r="H3" s="27">
        <f>Beta0_0-Beta1*(I3-J3)</f>
        <v>2000.0000000000014</v>
      </c>
      <c r="I3" s="27">
        <f>-1/Theta*(m_0-F3-Psi*G3)</f>
        <v>1.9999999999999716</v>
      </c>
      <c r="J3" s="27">
        <f>Mi*(G3-ypot_0)</f>
        <v>0</v>
      </c>
      <c r="K3" s="28">
        <f t="shared" ref="K3:K16" si="0">Ni*(H3-G3)</f>
        <v>2.7284841053187851E-13</v>
      </c>
    </row>
    <row r="4" spans="1:59" ht="14.1" customHeight="1" x14ac:dyDescent="0.4">
      <c r="A4" s="11" t="s">
        <v>17</v>
      </c>
      <c r="B4" s="12" t="s">
        <v>21</v>
      </c>
      <c r="C4" s="13"/>
      <c r="D4" s="6"/>
      <c r="E4" s="26">
        <v>1</v>
      </c>
      <c r="F4" s="27">
        <f t="shared" ref="F4:F16" si="1">F3+J3</f>
        <v>0.99999999999998579</v>
      </c>
      <c r="G4" s="27">
        <f>G3+K3</f>
        <v>2000.0000000000002</v>
      </c>
      <c r="H4" s="27">
        <f t="shared" ref="H4:H16" si="2">Beta0_1-Beta1*(I4-J4)</f>
        <v>2500</v>
      </c>
      <c r="I4" s="27">
        <f t="shared" ref="I4:I33" si="3">-1/Theta*(m_1-F4-Psi*G4)</f>
        <v>-8</v>
      </c>
      <c r="J4" s="27">
        <f t="shared" ref="J4:J33" si="4">Mi*(G4-ypot_1)</f>
        <v>2.2737367544323206E-15</v>
      </c>
      <c r="K4" s="28">
        <f t="shared" si="0"/>
        <v>99.999999999999957</v>
      </c>
    </row>
    <row r="5" spans="1:59" ht="14.1" customHeight="1" x14ac:dyDescent="0.4">
      <c r="A5" s="11" t="s">
        <v>18</v>
      </c>
      <c r="B5" s="12" t="s">
        <v>22</v>
      </c>
      <c r="C5" s="13"/>
      <c r="D5" s="6"/>
      <c r="E5" s="26">
        <v>2</v>
      </c>
      <c r="F5" s="27">
        <f t="shared" si="1"/>
        <v>0.99999999999998801</v>
      </c>
      <c r="G5" s="27">
        <f t="shared" ref="G5:G16" si="5">G4+K4</f>
        <v>2100</v>
      </c>
      <c r="H5" s="27">
        <f t="shared" si="2"/>
        <v>2050.0000000000014</v>
      </c>
      <c r="I5" s="27">
        <f t="shared" si="3"/>
        <v>1.9999999999999716</v>
      </c>
      <c r="J5" s="27">
        <f t="shared" si="4"/>
        <v>1</v>
      </c>
      <c r="K5" s="28">
        <f t="shared" si="0"/>
        <v>-9.9999999999997282</v>
      </c>
    </row>
    <row r="6" spans="1:59" ht="14.1" customHeight="1" x14ac:dyDescent="0.4">
      <c r="A6" s="11" t="s">
        <v>19</v>
      </c>
      <c r="B6" s="12"/>
      <c r="C6" s="13"/>
      <c r="D6" s="6"/>
      <c r="E6" s="26">
        <f>E5+1</f>
        <v>3</v>
      </c>
      <c r="F6" s="27">
        <f t="shared" si="1"/>
        <v>1.999999999999988</v>
      </c>
      <c r="G6" s="27">
        <f t="shared" si="5"/>
        <v>2090.0000000000005</v>
      </c>
      <c r="H6" s="27">
        <f t="shared" si="2"/>
        <v>1994.9999999999989</v>
      </c>
      <c r="I6" s="27">
        <f t="shared" si="3"/>
        <v>3.0000000000000284</v>
      </c>
      <c r="J6" s="27">
        <f t="shared" si="4"/>
        <v>0.90000000000000457</v>
      </c>
      <c r="K6" s="28">
        <f t="shared" si="0"/>
        <v>-19.00000000000032</v>
      </c>
    </row>
    <row r="7" spans="1:59" ht="14.1" customHeight="1" thickBot="1" x14ac:dyDescent="0.45">
      <c r="A7" s="14" t="s">
        <v>20</v>
      </c>
      <c r="B7" s="15"/>
      <c r="C7" s="16"/>
      <c r="D7" s="6"/>
      <c r="E7" s="26">
        <f t="shared" ref="E7:E33" si="6">E6+1</f>
        <v>4</v>
      </c>
      <c r="F7" s="27">
        <f t="shared" si="1"/>
        <v>2.8999999999999924</v>
      </c>
      <c r="G7" s="27">
        <f t="shared" si="5"/>
        <v>2071</v>
      </c>
      <c r="H7" s="27">
        <f t="shared" si="2"/>
        <v>1990.4999999999998</v>
      </c>
      <c r="I7" s="27">
        <f t="shared" si="3"/>
        <v>2.9000000000000057</v>
      </c>
      <c r="J7" s="27">
        <f t="shared" si="4"/>
        <v>0.71</v>
      </c>
      <c r="K7" s="28">
        <f t="shared" si="0"/>
        <v>-16.100000000000048</v>
      </c>
    </row>
    <row r="8" spans="1:59" ht="14.1" customHeight="1" thickBot="1" x14ac:dyDescent="0.45">
      <c r="A8" s="6"/>
      <c r="B8" s="6"/>
      <c r="C8" s="6"/>
      <c r="D8" s="6"/>
      <c r="E8" s="26">
        <f t="shared" si="6"/>
        <v>5</v>
      </c>
      <c r="F8" s="27">
        <f t="shared" si="1"/>
        <v>3.6099999999999923</v>
      </c>
      <c r="G8" s="27">
        <f t="shared" si="5"/>
        <v>2054.9</v>
      </c>
      <c r="H8" s="27">
        <f t="shared" si="2"/>
        <v>1991.9500000000012</v>
      </c>
      <c r="I8" s="27">
        <f t="shared" si="3"/>
        <v>2.7099999999999795</v>
      </c>
      <c r="J8" s="27">
        <f t="shared" si="4"/>
        <v>0.54900000000000093</v>
      </c>
      <c r="K8" s="28">
        <f t="shared" si="0"/>
        <v>-12.589999999999783</v>
      </c>
      <c r="BG8" s="3"/>
    </row>
    <row r="9" spans="1:59" ht="14.1" customHeight="1" x14ac:dyDescent="0.4">
      <c r="A9" s="32" t="s">
        <v>24</v>
      </c>
      <c r="B9" s="34"/>
      <c r="C9" s="6"/>
      <c r="D9" s="6"/>
      <c r="E9" s="26">
        <f t="shared" si="6"/>
        <v>6</v>
      </c>
      <c r="F9" s="27">
        <f t="shared" si="1"/>
        <v>4.1589999999999936</v>
      </c>
      <c r="G9" s="27">
        <f t="shared" si="5"/>
        <v>2042.3100000000004</v>
      </c>
      <c r="H9" s="27">
        <f t="shared" si="2"/>
        <v>1993.7049999999986</v>
      </c>
      <c r="I9" s="27">
        <f t="shared" si="3"/>
        <v>2.549000000000035</v>
      </c>
      <c r="J9" s="27">
        <f t="shared" si="4"/>
        <v>0.42310000000000403</v>
      </c>
      <c r="K9" s="28">
        <f t="shared" si="0"/>
        <v>-9.7210000000003678</v>
      </c>
    </row>
    <row r="10" spans="1:59" ht="14.1" customHeight="1" x14ac:dyDescent="0.4">
      <c r="A10" s="11" t="s">
        <v>1</v>
      </c>
      <c r="B10" s="13">
        <v>0.05</v>
      </c>
      <c r="C10" s="6"/>
      <c r="D10" s="6"/>
      <c r="E10" s="26">
        <f t="shared" si="6"/>
        <v>7</v>
      </c>
      <c r="F10" s="27">
        <f t="shared" si="1"/>
        <v>4.5820999999999978</v>
      </c>
      <c r="G10" s="27">
        <f t="shared" si="5"/>
        <v>2032.5889999999999</v>
      </c>
      <c r="H10" s="27">
        <f t="shared" si="2"/>
        <v>1995.1394999999998</v>
      </c>
      <c r="I10" s="27">
        <f t="shared" si="3"/>
        <v>2.4231000000000051</v>
      </c>
      <c r="J10" s="27">
        <f t="shared" si="4"/>
        <v>0.3258899999999994</v>
      </c>
      <c r="K10" s="28">
        <f t="shared" si="0"/>
        <v>-7.4899000000000342</v>
      </c>
    </row>
    <row r="11" spans="1:59" ht="14.1" customHeight="1" x14ac:dyDescent="0.4">
      <c r="A11" s="11" t="s">
        <v>2</v>
      </c>
      <c r="B11" s="13">
        <v>0.5</v>
      </c>
      <c r="C11" s="6"/>
      <c r="D11" s="6"/>
      <c r="E11" s="26">
        <f t="shared" si="6"/>
        <v>8</v>
      </c>
      <c r="F11" s="27">
        <f t="shared" si="1"/>
        <v>4.9079899999999972</v>
      </c>
      <c r="G11" s="27">
        <f t="shared" si="5"/>
        <v>2025.0990999999999</v>
      </c>
      <c r="H11" s="27">
        <f t="shared" si="2"/>
        <v>1996.2550500000007</v>
      </c>
      <c r="I11" s="27">
        <f t="shared" si="3"/>
        <v>2.3258899999999869</v>
      </c>
      <c r="J11" s="27">
        <f t="shared" si="4"/>
        <v>0.25099099999999908</v>
      </c>
      <c r="K11" s="28">
        <f t="shared" si="0"/>
        <v>-5.7688099999998492</v>
      </c>
    </row>
    <row r="12" spans="1:59" ht="14.1" customHeight="1" x14ac:dyDescent="0.4">
      <c r="A12" s="11" t="s">
        <v>3</v>
      </c>
      <c r="B12" s="13">
        <v>50</v>
      </c>
      <c r="C12" s="6" t="s">
        <v>0</v>
      </c>
      <c r="D12" s="6"/>
      <c r="E12" s="26">
        <f t="shared" si="6"/>
        <v>9</v>
      </c>
      <c r="F12" s="27">
        <f t="shared" si="1"/>
        <v>5.1589809999999963</v>
      </c>
      <c r="G12" s="27">
        <f t="shared" si="5"/>
        <v>2019.3302900000001</v>
      </c>
      <c r="H12" s="27">
        <f t="shared" si="2"/>
        <v>1997.1155949999986</v>
      </c>
      <c r="I12" s="27">
        <f t="shared" si="3"/>
        <v>2.2509910000000275</v>
      </c>
      <c r="J12" s="27">
        <f t="shared" si="4"/>
        <v>0.19330290000000105</v>
      </c>
      <c r="K12" s="28">
        <f t="shared" si="0"/>
        <v>-4.4429390000002966</v>
      </c>
    </row>
    <row r="13" spans="1:59" ht="14.1" customHeight="1" x14ac:dyDescent="0.4">
      <c r="A13" s="11" t="s">
        <v>9</v>
      </c>
      <c r="B13" s="13">
        <v>0.01</v>
      </c>
      <c r="C13" s="6"/>
      <c r="D13" s="6"/>
      <c r="E13" s="26">
        <f t="shared" si="6"/>
        <v>10</v>
      </c>
      <c r="F13" s="27">
        <f t="shared" si="1"/>
        <v>5.3522838999999971</v>
      </c>
      <c r="G13" s="27">
        <f t="shared" si="5"/>
        <v>2014.8873509999999</v>
      </c>
      <c r="H13" s="27">
        <f t="shared" si="2"/>
        <v>1997.7785305000004</v>
      </c>
      <c r="I13" s="27">
        <f t="shared" si="3"/>
        <v>2.193302899999992</v>
      </c>
      <c r="J13" s="27">
        <f t="shared" si="4"/>
        <v>0.14887350999999854</v>
      </c>
      <c r="K13" s="28">
        <f t="shared" si="0"/>
        <v>-3.4217640999998822</v>
      </c>
      <c r="M13" s="4" t="s">
        <v>0</v>
      </c>
    </row>
    <row r="14" spans="1:59" ht="14.1" customHeight="1" thickBot="1" x14ac:dyDescent="0.45">
      <c r="A14" s="14" t="s">
        <v>6</v>
      </c>
      <c r="B14" s="16">
        <v>0.2</v>
      </c>
      <c r="C14" s="6"/>
      <c r="D14" s="6"/>
      <c r="E14" s="26">
        <f t="shared" si="6"/>
        <v>11</v>
      </c>
      <c r="F14" s="27">
        <f t="shared" si="1"/>
        <v>5.5011574099999958</v>
      </c>
      <c r="G14" s="27">
        <f t="shared" si="5"/>
        <v>2011.4655869000001</v>
      </c>
      <c r="H14" s="27">
        <f t="shared" si="2"/>
        <v>1998.2891179500007</v>
      </c>
      <c r="I14" s="27">
        <f t="shared" si="3"/>
        <v>2.1488735099999872</v>
      </c>
      <c r="J14" s="27">
        <f t="shared" si="4"/>
        <v>0.11465586900000062</v>
      </c>
      <c r="K14" s="28">
        <f t="shared" si="0"/>
        <v>-2.6352937899998778</v>
      </c>
    </row>
    <row r="15" spans="1:59" ht="14.1" customHeight="1" thickBot="1" x14ac:dyDescent="0.45">
      <c r="A15" s="6"/>
      <c r="B15" s="6"/>
      <c r="C15" s="7" t="s">
        <v>0</v>
      </c>
      <c r="D15" s="6"/>
      <c r="E15" s="26">
        <f t="shared" si="6"/>
        <v>12</v>
      </c>
      <c r="F15" s="27">
        <f t="shared" si="1"/>
        <v>5.6158132789999966</v>
      </c>
      <c r="G15" s="27">
        <f t="shared" si="5"/>
        <v>2008.8302931100002</v>
      </c>
      <c r="H15" s="27">
        <f t="shared" si="2"/>
        <v>1998.6823531049993</v>
      </c>
      <c r="I15" s="27">
        <f t="shared" si="3"/>
        <v>2.1146558690000177</v>
      </c>
      <c r="J15" s="27">
        <f t="shared" si="4"/>
        <v>8.8302931100001841E-2</v>
      </c>
      <c r="K15" s="28">
        <f t="shared" si="0"/>
        <v>-2.0295880010001839</v>
      </c>
    </row>
    <row r="16" spans="1:59" ht="14.1" customHeight="1" x14ac:dyDescent="0.4">
      <c r="A16" s="32" t="s">
        <v>25</v>
      </c>
      <c r="B16" s="35" t="s">
        <v>26</v>
      </c>
      <c r="C16" s="37" t="s">
        <v>27</v>
      </c>
      <c r="D16" s="6"/>
      <c r="E16" s="26">
        <f t="shared" si="6"/>
        <v>13</v>
      </c>
      <c r="F16" s="27">
        <f t="shared" si="1"/>
        <v>5.7041162100999987</v>
      </c>
      <c r="G16" s="27">
        <f t="shared" si="5"/>
        <v>2006.8007051090001</v>
      </c>
      <c r="H16" s="27">
        <f t="shared" si="2"/>
        <v>1998.9852059994998</v>
      </c>
      <c r="I16" s="27">
        <f t="shared" si="3"/>
        <v>2.088302931100003</v>
      </c>
      <c r="J16" s="27">
        <f t="shared" si="4"/>
        <v>6.8007051090000922E-2</v>
      </c>
      <c r="K16" s="28">
        <f t="shared" si="0"/>
        <v>-1.5630998219000505</v>
      </c>
    </row>
    <row r="17" spans="1:11" ht="14.1" customHeight="1" x14ac:dyDescent="0.4">
      <c r="A17" s="11" t="s">
        <v>28</v>
      </c>
      <c r="B17" s="12">
        <v>100</v>
      </c>
      <c r="C17" s="13">
        <v>105</v>
      </c>
      <c r="D17" s="6"/>
      <c r="E17" s="26">
        <f t="shared" si="6"/>
        <v>14</v>
      </c>
      <c r="F17" s="27">
        <f t="shared" ref="F17:F33" si="7">F16+J16</f>
        <v>5.77212326119</v>
      </c>
      <c r="G17" s="27">
        <f t="shared" ref="G17:G33" si="8">G16+K16</f>
        <v>2005.2376052871</v>
      </c>
      <c r="H17" s="27">
        <f t="shared" ref="H17:H33" si="9">Beta0_1-Beta1*(I17-J17)</f>
        <v>1999.2184500890496</v>
      </c>
      <c r="I17" s="27">
        <f t="shared" si="3"/>
        <v>2.0680070510900066</v>
      </c>
      <c r="J17" s="27">
        <f t="shared" si="4"/>
        <v>5.2376052870999959E-2</v>
      </c>
      <c r="K17" s="28">
        <f t="shared" ref="K17:K33" si="10">Ni*(H17-G17)</f>
        <v>-1.2038310396100771</v>
      </c>
    </row>
    <row r="18" spans="1:11" ht="14.1" customHeight="1" x14ac:dyDescent="0.4">
      <c r="A18" s="11" t="s">
        <v>29</v>
      </c>
      <c r="B18" s="12">
        <v>2100</v>
      </c>
      <c r="C18" s="13">
        <v>2100</v>
      </c>
      <c r="D18" s="6"/>
      <c r="E18" s="26">
        <f t="shared" si="6"/>
        <v>15</v>
      </c>
      <c r="F18" s="27">
        <f t="shared" si="7"/>
        <v>5.8244993140609997</v>
      </c>
      <c r="G18" s="27">
        <f t="shared" si="8"/>
        <v>2004.0337742474899</v>
      </c>
      <c r="H18" s="27">
        <f t="shared" si="9"/>
        <v>1999.3980844801943</v>
      </c>
      <c r="I18" s="27">
        <f t="shared" si="3"/>
        <v>2.0523760528710113</v>
      </c>
      <c r="J18" s="27">
        <f t="shared" si="4"/>
        <v>4.0337742474898734E-2</v>
      </c>
      <c r="K18" s="28">
        <f t="shared" si="10"/>
        <v>-0.92713795345912331</v>
      </c>
    </row>
    <row r="19" spans="1:11" ht="14.1" customHeight="1" thickBot="1" x14ac:dyDescent="0.45">
      <c r="A19" s="14" t="s">
        <v>41</v>
      </c>
      <c r="B19" s="15">
        <v>2000</v>
      </c>
      <c r="C19" s="16">
        <v>2000</v>
      </c>
      <c r="D19" s="6"/>
      <c r="E19" s="26">
        <f t="shared" si="6"/>
        <v>16</v>
      </c>
      <c r="F19" s="27">
        <f t="shared" si="7"/>
        <v>5.8648370565358983</v>
      </c>
      <c r="G19" s="27">
        <f t="shared" si="8"/>
        <v>2003.1066362940307</v>
      </c>
      <c r="H19" s="27">
        <f t="shared" si="9"/>
        <v>1999.5364310232708</v>
      </c>
      <c r="I19" s="27">
        <f t="shared" si="3"/>
        <v>2.0403377424748896</v>
      </c>
      <c r="J19" s="27">
        <f t="shared" si="4"/>
        <v>3.1066362940307499E-2</v>
      </c>
      <c r="K19" s="28">
        <f t="shared" si="10"/>
        <v>-0.71404105415199415</v>
      </c>
    </row>
    <row r="20" spans="1:11" ht="14.1" customHeight="1" thickBot="1" x14ac:dyDescent="0.45">
      <c r="A20" s="6"/>
      <c r="B20" s="6"/>
      <c r="C20" s="6"/>
      <c r="D20" s="6"/>
      <c r="E20" s="26">
        <f t="shared" si="6"/>
        <v>17</v>
      </c>
      <c r="F20" s="27">
        <f t="shared" si="7"/>
        <v>5.8959034194762054</v>
      </c>
      <c r="G20" s="27">
        <f t="shared" si="8"/>
        <v>2002.3925952398788</v>
      </c>
      <c r="H20" s="27">
        <f t="shared" si="9"/>
        <v>1999.6429794729233</v>
      </c>
      <c r="I20" s="27">
        <f t="shared" si="3"/>
        <v>2.0310663629403223</v>
      </c>
      <c r="J20" s="27">
        <f t="shared" si="4"/>
        <v>2.3925952398788013E-2</v>
      </c>
      <c r="K20" s="28">
        <f t="shared" si="10"/>
        <v>-0.54992315339109155</v>
      </c>
    </row>
    <row r="21" spans="1:11" ht="14.1" customHeight="1" x14ac:dyDescent="0.4">
      <c r="A21" s="32" t="s">
        <v>30</v>
      </c>
      <c r="B21" s="36" t="s">
        <v>31</v>
      </c>
      <c r="C21" s="37" t="s">
        <v>32</v>
      </c>
      <c r="D21" s="6"/>
      <c r="E21" s="26">
        <f t="shared" si="6"/>
        <v>18</v>
      </c>
      <c r="F21" s="27">
        <f t="shared" si="7"/>
        <v>5.919829371874993</v>
      </c>
      <c r="G21" s="27">
        <f t="shared" si="8"/>
        <v>2001.8426720864877</v>
      </c>
      <c r="H21" s="27">
        <f t="shared" si="9"/>
        <v>1999.7250384233053</v>
      </c>
      <c r="I21" s="27">
        <f t="shared" si="3"/>
        <v>2.0239259523987698</v>
      </c>
      <c r="J21" s="27">
        <f t="shared" si="4"/>
        <v>1.8426720864877098E-2</v>
      </c>
      <c r="K21" s="28">
        <f t="shared" si="10"/>
        <v>-0.42352673263649199</v>
      </c>
    </row>
    <row r="22" spans="1:11" ht="14.1" customHeight="1" x14ac:dyDescent="0.4">
      <c r="A22" s="11" t="s">
        <v>33</v>
      </c>
      <c r="B22" s="17">
        <f>(Theta*Beta0_0)/Beta1+m_0-(Psi+Theta/Beta1)*ybar0</f>
        <v>0.99999999999998579</v>
      </c>
      <c r="C22" s="18">
        <f>(Theta*Beta0_1)/Beta1+m_1-(Psi+Theta/Beta1)*ybar1</f>
        <v>5.9999999999999858</v>
      </c>
      <c r="D22" s="6"/>
      <c r="E22" s="26">
        <f t="shared" si="6"/>
        <v>19</v>
      </c>
      <c r="F22" s="27">
        <f t="shared" si="7"/>
        <v>5.93825609273987</v>
      </c>
      <c r="G22" s="27">
        <f t="shared" si="8"/>
        <v>2001.4191453538513</v>
      </c>
      <c r="H22" s="27">
        <f t="shared" si="9"/>
        <v>1999.788236633683</v>
      </c>
      <c r="I22" s="27">
        <f t="shared" si="3"/>
        <v>2.0184267208648521</v>
      </c>
      <c r="J22" s="27">
        <f t="shared" si="4"/>
        <v>1.4191453538512633E-2</v>
      </c>
      <c r="K22" s="28">
        <f t="shared" si="10"/>
        <v>-0.32618174403364719</v>
      </c>
    </row>
    <row r="23" spans="1:11" ht="14.1" customHeight="1" thickBot="1" x14ac:dyDescent="0.45">
      <c r="A23" s="14" t="s">
        <v>34</v>
      </c>
      <c r="B23" s="19">
        <f>ypot0</f>
        <v>2000</v>
      </c>
      <c r="C23" s="16">
        <f>ypot1</f>
        <v>2000</v>
      </c>
      <c r="D23" s="6"/>
      <c r="E23" s="26">
        <f t="shared" si="6"/>
        <v>20</v>
      </c>
      <c r="F23" s="27">
        <f t="shared" si="7"/>
        <v>5.9524475462783828</v>
      </c>
      <c r="G23" s="27">
        <f t="shared" si="8"/>
        <v>2001.0929636098176</v>
      </c>
      <c r="H23" s="27">
        <f t="shared" si="9"/>
        <v>1999.8369091279824</v>
      </c>
      <c r="I23" s="27">
        <f t="shared" si="3"/>
        <v>2.0141914535385297</v>
      </c>
      <c r="J23" s="27">
        <f t="shared" si="4"/>
        <v>1.0929636098176161E-2</v>
      </c>
      <c r="K23" s="28">
        <f t="shared" si="10"/>
        <v>-0.25121089636704713</v>
      </c>
    </row>
    <row r="24" spans="1:11" ht="14.1" customHeight="1" thickBot="1" x14ac:dyDescent="0.45">
      <c r="A24" s="6"/>
      <c r="B24" s="6"/>
      <c r="C24" s="6"/>
      <c r="D24" s="6"/>
      <c r="E24" s="26">
        <f t="shared" si="6"/>
        <v>21</v>
      </c>
      <c r="F24" s="27">
        <f t="shared" si="7"/>
        <v>5.9633771823765587</v>
      </c>
      <c r="G24" s="27">
        <f t="shared" si="8"/>
        <v>2000.8417527134507</v>
      </c>
      <c r="H24" s="27">
        <f t="shared" si="9"/>
        <v>1999.8743945518147</v>
      </c>
      <c r="I24" s="27">
        <f t="shared" si="3"/>
        <v>2.0109296360982114</v>
      </c>
      <c r="J24" s="27">
        <f t="shared" si="4"/>
        <v>8.4175271345065996E-3</v>
      </c>
      <c r="K24" s="28">
        <f t="shared" si="10"/>
        <v>-0.19347163232719142</v>
      </c>
    </row>
    <row r="25" spans="1:11" ht="14.1" customHeight="1" x14ac:dyDescent="0.4">
      <c r="A25" s="32" t="s">
        <v>35</v>
      </c>
      <c r="B25" s="36" t="s">
        <v>36</v>
      </c>
      <c r="C25" s="37" t="s">
        <v>37</v>
      </c>
      <c r="D25" s="6"/>
      <c r="E25" s="26">
        <f t="shared" si="6"/>
        <v>22</v>
      </c>
      <c r="F25" s="27">
        <f t="shared" si="7"/>
        <v>5.9717947095110651</v>
      </c>
      <c r="G25" s="27">
        <f t="shared" si="8"/>
        <v>2000.6482810811235</v>
      </c>
      <c r="H25" s="27">
        <f t="shared" si="9"/>
        <v>1999.9032641838382</v>
      </c>
      <c r="I25" s="27">
        <f t="shared" si="3"/>
        <v>2.0084175271344691</v>
      </c>
      <c r="J25" s="27">
        <f t="shared" si="4"/>
        <v>6.4828108112351401E-3</v>
      </c>
      <c r="K25" s="28">
        <f t="shared" si="10"/>
        <v>-0.14900337945705361</v>
      </c>
    </row>
    <row r="26" spans="1:11" ht="14.1" customHeight="1" x14ac:dyDescent="0.55000000000000004">
      <c r="A26" s="11" t="s">
        <v>10</v>
      </c>
      <c r="B26" s="20">
        <f>IF((Ni*(Beta1*Mi-((Beta1*Psi)/Theta)-1))^2-4*(Ni*Beta1*Mi)/Theta&gt;0,(Ni*(Beta1*Mi-((Beta1*Psi)/Theta)-1)+SQRT((Ni*(Beta1*Mi-((Beta1*Psi)/Theta)-1))^2-4*(Ni*Beta1*Mi)/Theta))/2,((Ni*(Beta1*Mi-((Beta1*Psi)/Theta)-1))/2))</f>
        <v>-0.22984378812835754</v>
      </c>
      <c r="C26" s="21">
        <f>IF((Ni*((Beta1*Mi-(Beta1*Psi)/Theta)-1)^2-4*(Ni*Beta1*Mi)/Theta)&gt;0, 0, +SQRT(-(Ni*((Beta1*Mi-(Beta1*Psi)/Theta)-1)^2-4*(Ni*Beta1*Mi)/Theta))/2)</f>
        <v>0</v>
      </c>
      <c r="D26" s="6"/>
      <c r="E26" s="26">
        <f t="shared" si="6"/>
        <v>23</v>
      </c>
      <c r="F26" s="27">
        <f t="shared" si="7"/>
        <v>5.9782775203223002</v>
      </c>
      <c r="G26" s="27">
        <f t="shared" si="8"/>
        <v>2000.4992777016664</v>
      </c>
      <c r="H26" s="27">
        <f t="shared" si="9"/>
        <v>1999.9254983102715</v>
      </c>
      <c r="I26" s="27">
        <f t="shared" si="3"/>
        <v>2.0064828108112351</v>
      </c>
      <c r="J26" s="27">
        <f t="shared" si="4"/>
        <v>4.9927770166641496E-3</v>
      </c>
      <c r="K26" s="28">
        <f t="shared" si="10"/>
        <v>-0.1147558782789929</v>
      </c>
    </row>
    <row r="27" spans="1:11" ht="14.1" customHeight="1" thickBot="1" x14ac:dyDescent="0.6">
      <c r="A27" s="14" t="s">
        <v>11</v>
      </c>
      <c r="B27" s="22">
        <f>IF((Ni*(Beta1*Mi-((Beta1*Psi)/Theta)-1))^2-4*(Ni*Beta1*Mi)/Theta&gt;0,(Ni*(Beta1*Mi-((Beta1*Psi)/Theta)-1)-SQRT((Ni*(Beta1*Mi-((Beta1*Psi)/Theta)-1))^2-4*(Ni*Beta1*Mi)/Theta))/2,((Ni*(Beta1*Mi-((Beta1*Psi)/Theta)-1))/2))</f>
        <v>-0.8701562118716426</v>
      </c>
      <c r="C27" s="23">
        <f>IF((Ni*((Beta1*Mi-(Beta1*Psi)/Theta)-1)^2-4*(Ni*Beta1*Mi)/Theta)&gt;0, 0, -SQRT(-(Ni*((Beta1*Mi-(Beta1*Psi)/Theta)-1)^2-4*(Ni*Beta1*Mi)/Theta))/2)</f>
        <v>0</v>
      </c>
      <c r="D27" s="6"/>
      <c r="E27" s="26">
        <f t="shared" si="6"/>
        <v>24</v>
      </c>
      <c r="F27" s="27">
        <f t="shared" si="7"/>
        <v>5.9832702973389642</v>
      </c>
      <c r="G27" s="27">
        <f t="shared" si="8"/>
        <v>2000.3845218233873</v>
      </c>
      <c r="H27" s="27">
        <f t="shared" si="9"/>
        <v>1999.9426220608602</v>
      </c>
      <c r="I27" s="27">
        <f t="shared" si="3"/>
        <v>2.0049927770166676</v>
      </c>
      <c r="J27" s="27">
        <f t="shared" si="4"/>
        <v>3.845218233873311E-3</v>
      </c>
      <c r="K27" s="28">
        <f t="shared" si="10"/>
        <v>-8.8379952505420079E-2</v>
      </c>
    </row>
    <row r="28" spans="1:11" ht="14.1" customHeight="1" thickBot="1" x14ac:dyDescent="0.45">
      <c r="A28" s="6"/>
      <c r="B28" s="6"/>
      <c r="C28" s="6"/>
      <c r="D28" s="6"/>
      <c r="E28" s="26">
        <f t="shared" si="6"/>
        <v>25</v>
      </c>
      <c r="F28" s="27">
        <f t="shared" si="7"/>
        <v>5.9871155155728379</v>
      </c>
      <c r="G28" s="27">
        <f t="shared" si="8"/>
        <v>2000.2961418708819</v>
      </c>
      <c r="H28" s="27">
        <f t="shared" si="9"/>
        <v>1999.9558100237464</v>
      </c>
      <c r="I28" s="27">
        <f t="shared" si="3"/>
        <v>2.0038452182338915</v>
      </c>
      <c r="J28" s="27">
        <f t="shared" si="4"/>
        <v>2.9614187088191101E-3</v>
      </c>
      <c r="K28" s="28">
        <f t="shared" si="10"/>
        <v>-6.8066369427106116E-2</v>
      </c>
    </row>
    <row r="29" spans="1:11" ht="14.1" customHeight="1" x14ac:dyDescent="0.4">
      <c r="A29" s="32" t="s">
        <v>38</v>
      </c>
      <c r="B29" s="34"/>
      <c r="C29" s="6"/>
      <c r="D29" s="6"/>
      <c r="E29" s="26">
        <f t="shared" si="6"/>
        <v>26</v>
      </c>
      <c r="F29" s="27">
        <f t="shared" si="7"/>
        <v>5.9900769342816567</v>
      </c>
      <c r="G29" s="27">
        <f t="shared" si="8"/>
        <v>2000.2280755014549</v>
      </c>
      <c r="H29" s="27">
        <f t="shared" si="9"/>
        <v>1999.9659668152863</v>
      </c>
      <c r="I29" s="27">
        <f t="shared" si="3"/>
        <v>2.0029614187088214</v>
      </c>
      <c r="J29" s="27">
        <f t="shared" si="4"/>
        <v>2.2807550145489586E-3</v>
      </c>
      <c r="K29" s="28">
        <f t="shared" si="10"/>
        <v>-5.2421737233726166E-2</v>
      </c>
    </row>
    <row r="30" spans="1:11" ht="14.1" customHeight="1" x14ac:dyDescent="0.55000000000000004">
      <c r="A30" s="11" t="s">
        <v>39</v>
      </c>
      <c r="B30" s="24">
        <f>IF(C26=0,ABS(1+B26),SQRT((1+B26)^2+C26^2))</f>
        <v>0.77015621187164252</v>
      </c>
      <c r="C30" s="6"/>
      <c r="D30" s="6"/>
      <c r="E30" s="26">
        <f t="shared" si="6"/>
        <v>27</v>
      </c>
      <c r="F30" s="27">
        <f t="shared" si="7"/>
        <v>5.992357689296206</v>
      </c>
      <c r="G30" s="27">
        <f t="shared" si="8"/>
        <v>2000.1756537642211</v>
      </c>
      <c r="H30" s="27">
        <f t="shared" si="9"/>
        <v>1999.973789131385</v>
      </c>
      <c r="I30" s="27">
        <f t="shared" si="3"/>
        <v>2.0022807550145103</v>
      </c>
      <c r="J30" s="27">
        <f t="shared" si="4"/>
        <v>1.7565376422112422E-3</v>
      </c>
      <c r="K30" s="28">
        <f t="shared" si="10"/>
        <v>-4.0372926567215472E-2</v>
      </c>
    </row>
    <row r="31" spans="1:11" ht="14.1" customHeight="1" thickBot="1" x14ac:dyDescent="0.6">
      <c r="A31" s="14" t="s">
        <v>40</v>
      </c>
      <c r="B31" s="25">
        <f>IF(B27=0,ABS(1+B27),SQRT((1+B27)^2+C27^2))</f>
        <v>0.1298437881283574</v>
      </c>
      <c r="C31" s="6"/>
      <c r="D31" s="6"/>
      <c r="E31" s="26">
        <f t="shared" si="6"/>
        <v>28</v>
      </c>
      <c r="F31" s="27">
        <f t="shared" si="7"/>
        <v>5.9941142269384171</v>
      </c>
      <c r="G31" s="27">
        <f t="shared" si="8"/>
        <v>2000.1352808376539</v>
      </c>
      <c r="H31" s="27">
        <f t="shared" si="9"/>
        <v>1999.9798135367143</v>
      </c>
      <c r="I31" s="27">
        <f t="shared" si="3"/>
        <v>2.001756537642251</v>
      </c>
      <c r="J31" s="27">
        <f t="shared" si="4"/>
        <v>1.3528083765390875E-3</v>
      </c>
      <c r="K31" s="28">
        <f t="shared" si="10"/>
        <v>-3.1093460187912571E-2</v>
      </c>
    </row>
    <row r="32" spans="1:11" ht="14.1" customHeight="1" x14ac:dyDescent="0.4">
      <c r="A32" s="6"/>
      <c r="B32" s="6"/>
      <c r="C32" s="6"/>
      <c r="D32" s="6"/>
      <c r="E32" s="26">
        <f t="shared" si="6"/>
        <v>29</v>
      </c>
      <c r="F32" s="27">
        <f t="shared" si="7"/>
        <v>5.995467035314956</v>
      </c>
      <c r="G32" s="27">
        <f t="shared" si="8"/>
        <v>2000.1041873774659</v>
      </c>
      <c r="H32" s="27">
        <f t="shared" si="9"/>
        <v>1999.9844532699076</v>
      </c>
      <c r="I32" s="27">
        <f t="shared" si="3"/>
        <v>2.0013528083765095</v>
      </c>
      <c r="J32" s="27">
        <f t="shared" si="4"/>
        <v>1.0418737746590522E-3</v>
      </c>
      <c r="K32" s="28">
        <f t="shared" si="10"/>
        <v>-2.3946821511663077E-2</v>
      </c>
    </row>
    <row r="33" spans="1:11" ht="14.1" customHeight="1" thickBot="1" x14ac:dyDescent="0.45">
      <c r="A33" s="6"/>
      <c r="B33" s="6"/>
      <c r="C33" s="6"/>
      <c r="D33" s="6"/>
      <c r="E33" s="29">
        <f t="shared" si="6"/>
        <v>30</v>
      </c>
      <c r="F33" s="30">
        <f t="shared" si="7"/>
        <v>5.9965089090896146</v>
      </c>
      <c r="G33" s="30">
        <f t="shared" si="8"/>
        <v>2000.0802405559543</v>
      </c>
      <c r="H33" s="30">
        <f t="shared" si="9"/>
        <v>1999.988026589243</v>
      </c>
      <c r="I33" s="30">
        <f t="shared" si="3"/>
        <v>2.0010418737746818</v>
      </c>
      <c r="J33" s="30">
        <f t="shared" si="4"/>
        <v>8.0240555954333101E-4</v>
      </c>
      <c r="K33" s="31">
        <f t="shared" si="10"/>
        <v>-1.8442793342273944E-2</v>
      </c>
    </row>
    <row r="34" spans="1:11" ht="14.1" customHeight="1" x14ac:dyDescent="0.4">
      <c r="A34" s="6"/>
      <c r="B34" s="6"/>
      <c r="C34" s="6"/>
    </row>
    <row r="35" spans="1:11" ht="14.1" customHeight="1" x14ac:dyDescent="0.4">
      <c r="A35" s="6"/>
      <c r="B35" s="6"/>
      <c r="C35" s="6"/>
    </row>
    <row r="36" spans="1:11" ht="14.1" customHeight="1" x14ac:dyDescent="0.4">
      <c r="A36" s="6"/>
      <c r="B36" s="6"/>
      <c r="C36" s="6"/>
    </row>
    <row r="37" spans="1:11" ht="14.1" customHeight="1" x14ac:dyDescent="0.4">
      <c r="C37" s="5" t="s">
        <v>0</v>
      </c>
    </row>
    <row r="38" spans="1:11" ht="14.1" customHeight="1" x14ac:dyDescent="0.4"/>
    <row r="39" spans="1:11" ht="14.1" customHeight="1" x14ac:dyDescent="0.4"/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39"/>
  <sheetViews>
    <sheetView topLeftCell="A10" workbookViewId="0">
      <selection activeCell="K2" sqref="K2:K33"/>
    </sheetView>
  </sheetViews>
  <sheetFormatPr defaultColWidth="10.73046875" defaultRowHeight="13.9" x14ac:dyDescent="0.4"/>
  <cols>
    <col min="1" max="1" width="28.59765625" style="4" customWidth="1"/>
    <col min="2" max="2" width="12.3984375" style="4" customWidth="1"/>
    <col min="3" max="3" width="13.265625" style="4" customWidth="1"/>
    <col min="4" max="4" width="5.86328125" style="4" customWidth="1"/>
    <col min="5" max="5" width="11.3984375" style="6" customWidth="1"/>
    <col min="6" max="6" width="9.73046875" style="6" customWidth="1"/>
    <col min="7" max="7" width="8" style="6" customWidth="1"/>
    <col min="8" max="8" width="9.265625" style="6" customWidth="1"/>
    <col min="9" max="9" width="6.59765625" style="6" customWidth="1"/>
    <col min="10" max="10" width="13.73046875" style="6" customWidth="1"/>
    <col min="11" max="11" width="6.73046875" style="6" customWidth="1"/>
    <col min="12" max="12" width="8.73046875" style="4" customWidth="1"/>
    <col min="13" max="20" width="11.3984375" style="4" customWidth="1"/>
  </cols>
  <sheetData>
    <row r="1" spans="1:59" ht="14.1" customHeight="1" thickBot="1" x14ac:dyDescent="0.45">
      <c r="A1" s="8" t="s">
        <v>14</v>
      </c>
      <c r="B1" s="9"/>
      <c r="C1" s="10"/>
      <c r="D1" s="6"/>
      <c r="BD1" s="1"/>
    </row>
    <row r="2" spans="1:59" ht="14.1" customHeight="1" thickBot="1" x14ac:dyDescent="0.45">
      <c r="A2" s="6" t="s">
        <v>0</v>
      </c>
      <c r="B2" s="6"/>
      <c r="C2" s="6"/>
      <c r="D2" s="6"/>
      <c r="E2" s="38" t="s">
        <v>15</v>
      </c>
      <c r="F2" s="39" t="s">
        <v>4</v>
      </c>
      <c r="G2" s="39" t="s">
        <v>5</v>
      </c>
      <c r="H2" s="39" t="s">
        <v>7</v>
      </c>
      <c r="I2" s="39" t="s">
        <v>8</v>
      </c>
      <c r="J2" s="39" t="s">
        <v>12</v>
      </c>
      <c r="K2" s="40" t="s">
        <v>13</v>
      </c>
      <c r="L2" s="4" t="s">
        <v>42</v>
      </c>
      <c r="M2" s="41" t="s">
        <v>43</v>
      </c>
      <c r="BD2" s="2"/>
      <c r="BE2" s="2"/>
      <c r="BF2" s="2"/>
    </row>
    <row r="3" spans="1:59" ht="14.1" customHeight="1" x14ac:dyDescent="0.4">
      <c r="A3" s="32" t="s">
        <v>16</v>
      </c>
      <c r="B3" s="33" t="s">
        <v>23</v>
      </c>
      <c r="C3" s="34"/>
      <c r="D3" s="6"/>
      <c r="E3" s="26">
        <v>0</v>
      </c>
      <c r="F3" s="27">
        <f>(Theta*Beta0_0)/Beta1+m_0-(Psi+Theta/Beta1)*ypot_0</f>
        <v>0.99999999999998579</v>
      </c>
      <c r="G3" s="27">
        <f>ypot_0</f>
        <v>2000</v>
      </c>
      <c r="H3" s="27">
        <f>Beta0_0-Beta1*(I3-J3)</f>
        <v>2000</v>
      </c>
      <c r="I3" s="27">
        <f>i_0</f>
        <v>2</v>
      </c>
      <c r="J3" s="27">
        <f>Mi*(G3-ypot_0)</f>
        <v>0</v>
      </c>
      <c r="K3" s="28">
        <f t="shared" ref="K3:K33" si="0">Ni*(H3-G3)</f>
        <v>0</v>
      </c>
      <c r="L3" s="4">
        <f t="shared" ref="L3:L33" si="1">F3 +Psi * G3 - Theta * I3</f>
        <v>99.999999999999986</v>
      </c>
    </row>
    <row r="4" spans="1:59" ht="14.1" customHeight="1" x14ac:dyDescent="0.4">
      <c r="A4" s="11" t="s">
        <v>17</v>
      </c>
      <c r="B4" s="12" t="s">
        <v>21</v>
      </c>
      <c r="C4" s="13"/>
      <c r="D4" s="6"/>
      <c r="E4" s="26">
        <v>1</v>
      </c>
      <c r="F4" s="27">
        <f t="shared" ref="F4:G19" si="2">F3+J3</f>
        <v>0.99999999999998579</v>
      </c>
      <c r="G4" s="27">
        <f>G3+K3</f>
        <v>2000</v>
      </c>
      <c r="H4" s="27">
        <f t="shared" ref="H4:H33" si="3">Beta0_1-Beta1*(I4-J4)</f>
        <v>2010</v>
      </c>
      <c r="I4" s="27">
        <f>i_1</f>
        <v>1.8</v>
      </c>
      <c r="J4" s="27">
        <f t="shared" ref="J4:J33" si="4">Mi*(G4-ypot_1)</f>
        <v>0</v>
      </c>
      <c r="K4" s="28">
        <f t="shared" si="0"/>
        <v>2</v>
      </c>
      <c r="L4" s="4">
        <f t="shared" si="1"/>
        <v>100.09999999999998</v>
      </c>
      <c r="M4" s="4">
        <f>LN(L4/L3)</f>
        <v>9.9950033308342321E-4</v>
      </c>
    </row>
    <row r="5" spans="1:59" ht="14.1" customHeight="1" x14ac:dyDescent="0.4">
      <c r="A5" s="11" t="s">
        <v>18</v>
      </c>
      <c r="B5" s="12" t="s">
        <v>22</v>
      </c>
      <c r="C5" s="13"/>
      <c r="D5" s="6"/>
      <c r="E5" s="26">
        <v>2</v>
      </c>
      <c r="F5" s="27">
        <f t="shared" si="2"/>
        <v>0.99999999999998579</v>
      </c>
      <c r="G5" s="27">
        <f t="shared" si="2"/>
        <v>2002</v>
      </c>
      <c r="H5" s="27">
        <f t="shared" si="3"/>
        <v>2011</v>
      </c>
      <c r="I5" s="27">
        <f>i_1</f>
        <v>1.8</v>
      </c>
      <c r="J5" s="27">
        <f t="shared" si="4"/>
        <v>0.02</v>
      </c>
      <c r="K5" s="28">
        <f t="shared" si="0"/>
        <v>1.8</v>
      </c>
      <c r="L5" s="4">
        <f t="shared" si="1"/>
        <v>100.19999999999999</v>
      </c>
      <c r="M5" s="4">
        <f t="shared" ref="M5:M33" si="5">LN(L5/L4)</f>
        <v>9.9850232958960004E-4</v>
      </c>
    </row>
    <row r="6" spans="1:59" ht="14.1" customHeight="1" x14ac:dyDescent="0.4">
      <c r="A6" s="11" t="s">
        <v>19</v>
      </c>
      <c r="B6" s="12"/>
      <c r="C6" s="13"/>
      <c r="D6" s="6"/>
      <c r="E6" s="26">
        <f>E5+1</f>
        <v>3</v>
      </c>
      <c r="F6" s="27">
        <f t="shared" si="2"/>
        <v>1.0199999999999858</v>
      </c>
      <c r="G6" s="27">
        <f t="shared" si="2"/>
        <v>2003.8</v>
      </c>
      <c r="H6" s="27">
        <f t="shared" si="3"/>
        <v>2011.9</v>
      </c>
      <c r="I6" s="27">
        <f>i_1</f>
        <v>1.8</v>
      </c>
      <c r="J6" s="27">
        <f t="shared" si="4"/>
        <v>3.7999999999999548E-2</v>
      </c>
      <c r="K6" s="28">
        <f t="shared" si="0"/>
        <v>1.6200000000000274</v>
      </c>
      <c r="L6" s="4">
        <f t="shared" si="1"/>
        <v>100.30999999999997</v>
      </c>
      <c r="M6" s="4">
        <f t="shared" si="5"/>
        <v>1.0972022446291147E-3</v>
      </c>
    </row>
    <row r="7" spans="1:59" ht="14.1" customHeight="1" thickBot="1" x14ac:dyDescent="0.45">
      <c r="A7" s="14" t="s">
        <v>20</v>
      </c>
      <c r="B7" s="15"/>
      <c r="C7" s="16"/>
      <c r="D7" s="6"/>
      <c r="E7" s="26">
        <f t="shared" ref="E7:E33" si="6">E6+1</f>
        <v>4</v>
      </c>
      <c r="F7" s="27">
        <f t="shared" si="2"/>
        <v>1.0579999999999854</v>
      </c>
      <c r="G7" s="27">
        <f t="shared" si="2"/>
        <v>2005.42</v>
      </c>
      <c r="H7" s="27">
        <f t="shared" si="3"/>
        <v>2012.71</v>
      </c>
      <c r="I7" s="27">
        <f>i_1</f>
        <v>1.8</v>
      </c>
      <c r="J7" s="27">
        <f t="shared" si="4"/>
        <v>5.4200000000000727E-2</v>
      </c>
      <c r="K7" s="28">
        <f t="shared" si="0"/>
        <v>1.4579999999999929</v>
      </c>
      <c r="L7" s="4">
        <f t="shared" si="1"/>
        <v>100.42899999999999</v>
      </c>
      <c r="M7" s="4">
        <f t="shared" si="5"/>
        <v>1.1856192761725477E-3</v>
      </c>
    </row>
    <row r="8" spans="1:59" ht="14.1" customHeight="1" thickBot="1" x14ac:dyDescent="0.45">
      <c r="A8" s="6"/>
      <c r="B8" s="6"/>
      <c r="C8" s="6"/>
      <c r="D8" s="6"/>
      <c r="E8" s="26">
        <f t="shared" si="6"/>
        <v>5</v>
      </c>
      <c r="F8" s="27">
        <f t="shared" si="2"/>
        <v>1.1121999999999861</v>
      </c>
      <c r="G8" s="27">
        <f t="shared" si="2"/>
        <v>2006.8780000000002</v>
      </c>
      <c r="H8" s="27">
        <f t="shared" si="3"/>
        <v>2013.4390000000001</v>
      </c>
      <c r="I8" s="27">
        <f>i_1</f>
        <v>1.8</v>
      </c>
      <c r="J8" s="27">
        <f t="shared" si="4"/>
        <v>6.8780000000001562E-2</v>
      </c>
      <c r="K8" s="28">
        <f t="shared" si="0"/>
        <v>1.3121999999999845</v>
      </c>
      <c r="L8" s="4">
        <f t="shared" si="1"/>
        <v>100.5561</v>
      </c>
      <c r="M8" s="4">
        <f t="shared" si="5"/>
        <v>1.2647705421240068E-3</v>
      </c>
      <c r="BG8" s="3"/>
    </row>
    <row r="9" spans="1:59" ht="14.1" customHeight="1" x14ac:dyDescent="0.4">
      <c r="A9" s="32" t="s">
        <v>24</v>
      </c>
      <c r="B9" s="34"/>
      <c r="C9" s="6"/>
      <c r="D9" s="6"/>
      <c r="E9" s="26">
        <f t="shared" si="6"/>
        <v>6</v>
      </c>
      <c r="F9" s="27">
        <f t="shared" si="2"/>
        <v>1.1809799999999877</v>
      </c>
      <c r="G9" s="27">
        <f t="shared" si="2"/>
        <v>2008.1902000000002</v>
      </c>
      <c r="H9" s="27">
        <f t="shared" si="3"/>
        <v>2014.0951</v>
      </c>
      <c r="I9" s="27">
        <f>i_1</f>
        <v>1.8</v>
      </c>
      <c r="J9" s="27">
        <f t="shared" si="4"/>
        <v>8.190200000000232E-2</v>
      </c>
      <c r="K9" s="28">
        <f t="shared" si="0"/>
        <v>1.1809799999999542</v>
      </c>
      <c r="L9" s="4">
        <f t="shared" si="1"/>
        <v>100.69049</v>
      </c>
      <c r="M9" s="4">
        <f t="shared" si="5"/>
        <v>1.3355756236828017E-3</v>
      </c>
    </row>
    <row r="10" spans="1:59" ht="14.1" customHeight="1" x14ac:dyDescent="0.4">
      <c r="A10" s="11" t="s">
        <v>1</v>
      </c>
      <c r="B10" s="13">
        <v>0.05</v>
      </c>
      <c r="C10" s="6"/>
      <c r="D10" s="6"/>
      <c r="E10" s="26">
        <f t="shared" si="6"/>
        <v>7</v>
      </c>
      <c r="F10" s="27">
        <f t="shared" si="2"/>
        <v>1.2628819999999901</v>
      </c>
      <c r="G10" s="27">
        <f t="shared" si="2"/>
        <v>2009.3711800000001</v>
      </c>
      <c r="H10" s="27">
        <f t="shared" si="3"/>
        <v>2014.68559</v>
      </c>
      <c r="I10" s="27">
        <f>i_1</f>
        <v>1.8</v>
      </c>
      <c r="J10" s="27">
        <f t="shared" si="4"/>
        <v>9.3711800000000955E-2</v>
      </c>
      <c r="K10" s="28">
        <f t="shared" si="0"/>
        <v>1.0628819999999906</v>
      </c>
      <c r="L10" s="4">
        <f t="shared" si="1"/>
        <v>100.831441</v>
      </c>
      <c r="M10" s="4">
        <f t="shared" si="5"/>
        <v>1.3988653471636791E-3</v>
      </c>
    </row>
    <row r="11" spans="1:59" ht="14.1" customHeight="1" x14ac:dyDescent="0.4">
      <c r="A11" s="11" t="s">
        <v>2</v>
      </c>
      <c r="B11" s="13">
        <v>0.5</v>
      </c>
      <c r="C11" s="6"/>
      <c r="D11" s="6"/>
      <c r="E11" s="26">
        <f t="shared" si="6"/>
        <v>8</v>
      </c>
      <c r="F11" s="27">
        <f t="shared" si="2"/>
        <v>1.3565937999999911</v>
      </c>
      <c r="G11" s="27">
        <f t="shared" si="2"/>
        <v>2010.434062</v>
      </c>
      <c r="H11" s="27">
        <f t="shared" si="3"/>
        <v>2015.2170310000001</v>
      </c>
      <c r="I11" s="27">
        <f>i_1</f>
        <v>1.8</v>
      </c>
      <c r="J11" s="27">
        <f t="shared" si="4"/>
        <v>0.1043406200000004</v>
      </c>
      <c r="K11" s="28">
        <f t="shared" si="0"/>
        <v>0.95659380000001881</v>
      </c>
      <c r="L11" s="4">
        <f t="shared" si="1"/>
        <v>100.97829689999999</v>
      </c>
      <c r="M11" s="4">
        <f t="shared" si="5"/>
        <v>1.4553898880219601E-3</v>
      </c>
    </row>
    <row r="12" spans="1:59" ht="14.1" customHeight="1" x14ac:dyDescent="0.4">
      <c r="A12" s="11" t="s">
        <v>3</v>
      </c>
      <c r="B12" s="13">
        <v>50</v>
      </c>
      <c r="C12" s="6" t="s">
        <v>0</v>
      </c>
      <c r="D12" s="6"/>
      <c r="E12" s="26">
        <f t="shared" si="6"/>
        <v>9</v>
      </c>
      <c r="F12" s="27">
        <f t="shared" si="2"/>
        <v>1.4609344199999914</v>
      </c>
      <c r="G12" s="27">
        <f t="shared" si="2"/>
        <v>2011.3906558000001</v>
      </c>
      <c r="H12" s="27">
        <f t="shared" si="3"/>
        <v>2015.6953278999999</v>
      </c>
      <c r="I12" s="27">
        <f>i_1</f>
        <v>1.8</v>
      </c>
      <c r="J12" s="27">
        <f t="shared" si="4"/>
        <v>0.11390655800000105</v>
      </c>
      <c r="K12" s="28">
        <f t="shared" si="0"/>
        <v>0.86093441999996689</v>
      </c>
      <c r="L12" s="4">
        <f t="shared" si="1"/>
        <v>101.13046720999999</v>
      </c>
      <c r="M12" s="4">
        <f t="shared" si="5"/>
        <v>1.5058262260333256E-3</v>
      </c>
    </row>
    <row r="13" spans="1:59" ht="14.1" customHeight="1" x14ac:dyDescent="0.4">
      <c r="A13" s="11" t="s">
        <v>9</v>
      </c>
      <c r="B13" s="13">
        <v>0.01</v>
      </c>
      <c r="C13" s="6"/>
      <c r="D13" s="6"/>
      <c r="E13" s="26">
        <f t="shared" si="6"/>
        <v>10</v>
      </c>
      <c r="F13" s="27">
        <f t="shared" si="2"/>
        <v>1.5748409779999926</v>
      </c>
      <c r="G13" s="27">
        <f t="shared" si="2"/>
        <v>2012.25159022</v>
      </c>
      <c r="H13" s="27">
        <f t="shared" si="3"/>
        <v>2016.1257951100001</v>
      </c>
      <c r="I13" s="27">
        <f>i_1</f>
        <v>1.8</v>
      </c>
      <c r="J13" s="27">
        <f t="shared" si="4"/>
        <v>0.12251590220000026</v>
      </c>
      <c r="K13" s="28">
        <f t="shared" si="0"/>
        <v>0.77484097800002028</v>
      </c>
      <c r="L13" s="4">
        <f t="shared" si="1"/>
        <v>101.287420489</v>
      </c>
      <c r="M13" s="4">
        <f t="shared" si="5"/>
        <v>1.5507849848586188E-3</v>
      </c>
    </row>
    <row r="14" spans="1:59" ht="14.1" customHeight="1" thickBot="1" x14ac:dyDescent="0.45">
      <c r="A14" s="14" t="s">
        <v>6</v>
      </c>
      <c r="B14" s="16">
        <v>0.2</v>
      </c>
      <c r="C14" s="6"/>
      <c r="D14" s="6"/>
      <c r="E14" s="26">
        <f t="shared" si="6"/>
        <v>11</v>
      </c>
      <c r="F14" s="27">
        <f t="shared" si="2"/>
        <v>1.6973568801999928</v>
      </c>
      <c r="G14" s="27">
        <f t="shared" si="2"/>
        <v>2013.026431198</v>
      </c>
      <c r="H14" s="27">
        <f t="shared" si="3"/>
        <v>2016.513215599</v>
      </c>
      <c r="I14" s="27">
        <f>i_1</f>
        <v>1.8</v>
      </c>
      <c r="J14" s="27">
        <f t="shared" si="4"/>
        <v>0.13026431197999955</v>
      </c>
      <c r="K14" s="28">
        <f t="shared" si="0"/>
        <v>0.69735688020000453</v>
      </c>
      <c r="L14" s="4">
        <f t="shared" si="1"/>
        <v>101.44867844009998</v>
      </c>
      <c r="M14" s="4">
        <f t="shared" si="5"/>
        <v>1.5908166918443733E-3</v>
      </c>
    </row>
    <row r="15" spans="1:59" ht="14.1" customHeight="1" thickBot="1" x14ac:dyDescent="0.45">
      <c r="A15" s="6"/>
      <c r="B15" s="6"/>
      <c r="C15" s="7" t="s">
        <v>0</v>
      </c>
      <c r="D15" s="6"/>
      <c r="E15" s="26">
        <f t="shared" si="6"/>
        <v>12</v>
      </c>
      <c r="F15" s="27">
        <f t="shared" si="2"/>
        <v>1.8276211921799923</v>
      </c>
      <c r="G15" s="27">
        <f t="shared" si="2"/>
        <v>2013.7237880782</v>
      </c>
      <c r="H15" s="27">
        <f t="shared" si="3"/>
        <v>2016.8618940391</v>
      </c>
      <c r="I15" s="27">
        <f>i_1</f>
        <v>1.8</v>
      </c>
      <c r="J15" s="27">
        <f t="shared" si="4"/>
        <v>0.13723788078199958</v>
      </c>
      <c r="K15" s="28">
        <f t="shared" si="0"/>
        <v>0.62762119218000412</v>
      </c>
      <c r="L15" s="4">
        <f t="shared" si="1"/>
        <v>101.61381059608999</v>
      </c>
      <c r="M15" s="4">
        <f t="shared" si="5"/>
        <v>1.6264174951747762E-3</v>
      </c>
    </row>
    <row r="16" spans="1:59" ht="14.1" customHeight="1" x14ac:dyDescent="0.4">
      <c r="A16" s="32" t="s">
        <v>25</v>
      </c>
      <c r="B16" s="35" t="s">
        <v>26</v>
      </c>
      <c r="C16" s="37" t="s">
        <v>27</v>
      </c>
      <c r="D16" s="6"/>
      <c r="E16" s="26">
        <f t="shared" si="6"/>
        <v>13</v>
      </c>
      <c r="F16" s="27">
        <f t="shared" si="2"/>
        <v>1.9648590729619919</v>
      </c>
      <c r="G16" s="27">
        <f t="shared" si="2"/>
        <v>2014.3514092703799</v>
      </c>
      <c r="H16" s="27">
        <f t="shared" si="3"/>
        <v>2017.17570463519</v>
      </c>
      <c r="I16" s="27">
        <f>i_1</f>
        <v>1.8</v>
      </c>
      <c r="J16" s="27">
        <f t="shared" si="4"/>
        <v>0.1435140927037992</v>
      </c>
      <c r="K16" s="28">
        <f t="shared" si="0"/>
        <v>0.56485907296200821</v>
      </c>
      <c r="L16" s="4">
        <f t="shared" si="1"/>
        <v>101.78242953648098</v>
      </c>
      <c r="M16" s="4">
        <f t="shared" si="5"/>
        <v>1.6580343757579739E-3</v>
      </c>
    </row>
    <row r="17" spans="1:13" ht="14.1" customHeight="1" x14ac:dyDescent="0.4">
      <c r="A17" s="11" t="s">
        <v>8</v>
      </c>
      <c r="B17" s="12">
        <v>2</v>
      </c>
      <c r="C17" s="13">
        <v>1.8</v>
      </c>
      <c r="D17" s="6"/>
      <c r="E17" s="26">
        <f t="shared" si="6"/>
        <v>14</v>
      </c>
      <c r="F17" s="27">
        <f t="shared" si="2"/>
        <v>2.1083731656657911</v>
      </c>
      <c r="G17" s="27">
        <f t="shared" si="2"/>
        <v>2014.9162683433419</v>
      </c>
      <c r="H17" s="27">
        <f t="shared" si="3"/>
        <v>2017.458134171671</v>
      </c>
      <c r="I17" s="27">
        <f>i_1</f>
        <v>1.8</v>
      </c>
      <c r="J17" s="27">
        <f t="shared" si="4"/>
        <v>0.14916268343341926</v>
      </c>
      <c r="K17" s="28">
        <f t="shared" si="0"/>
        <v>0.50837316566580737</v>
      </c>
      <c r="L17" s="4">
        <f t="shared" si="1"/>
        <v>101.95418658283289</v>
      </c>
      <c r="M17" s="4">
        <f t="shared" si="5"/>
        <v>1.6860698907557364E-3</v>
      </c>
    </row>
    <row r="18" spans="1:13" ht="14.1" customHeight="1" x14ac:dyDescent="0.4">
      <c r="A18" s="11" t="s">
        <v>29</v>
      </c>
      <c r="B18" s="12">
        <v>2100</v>
      </c>
      <c r="C18" s="13">
        <v>2100</v>
      </c>
      <c r="D18" s="6"/>
      <c r="E18" s="26">
        <f t="shared" si="6"/>
        <v>15</v>
      </c>
      <c r="F18" s="27">
        <f t="shared" si="2"/>
        <v>2.2575358490992103</v>
      </c>
      <c r="G18" s="27">
        <f t="shared" si="2"/>
        <v>2015.4246415090076</v>
      </c>
      <c r="H18" s="27">
        <f t="shared" si="3"/>
        <v>2017.7123207545037</v>
      </c>
      <c r="I18" s="27">
        <f>i_1</f>
        <v>1.8</v>
      </c>
      <c r="J18" s="27">
        <f t="shared" si="4"/>
        <v>0.15424641509007642</v>
      </c>
      <c r="K18" s="28">
        <f t="shared" si="0"/>
        <v>0.45753584909921302</v>
      </c>
      <c r="L18" s="4">
        <f t="shared" si="1"/>
        <v>102.12876792454959</v>
      </c>
      <c r="M18" s="4">
        <f t="shared" si="5"/>
        <v>1.7108864845996256E-3</v>
      </c>
    </row>
    <row r="19" spans="1:13" ht="14.1" customHeight="1" thickBot="1" x14ac:dyDescent="0.45">
      <c r="A19" s="14" t="s">
        <v>41</v>
      </c>
      <c r="B19" s="15">
        <v>2000</v>
      </c>
      <c r="C19" s="16">
        <v>2000</v>
      </c>
      <c r="D19" s="6"/>
      <c r="E19" s="26">
        <f t="shared" si="6"/>
        <v>16</v>
      </c>
      <c r="F19" s="27">
        <f t="shared" si="2"/>
        <v>2.411782264189287</v>
      </c>
      <c r="G19" s="27">
        <f t="shared" si="2"/>
        <v>2015.8821773581069</v>
      </c>
      <c r="H19" s="27">
        <f t="shared" si="3"/>
        <v>2017.9410886790533</v>
      </c>
      <c r="I19" s="27">
        <f>i_1</f>
        <v>1.8</v>
      </c>
      <c r="J19" s="27">
        <f t="shared" si="4"/>
        <v>0.15882177358106903</v>
      </c>
      <c r="K19" s="28">
        <f t="shared" si="0"/>
        <v>0.41178226418928721</v>
      </c>
      <c r="L19" s="4">
        <f t="shared" si="1"/>
        <v>102.30589113209463</v>
      </c>
      <c r="M19" s="4">
        <f t="shared" si="5"/>
        <v>1.7328104019349504E-3</v>
      </c>
    </row>
    <row r="20" spans="1:13" ht="14.1" customHeight="1" thickBot="1" x14ac:dyDescent="0.45">
      <c r="A20" s="6"/>
      <c r="B20" s="6"/>
      <c r="C20" s="6"/>
      <c r="D20" s="6"/>
      <c r="E20" s="26">
        <f t="shared" si="6"/>
        <v>17</v>
      </c>
      <c r="F20" s="27">
        <f t="shared" ref="F20:G33" si="7">F19+J19</f>
        <v>2.5706040377703561</v>
      </c>
      <c r="G20" s="27">
        <f t="shared" si="7"/>
        <v>2016.2939596222961</v>
      </c>
      <c r="H20" s="27">
        <f t="shared" si="3"/>
        <v>2018.146979811148</v>
      </c>
      <c r="I20" s="27">
        <f>i_1</f>
        <v>1.8</v>
      </c>
      <c r="J20" s="27">
        <f t="shared" si="4"/>
        <v>0.16293959622296142</v>
      </c>
      <c r="K20" s="28">
        <f t="shared" si="0"/>
        <v>0.37060403777036299</v>
      </c>
      <c r="L20" s="4">
        <f t="shared" si="1"/>
        <v>102.48530201888516</v>
      </c>
      <c r="M20" s="4">
        <f t="shared" si="5"/>
        <v>1.7521352352025102E-3</v>
      </c>
    </row>
    <row r="21" spans="1:13" ht="14.1" customHeight="1" x14ac:dyDescent="0.4">
      <c r="A21" s="32" t="s">
        <v>30</v>
      </c>
      <c r="B21" s="36" t="s">
        <v>31</v>
      </c>
      <c r="C21" s="37" t="s">
        <v>32</v>
      </c>
      <c r="D21" s="6"/>
      <c r="E21" s="26">
        <f t="shared" si="6"/>
        <v>18</v>
      </c>
      <c r="F21" s="27">
        <f t="shared" si="7"/>
        <v>2.7335436339933175</v>
      </c>
      <c r="G21" s="27">
        <f t="shared" si="7"/>
        <v>2016.6645636600665</v>
      </c>
      <c r="H21" s="27">
        <f t="shared" si="3"/>
        <v>2018.3322818300333</v>
      </c>
      <c r="I21" s="27">
        <f>i_1</f>
        <v>1.8</v>
      </c>
      <c r="J21" s="27">
        <f t="shared" si="4"/>
        <v>0.16664563660066506</v>
      </c>
      <c r="K21" s="28">
        <f t="shared" si="0"/>
        <v>0.33354363399334946</v>
      </c>
      <c r="L21" s="4">
        <f t="shared" si="1"/>
        <v>102.66677181699664</v>
      </c>
      <c r="M21" s="4">
        <f t="shared" si="5"/>
        <v>1.7691251377459788E-3</v>
      </c>
    </row>
    <row r="22" spans="1:13" ht="14.1" customHeight="1" x14ac:dyDescent="0.4">
      <c r="A22" s="11" t="s">
        <v>33</v>
      </c>
      <c r="B22" s="17">
        <f>(Theta*Beta0_0)/Beta1+m_0-(Psi+Theta/Beta1)*ybar0</f>
        <v>0.99999999999998579</v>
      </c>
      <c r="C22" s="18">
        <f>(Theta*Beta0_1)/Beta1+m_1-(Psi+Theta/Beta1)*ybar1</f>
        <v>5.9999999999999858</v>
      </c>
      <c r="D22" s="6"/>
      <c r="E22" s="26">
        <f t="shared" si="6"/>
        <v>19</v>
      </c>
      <c r="F22" s="27">
        <f t="shared" si="7"/>
        <v>2.9001892705939825</v>
      </c>
      <c r="G22" s="27">
        <f t="shared" si="7"/>
        <v>2016.9981072940598</v>
      </c>
      <c r="H22" s="27">
        <f t="shared" si="3"/>
        <v>2018.49905364703</v>
      </c>
      <c r="I22" s="27">
        <f>i_1</f>
        <v>1.8</v>
      </c>
      <c r="J22" s="27">
        <f t="shared" si="4"/>
        <v>0.16998107294059764</v>
      </c>
      <c r="K22" s="28">
        <f t="shared" si="0"/>
        <v>0.30018927059404632</v>
      </c>
      <c r="L22" s="4">
        <f t="shared" si="1"/>
        <v>102.85009463529697</v>
      </c>
      <c r="M22" s="4">
        <f t="shared" si="5"/>
        <v>1.784017731361841E-3</v>
      </c>
    </row>
    <row r="23" spans="1:13" ht="14.1" customHeight="1" thickBot="1" x14ac:dyDescent="0.45">
      <c r="A23" s="14" t="s">
        <v>34</v>
      </c>
      <c r="B23" s="19">
        <f>ypot0</f>
        <v>2000</v>
      </c>
      <c r="C23" s="16">
        <f>ypot1</f>
        <v>2000</v>
      </c>
      <c r="D23" s="6"/>
      <c r="E23" s="26">
        <f t="shared" si="6"/>
        <v>20</v>
      </c>
      <c r="F23" s="27">
        <f t="shared" si="7"/>
        <v>3.07017034353458</v>
      </c>
      <c r="G23" s="27">
        <f t="shared" si="7"/>
        <v>2017.2982965646538</v>
      </c>
      <c r="H23" s="27">
        <f t="shared" si="3"/>
        <v>2018.6491482823269</v>
      </c>
      <c r="I23" s="27">
        <f>i_1</f>
        <v>1.8</v>
      </c>
      <c r="J23" s="27">
        <f t="shared" si="4"/>
        <v>0.17298296564653812</v>
      </c>
      <c r="K23" s="28">
        <f t="shared" si="0"/>
        <v>0.27017034353461894</v>
      </c>
      <c r="L23" s="4">
        <f t="shared" si="1"/>
        <v>103.03508517176728</v>
      </c>
      <c r="M23" s="4">
        <f t="shared" si="5"/>
        <v>1.7970267352534969E-3</v>
      </c>
    </row>
    <row r="24" spans="1:13" ht="14.1" customHeight="1" thickBot="1" x14ac:dyDescent="0.45">
      <c r="A24" s="6"/>
      <c r="B24" s="6"/>
      <c r="C24" s="6"/>
      <c r="D24" s="6"/>
      <c r="E24" s="26">
        <f t="shared" si="6"/>
        <v>21</v>
      </c>
      <c r="F24" s="27">
        <f t="shared" si="7"/>
        <v>3.243153309181118</v>
      </c>
      <c r="G24" s="27">
        <f t="shared" si="7"/>
        <v>2017.5684669081884</v>
      </c>
      <c r="H24" s="27">
        <f t="shared" si="3"/>
        <v>2018.7842334540942</v>
      </c>
      <c r="I24" s="27">
        <f>i_1</f>
        <v>1.8</v>
      </c>
      <c r="J24" s="27">
        <f t="shared" si="4"/>
        <v>0.17568466908188385</v>
      </c>
      <c r="K24" s="28">
        <f t="shared" si="0"/>
        <v>0.24315330918116163</v>
      </c>
      <c r="L24" s="4">
        <f t="shared" si="1"/>
        <v>103.22157665459055</v>
      </c>
      <c r="M24" s="4">
        <f t="shared" si="5"/>
        <v>1.8083443413904302E-3</v>
      </c>
    </row>
    <row r="25" spans="1:13" ht="14.1" customHeight="1" x14ac:dyDescent="0.4">
      <c r="A25" s="32" t="s">
        <v>35</v>
      </c>
      <c r="B25" s="36" t="s">
        <v>36</v>
      </c>
      <c r="C25" s="37" t="s">
        <v>37</v>
      </c>
      <c r="D25" s="6"/>
      <c r="E25" s="26">
        <f t="shared" si="6"/>
        <v>22</v>
      </c>
      <c r="F25" s="27">
        <f t="shared" si="7"/>
        <v>3.4188379782630021</v>
      </c>
      <c r="G25" s="27">
        <f t="shared" si="7"/>
        <v>2017.8116202173696</v>
      </c>
      <c r="H25" s="27">
        <f t="shared" si="3"/>
        <v>2018.9058101086848</v>
      </c>
      <c r="I25" s="27">
        <f>i_1</f>
        <v>1.8</v>
      </c>
      <c r="J25" s="27">
        <f t="shared" si="4"/>
        <v>0.17811620217369636</v>
      </c>
      <c r="K25" s="28">
        <f t="shared" si="0"/>
        <v>0.21883797826303636</v>
      </c>
      <c r="L25" s="4">
        <f t="shared" si="1"/>
        <v>103.40941898913148</v>
      </c>
      <c r="M25" s="4">
        <f t="shared" si="5"/>
        <v>1.8181433593807625E-3</v>
      </c>
    </row>
    <row r="26" spans="1:13" ht="14.1" customHeight="1" x14ac:dyDescent="0.55000000000000004">
      <c r="A26" s="11" t="s">
        <v>10</v>
      </c>
      <c r="B26" s="20">
        <f>IF((Ni*(Beta1*Mi-((Beta1*Psi)/Theta)-1))^2-4*(Ni*Beta1*Mi)/Theta&gt;0,(Ni*(Beta1*Mi-((Beta1*Psi)/Theta)-1)+SQRT((Ni*(Beta1*Mi-((Beta1*Psi)/Theta)-1))^2-4*(Ni*Beta1*Mi)/Theta))/2,((Ni*(Beta1*Mi-((Beta1*Psi)/Theta)-1))/2))</f>
        <v>-0.22984378812835754</v>
      </c>
      <c r="C26" s="21">
        <f>IF((Ni*((Beta1*Mi-(Beta1*Psi)/Theta)-1)^2-4*(Ni*Beta1*Mi)/Theta)&gt;0, 0, +SQRT(-(Ni*((Beta1*Mi-(Beta1*Psi)/Theta)-1)^2-4*(Ni*Beta1*Mi)/Theta))/2)</f>
        <v>0</v>
      </c>
      <c r="D26" s="6"/>
      <c r="E26" s="26">
        <f t="shared" si="6"/>
        <v>23</v>
      </c>
      <c r="F26" s="27">
        <f t="shared" si="7"/>
        <v>3.5969541804366982</v>
      </c>
      <c r="G26" s="27">
        <f t="shared" si="7"/>
        <v>2018.0304581956327</v>
      </c>
      <c r="H26" s="27">
        <f t="shared" si="3"/>
        <v>2019.0152290978162</v>
      </c>
      <c r="I26" s="27">
        <f>i_1</f>
        <v>1.8</v>
      </c>
      <c r="J26" s="27">
        <f t="shared" si="4"/>
        <v>0.18030458195632718</v>
      </c>
      <c r="K26" s="28">
        <f t="shared" si="0"/>
        <v>0.19695418043670543</v>
      </c>
      <c r="L26" s="4">
        <f t="shared" si="1"/>
        <v>103.59847709021834</v>
      </c>
      <c r="M26" s="4">
        <f t="shared" si="5"/>
        <v>1.8265791521180367E-3</v>
      </c>
    </row>
    <row r="27" spans="1:13" ht="14.1" customHeight="1" thickBot="1" x14ac:dyDescent="0.6">
      <c r="A27" s="14" t="s">
        <v>11</v>
      </c>
      <c r="B27" s="22">
        <f>IF((Ni*(Beta1*Mi-((Beta1*Psi)/Theta)-1))^2-4*(Ni*Beta1*Mi)/Theta&gt;0,(Ni*(Beta1*Mi-((Beta1*Psi)/Theta)-1)-SQRT((Ni*(Beta1*Mi-((Beta1*Psi)/Theta)-1))^2-4*(Ni*Beta1*Mi)/Theta))/2,((Ni*(Beta1*Mi-((Beta1*Psi)/Theta)-1))/2))</f>
        <v>-0.8701562118716426</v>
      </c>
      <c r="C27" s="23">
        <f>IF((Ni*((Beta1*Mi-(Beta1*Psi)/Theta)-1)^2-4*(Ni*Beta1*Mi)/Theta)&gt;0, 0, -SQRT(-(Ni*((Beta1*Mi-(Beta1*Psi)/Theta)-1)^2-4*(Ni*Beta1*Mi)/Theta))/2)</f>
        <v>0</v>
      </c>
      <c r="D27" s="6"/>
      <c r="E27" s="26">
        <f t="shared" si="6"/>
        <v>24</v>
      </c>
      <c r="F27" s="27">
        <f t="shared" si="7"/>
        <v>3.7772587623930254</v>
      </c>
      <c r="G27" s="27">
        <f t="shared" si="7"/>
        <v>2018.2274123760694</v>
      </c>
      <c r="H27" s="27">
        <f t="shared" si="3"/>
        <v>2019.1137061880347</v>
      </c>
      <c r="I27" s="27">
        <f>i_1</f>
        <v>1.8</v>
      </c>
      <c r="J27" s="27">
        <f t="shared" si="4"/>
        <v>0.18227412376069424</v>
      </c>
      <c r="K27" s="28">
        <f t="shared" si="0"/>
        <v>0.17725876239305763</v>
      </c>
      <c r="L27" s="4">
        <f t="shared" si="1"/>
        <v>103.7886293811965</v>
      </c>
      <c r="M27" s="4">
        <f t="shared" si="5"/>
        <v>1.8337913817340352E-3</v>
      </c>
    </row>
    <row r="28" spans="1:13" ht="14.1" customHeight="1" thickBot="1" x14ac:dyDescent="0.45">
      <c r="A28" s="6"/>
      <c r="B28" s="6"/>
      <c r="C28" s="6"/>
      <c r="D28" s="6"/>
      <c r="E28" s="26">
        <f t="shared" si="6"/>
        <v>25</v>
      </c>
      <c r="F28" s="27">
        <f t="shared" si="7"/>
        <v>3.9595328861537196</v>
      </c>
      <c r="G28" s="27">
        <f t="shared" si="7"/>
        <v>2018.4046711384624</v>
      </c>
      <c r="H28" s="27">
        <f t="shared" si="3"/>
        <v>2019.2023355692313</v>
      </c>
      <c r="I28" s="27">
        <f>i_1</f>
        <v>1.8</v>
      </c>
      <c r="J28" s="27">
        <f t="shared" si="4"/>
        <v>0.18404671138462392</v>
      </c>
      <c r="K28" s="28">
        <f t="shared" si="0"/>
        <v>0.15953288615378369</v>
      </c>
      <c r="L28" s="4">
        <f t="shared" si="1"/>
        <v>103.97976644307684</v>
      </c>
      <c r="M28" s="4">
        <f t="shared" si="5"/>
        <v>1.8399055837405622E-3</v>
      </c>
    </row>
    <row r="29" spans="1:13" ht="14.1" customHeight="1" x14ac:dyDescent="0.4">
      <c r="A29" s="32" t="s">
        <v>38</v>
      </c>
      <c r="B29" s="34"/>
      <c r="C29" s="6"/>
      <c r="D29" s="6"/>
      <c r="E29" s="26">
        <f t="shared" si="6"/>
        <v>26</v>
      </c>
      <c r="F29" s="27">
        <f t="shared" si="7"/>
        <v>4.1435795975383432</v>
      </c>
      <c r="G29" s="27">
        <f t="shared" si="7"/>
        <v>2018.5642040246162</v>
      </c>
      <c r="H29" s="27">
        <f t="shared" si="3"/>
        <v>2019.2821020123081</v>
      </c>
      <c r="I29" s="27">
        <f>i_1</f>
        <v>1.8</v>
      </c>
      <c r="J29" s="27">
        <f t="shared" si="4"/>
        <v>0.18564204024616174</v>
      </c>
      <c r="K29" s="28">
        <f t="shared" si="0"/>
        <v>0.14357959753838259</v>
      </c>
      <c r="L29" s="4">
        <f t="shared" si="1"/>
        <v>104.17178979876915</v>
      </c>
      <c r="M29" s="4">
        <f t="shared" si="5"/>
        <v>1.8450345856869128E-3</v>
      </c>
    </row>
    <row r="30" spans="1:13" ht="14.1" customHeight="1" x14ac:dyDescent="0.55000000000000004">
      <c r="A30" s="11" t="s">
        <v>39</v>
      </c>
      <c r="B30" s="24">
        <f>IF(C26=0,ABS(1+B26),SQRT((1+B26)^2+C26^2))</f>
        <v>0.77015621187164252</v>
      </c>
      <c r="C30" s="6"/>
      <c r="D30" s="6"/>
      <c r="E30" s="26">
        <f t="shared" si="6"/>
        <v>27</v>
      </c>
      <c r="F30" s="27">
        <f t="shared" si="7"/>
        <v>4.3292216377845048</v>
      </c>
      <c r="G30" s="27">
        <f t="shared" si="7"/>
        <v>2018.7077836221545</v>
      </c>
      <c r="H30" s="27">
        <f t="shared" si="3"/>
        <v>2019.3538918110771</v>
      </c>
      <c r="I30" s="27">
        <f>i_1</f>
        <v>1.8</v>
      </c>
      <c r="J30" s="27">
        <f t="shared" si="4"/>
        <v>0.18707783622154467</v>
      </c>
      <c r="K30" s="28">
        <f t="shared" si="0"/>
        <v>0.12922163778453069</v>
      </c>
      <c r="L30" s="4">
        <f t="shared" si="1"/>
        <v>104.36461081889222</v>
      </c>
      <c r="M30" s="4">
        <f t="shared" si="5"/>
        <v>1.8492797852394695E-3</v>
      </c>
    </row>
    <row r="31" spans="1:13" ht="14.1" customHeight="1" thickBot="1" x14ac:dyDescent="0.6">
      <c r="A31" s="14" t="s">
        <v>40</v>
      </c>
      <c r="B31" s="25">
        <f>IF(B27=0,ABS(1+B27),SQRT((1+B27)^2+C27^2))</f>
        <v>0.1298437881283574</v>
      </c>
      <c r="C31" s="6"/>
      <c r="D31" s="6"/>
      <c r="E31" s="26">
        <f t="shared" si="6"/>
        <v>28</v>
      </c>
      <c r="F31" s="27">
        <f t="shared" si="7"/>
        <v>4.5162994740060496</v>
      </c>
      <c r="G31" s="27">
        <f t="shared" si="7"/>
        <v>2018.8370052599389</v>
      </c>
      <c r="H31" s="27">
        <f t="shared" si="3"/>
        <v>2019.4185026299695</v>
      </c>
      <c r="I31" s="27">
        <f>i_1</f>
        <v>1.8</v>
      </c>
      <c r="J31" s="27">
        <f t="shared" si="4"/>
        <v>0.18837005259938905</v>
      </c>
      <c r="K31" s="28">
        <f t="shared" si="0"/>
        <v>0.11629947400610946</v>
      </c>
      <c r="L31" s="4">
        <f t="shared" si="1"/>
        <v>104.55814973700299</v>
      </c>
      <c r="M31" s="4">
        <f t="shared" si="5"/>
        <v>1.8527323012379009E-3</v>
      </c>
    </row>
    <row r="32" spans="1:13" ht="14.1" customHeight="1" x14ac:dyDescent="0.4">
      <c r="A32" s="6"/>
      <c r="B32" s="6"/>
      <c r="C32" s="6"/>
      <c r="D32" s="6"/>
      <c r="E32" s="26">
        <f t="shared" si="6"/>
        <v>29</v>
      </c>
      <c r="F32" s="27">
        <f t="shared" si="7"/>
        <v>4.7046695266054384</v>
      </c>
      <c r="G32" s="27">
        <f t="shared" si="7"/>
        <v>2018.9533047339451</v>
      </c>
      <c r="H32" s="27">
        <f t="shared" si="3"/>
        <v>2019.4766523669725</v>
      </c>
      <c r="I32" s="27">
        <f>i_1</f>
        <v>1.8</v>
      </c>
      <c r="J32" s="27">
        <f t="shared" si="4"/>
        <v>0.18953304733945062</v>
      </c>
      <c r="K32" s="28">
        <f t="shared" si="0"/>
        <v>0.10466952660549396</v>
      </c>
      <c r="L32" s="4">
        <f t="shared" si="1"/>
        <v>104.7523347633027</v>
      </c>
      <c r="M32" s="4">
        <f t="shared" si="5"/>
        <v>1.8554740100546645E-3</v>
      </c>
    </row>
    <row r="33" spans="1:13" ht="14.1" customHeight="1" thickBot="1" x14ac:dyDescent="0.45">
      <c r="A33" s="6"/>
      <c r="B33" s="6"/>
      <c r="C33" s="6"/>
      <c r="D33" s="6"/>
      <c r="E33" s="29">
        <f t="shared" si="6"/>
        <v>30</v>
      </c>
      <c r="F33" s="30">
        <f t="shared" si="7"/>
        <v>4.8942025739448889</v>
      </c>
      <c r="G33" s="30">
        <f t="shared" si="7"/>
        <v>2019.0579742605505</v>
      </c>
      <c r="H33" s="30">
        <f t="shared" si="3"/>
        <v>2019.5289871302753</v>
      </c>
      <c r="I33" s="27">
        <f>i_1</f>
        <v>1.8</v>
      </c>
      <c r="J33" s="30">
        <f t="shared" si="4"/>
        <v>0.19057974260550509</v>
      </c>
      <c r="K33" s="31">
        <f t="shared" si="0"/>
        <v>9.4202573944949117E-2</v>
      </c>
      <c r="L33" s="4">
        <f t="shared" si="1"/>
        <v>104.94710128697243</v>
      </c>
      <c r="M33" s="4">
        <f t="shared" si="5"/>
        <v>1.857578478447595E-3</v>
      </c>
    </row>
    <row r="34" spans="1:13" ht="14.1" customHeight="1" x14ac:dyDescent="0.4">
      <c r="A34" s="6"/>
      <c r="B34" s="6"/>
      <c r="C34" s="6"/>
    </row>
    <row r="35" spans="1:13" ht="14.1" customHeight="1" x14ac:dyDescent="0.4">
      <c r="A35" s="6"/>
      <c r="B35" s="6"/>
      <c r="C35" s="6"/>
    </row>
    <row r="36" spans="1:13" ht="14.1" customHeight="1" x14ac:dyDescent="0.4">
      <c r="A36" s="6"/>
      <c r="B36" s="6"/>
      <c r="C36" s="6"/>
    </row>
    <row r="37" spans="1:13" ht="14.1" customHeight="1" x14ac:dyDescent="0.4">
      <c r="C37" s="5" t="s">
        <v>0</v>
      </c>
    </row>
    <row r="38" spans="1:13" ht="14.1" customHeight="1" x14ac:dyDescent="0.4"/>
    <row r="39" spans="1:13" ht="14.1" customHeight="1" x14ac:dyDescent="0.4"/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41"/>
  <sheetViews>
    <sheetView tabSelected="1" topLeftCell="A20" workbookViewId="0">
      <selection activeCell="B39" sqref="B39"/>
    </sheetView>
  </sheetViews>
  <sheetFormatPr defaultColWidth="10.73046875" defaultRowHeight="13.9" x14ac:dyDescent="0.4"/>
  <cols>
    <col min="1" max="1" width="28.59765625" style="4" customWidth="1"/>
    <col min="2" max="2" width="12.3984375" style="4" customWidth="1"/>
    <col min="3" max="3" width="13.265625" style="4" customWidth="1"/>
    <col min="4" max="4" width="5.86328125" style="4" customWidth="1"/>
    <col min="5" max="5" width="11.3984375" style="6" customWidth="1"/>
    <col min="6" max="6" width="9.73046875" style="6" customWidth="1"/>
    <col min="7" max="7" width="8" style="6" customWidth="1"/>
    <col min="8" max="8" width="9.265625" style="6" customWidth="1"/>
    <col min="9" max="9" width="6.59765625" style="6" customWidth="1"/>
    <col min="10" max="10" width="13.73046875" style="6" customWidth="1"/>
    <col min="11" max="11" width="6.73046875" style="6" customWidth="1"/>
    <col min="12" max="12" width="8.73046875" style="4" customWidth="1"/>
    <col min="13" max="20" width="11.3984375" style="4" customWidth="1"/>
  </cols>
  <sheetData>
    <row r="1" spans="1:59" ht="14.1" customHeight="1" thickBot="1" x14ac:dyDescent="0.45">
      <c r="A1" s="8" t="s">
        <v>14</v>
      </c>
      <c r="B1" s="9"/>
      <c r="C1" s="10"/>
      <c r="D1" s="6"/>
      <c r="BD1" s="1"/>
    </row>
    <row r="2" spans="1:59" ht="14.1" customHeight="1" thickBot="1" x14ac:dyDescent="0.45">
      <c r="A2" s="6" t="s">
        <v>0</v>
      </c>
      <c r="B2" s="6"/>
      <c r="C2" s="6"/>
      <c r="D2" s="6"/>
      <c r="E2" s="38" t="s">
        <v>15</v>
      </c>
      <c r="F2" s="39" t="s">
        <v>4</v>
      </c>
      <c r="G2" s="39" t="s">
        <v>5</v>
      </c>
      <c r="H2" s="39" t="s">
        <v>7</v>
      </c>
      <c r="I2" s="39" t="s">
        <v>8</v>
      </c>
      <c r="J2" s="39" t="s">
        <v>12</v>
      </c>
      <c r="K2" s="40" t="s">
        <v>13</v>
      </c>
      <c r="L2" s="4" t="s">
        <v>42</v>
      </c>
      <c r="M2" s="41" t="s">
        <v>43</v>
      </c>
      <c r="N2" s="4" t="s">
        <v>46</v>
      </c>
      <c r="O2" s="4" t="s">
        <v>47</v>
      </c>
      <c r="P2" s="4" t="s">
        <v>48</v>
      </c>
      <c r="Q2" s="4" t="s">
        <v>49</v>
      </c>
      <c r="BD2" s="2"/>
      <c r="BE2" s="2"/>
      <c r="BF2" s="2"/>
    </row>
    <row r="3" spans="1:59" ht="14.1" customHeight="1" x14ac:dyDescent="0.4">
      <c r="A3" s="32" t="s">
        <v>16</v>
      </c>
      <c r="B3" s="33" t="s">
        <v>23</v>
      </c>
      <c r="C3" s="34"/>
      <c r="D3" s="6"/>
      <c r="E3" s="26">
        <v>0</v>
      </c>
      <c r="F3" s="27">
        <f>(Theta*Beta0_0)/Beta1+m_0-(Psi+Theta/Beta1)*ypot_0</f>
        <v>0.99999999999998579</v>
      </c>
      <c r="G3" s="27">
        <f>ypot_0</f>
        <v>2000</v>
      </c>
      <c r="H3" s="27">
        <f>Beta0_0-Beta1*(I3-J3)</f>
        <v>2000</v>
      </c>
      <c r="I3" s="27">
        <f>i_0</f>
        <v>2</v>
      </c>
      <c r="J3" s="27">
        <f t="shared" ref="J3:J33" si="0">Mi*(G3-ypot_0*Q3)</f>
        <v>0</v>
      </c>
      <c r="K3" s="28">
        <f t="shared" ref="K3:K33" si="1">Ni*(H3-G3)</f>
        <v>0</v>
      </c>
      <c r="L3" s="4">
        <f t="shared" ref="L3:L33" si="2">F3 +Psi * G3 - Theta * I3</f>
        <v>99.999999999999986</v>
      </c>
      <c r="N3" s="4">
        <f ca="1">_xlfn.NORM.INV(RAND(),0,$B$35)</f>
        <v>1.6041464291267305E-3</v>
      </c>
      <c r="O3" s="4">
        <v>0</v>
      </c>
      <c r="P3" s="4">
        <f>EXP(O3)</f>
        <v>1</v>
      </c>
      <c r="Q3" s="4">
        <v>1</v>
      </c>
    </row>
    <row r="4" spans="1:59" ht="14.1" customHeight="1" x14ac:dyDescent="0.4">
      <c r="A4" s="11" t="s">
        <v>17</v>
      </c>
      <c r="B4" s="12" t="s">
        <v>21</v>
      </c>
      <c r="C4" s="13"/>
      <c r="D4" s="6"/>
      <c r="E4" s="26">
        <v>1</v>
      </c>
      <c r="F4" s="27">
        <f t="shared" ref="F4:G19" si="3">F3+J3</f>
        <v>0.99999999999998579</v>
      </c>
      <c r="G4" s="27">
        <f>G3+K3</f>
        <v>2000</v>
      </c>
      <c r="H4" s="27">
        <f t="shared" ref="H4:H33" si="4">Beta0_1-Beta1*(I4-J4)</f>
        <v>2000.8795594463732</v>
      </c>
      <c r="I4" s="27">
        <f t="shared" ref="I4:I33" si="5">(1-$B$37)*i_0 + $B$37*I3 + (1-$B$37) * ($B$38*J4 + $B$39 * LN(G4/ypot_0 * Q4))</f>
        <v>2.0030739218778826</v>
      </c>
      <c r="J4" s="27">
        <f t="shared" si="0"/>
        <v>2.0665110805346103E-2</v>
      </c>
      <c r="K4" s="28">
        <f t="shared" si="1"/>
        <v>0.17591188927463008</v>
      </c>
      <c r="L4" s="4">
        <f t="shared" si="2"/>
        <v>99.99846303906105</v>
      </c>
      <c r="M4" s="4">
        <f>LN(L4/L3)</f>
        <v>-1.5369727502960727E-5</v>
      </c>
      <c r="N4" s="4">
        <f t="shared" ref="N4:N33" ca="1" si="6">_xlfn.NORM.INV(RAND(),0,$B$35)</f>
        <v>-6.8796343608297419E-3</v>
      </c>
      <c r="O4" s="4">
        <f ca="1">$B$34*O3 + N4</f>
        <v>-6.8796343608297419E-3</v>
      </c>
      <c r="P4" s="4">
        <f t="shared" ref="P4:P33" ca="1" si="7">EXP(O4)</f>
        <v>0.99314397614872207</v>
      </c>
      <c r="Q4" s="4">
        <v>0.99896674445973266</v>
      </c>
    </row>
    <row r="5" spans="1:59" ht="14.1" customHeight="1" x14ac:dyDescent="0.4">
      <c r="A5" s="11" t="s">
        <v>18</v>
      </c>
      <c r="B5" s="12" t="s">
        <v>22</v>
      </c>
      <c r="C5" s="13"/>
      <c r="D5" s="6"/>
      <c r="E5" s="26">
        <v>2</v>
      </c>
      <c r="F5" s="27">
        <f t="shared" si="3"/>
        <v>1.020665110805332</v>
      </c>
      <c r="G5" s="27">
        <f t="shared" si="3"/>
        <v>2000.1759118892746</v>
      </c>
      <c r="H5" s="27">
        <f t="shared" si="4"/>
        <v>1996.3824293815612</v>
      </c>
      <c r="I5" s="27">
        <f t="shared" si="5"/>
        <v>1.9906119677297782</v>
      </c>
      <c r="J5" s="27">
        <f t="shared" si="0"/>
        <v>-8.1739444638999431E-2</v>
      </c>
      <c r="K5" s="28">
        <f t="shared" si="1"/>
        <v>-0.75869650154268131</v>
      </c>
      <c r="L5" s="4">
        <f t="shared" si="2"/>
        <v>100.03415472140416</v>
      </c>
      <c r="M5" s="4">
        <f t="shared" ref="M5:M33" si="8">LN(L5/L4)</f>
        <v>3.5685862757279022E-4</v>
      </c>
      <c r="N5" s="4">
        <f t="shared" ca="1" si="6"/>
        <v>-5.9492966538646165E-4</v>
      </c>
      <c r="O5" s="4">
        <f t="shared" ref="O5:O33" ca="1" si="9">$B$34*O4 + N5</f>
        <v>-6.786600590133229E-3</v>
      </c>
      <c r="P5" s="4">
        <f t="shared" ca="1" si="7"/>
        <v>0.99323637637577189</v>
      </c>
      <c r="Q5" s="4">
        <v>1.0041749281765873</v>
      </c>
    </row>
    <row r="6" spans="1:59" ht="14.1" customHeight="1" x14ac:dyDescent="0.4">
      <c r="A6" s="11" t="s">
        <v>19</v>
      </c>
      <c r="B6" s="12"/>
      <c r="C6" s="13"/>
      <c r="D6" s="6"/>
      <c r="E6" s="26">
        <f>E5+1</f>
        <v>3</v>
      </c>
      <c r="F6" s="27">
        <f t="shared" si="3"/>
        <v>0.93892566616633255</v>
      </c>
      <c r="G6" s="27">
        <f t="shared" si="3"/>
        <v>1999.4172153877319</v>
      </c>
      <c r="H6" s="27">
        <f t="shared" si="4"/>
        <v>1993.6163057585577</v>
      </c>
      <c r="I6" s="27">
        <f t="shared" si="5"/>
        <v>1.9677462221621547</v>
      </c>
      <c r="J6" s="27">
        <f t="shared" si="0"/>
        <v>-0.15992766266668923</v>
      </c>
      <c r="K6" s="28">
        <f t="shared" si="1"/>
        <v>-1.1601819258348314</v>
      </c>
      <c r="L6" s="4">
        <f t="shared" si="2"/>
        <v>99.92591332447185</v>
      </c>
      <c r="M6" s="4">
        <f t="shared" si="8"/>
        <v>-1.0826302327508394E-3</v>
      </c>
      <c r="N6" s="4">
        <f t="shared" ca="1" si="6"/>
        <v>1.1802799690201054E-2</v>
      </c>
      <c r="O6" s="4">
        <f t="shared" ca="1" si="9"/>
        <v>5.6948591590811476E-3</v>
      </c>
      <c r="P6" s="4">
        <f t="shared" ca="1" si="7"/>
        <v>1.0057111056954393</v>
      </c>
      <c r="Q6" s="4">
        <v>1.0077049908272004</v>
      </c>
    </row>
    <row r="7" spans="1:59" ht="14.1" customHeight="1" thickBot="1" x14ac:dyDescent="0.45">
      <c r="A7" s="14" t="s">
        <v>20</v>
      </c>
      <c r="B7" s="15"/>
      <c r="C7" s="16"/>
      <c r="D7" s="6"/>
      <c r="E7" s="26">
        <f t="shared" ref="E7:E33" si="10">E6+1</f>
        <v>4</v>
      </c>
      <c r="F7" s="27">
        <f t="shared" si="3"/>
        <v>0.77899800349964332</v>
      </c>
      <c r="G7" s="27">
        <f t="shared" si="3"/>
        <v>1998.257033461897</v>
      </c>
      <c r="H7" s="27">
        <f t="shared" si="4"/>
        <v>1998.6503261436978</v>
      </c>
      <c r="I7" s="27">
        <f t="shared" si="5"/>
        <v>1.9611308820844813</v>
      </c>
      <c r="J7" s="27">
        <f t="shared" si="0"/>
        <v>-6.5862595041560321E-2</v>
      </c>
      <c r="K7" s="28">
        <f t="shared" si="1"/>
        <v>7.8658536360171644E-2</v>
      </c>
      <c r="L7" s="4">
        <f t="shared" si="2"/>
        <v>99.711284235552242</v>
      </c>
      <c r="M7" s="4">
        <f t="shared" si="8"/>
        <v>-2.1501921909794601E-3</v>
      </c>
      <c r="N7" s="4">
        <f t="shared" ca="1" si="6"/>
        <v>-3.6608099001528634E-3</v>
      </c>
      <c r="O7" s="4">
        <f t="shared" ca="1" si="9"/>
        <v>1.4645633430201694E-3</v>
      </c>
      <c r="P7" s="4">
        <f t="shared" ca="1" si="7"/>
        <v>1.001465636339673</v>
      </c>
      <c r="Q7" s="4">
        <v>1.0024216464830265</v>
      </c>
    </row>
    <row r="8" spans="1:59" ht="14.1" customHeight="1" thickBot="1" x14ac:dyDescent="0.45">
      <c r="A8" s="6"/>
      <c r="B8" s="6"/>
      <c r="C8" s="6"/>
      <c r="D8" s="6"/>
      <c r="E8" s="26">
        <f t="shared" si="10"/>
        <v>5</v>
      </c>
      <c r="F8" s="27">
        <f t="shared" si="3"/>
        <v>0.71313540845808299</v>
      </c>
      <c r="G8" s="27">
        <f t="shared" si="3"/>
        <v>1998.3356919982571</v>
      </c>
      <c r="H8" s="27">
        <f t="shared" si="4"/>
        <v>2005.1776989176478</v>
      </c>
      <c r="I8" s="27">
        <f t="shared" si="5"/>
        <v>1.9769509966603356</v>
      </c>
      <c r="J8" s="27">
        <f t="shared" si="0"/>
        <v>8.0504975013291194E-2</v>
      </c>
      <c r="K8" s="28">
        <f t="shared" si="1"/>
        <v>1.3684013838781539</v>
      </c>
      <c r="L8" s="4">
        <f t="shared" si="2"/>
        <v>99.64144451004077</v>
      </c>
      <c r="M8" s="4">
        <f t="shared" si="8"/>
        <v>-7.0066488488162971E-4</v>
      </c>
      <c r="N8" s="4">
        <f t="shared" ca="1" si="6"/>
        <v>-3.6989708277513182E-3</v>
      </c>
      <c r="O8" s="4">
        <f t="shared" ca="1" si="9"/>
        <v>-2.3808638190331655E-3</v>
      </c>
      <c r="P8" s="4">
        <f t="shared" ca="1" si="7"/>
        <v>0.99762196818924131</v>
      </c>
      <c r="Q8" s="4">
        <v>0.99514259724846399</v>
      </c>
      <c r="BG8" s="3"/>
    </row>
    <row r="9" spans="1:59" ht="14.1" customHeight="1" x14ac:dyDescent="0.4">
      <c r="A9" s="32" t="s">
        <v>24</v>
      </c>
      <c r="B9" s="34"/>
      <c r="C9" s="6"/>
      <c r="D9" s="6"/>
      <c r="E9" s="26">
        <f t="shared" si="10"/>
        <v>6</v>
      </c>
      <c r="F9" s="27">
        <f t="shared" si="3"/>
        <v>0.79364038347137422</v>
      </c>
      <c r="G9" s="27">
        <f t="shared" si="3"/>
        <v>1999.7040933821352</v>
      </c>
      <c r="H9" s="27">
        <f t="shared" si="4"/>
        <v>2011.4838155613022</v>
      </c>
      <c r="I9" s="27">
        <f t="shared" si="5"/>
        <v>2.0157543685057489</v>
      </c>
      <c r="J9" s="27">
        <f t="shared" si="0"/>
        <v>0.24543067973179178</v>
      </c>
      <c r="K9" s="28">
        <f t="shared" si="1"/>
        <v>2.3559444358334076</v>
      </c>
      <c r="L9" s="4">
        <f t="shared" si="2"/>
        <v>99.770967868325258</v>
      </c>
      <c r="M9" s="4">
        <f t="shared" si="8"/>
        <v>1.2990502943546177E-3</v>
      </c>
      <c r="N9" s="4">
        <f t="shared" ca="1" si="6"/>
        <v>8.334988501396471E-3</v>
      </c>
      <c r="O9" s="4">
        <f t="shared" ca="1" si="9"/>
        <v>6.192211064266622E-3</v>
      </c>
      <c r="P9" s="4">
        <f t="shared" ca="1" si="7"/>
        <v>1.0062114224363521</v>
      </c>
      <c r="Q9" s="4">
        <v>0.987580512704478</v>
      </c>
    </row>
    <row r="10" spans="1:59" ht="14.1" customHeight="1" x14ac:dyDescent="0.4">
      <c r="A10" s="11" t="s">
        <v>1</v>
      </c>
      <c r="B10" s="13">
        <v>0.05</v>
      </c>
      <c r="C10" s="6"/>
      <c r="D10" s="6"/>
      <c r="E10" s="26">
        <f t="shared" si="10"/>
        <v>7</v>
      </c>
      <c r="F10" s="27">
        <f t="shared" si="3"/>
        <v>1.0390710632031661</v>
      </c>
      <c r="G10" s="27">
        <f t="shared" si="3"/>
        <v>2002.0600378179686</v>
      </c>
      <c r="H10" s="27">
        <f t="shared" si="4"/>
        <v>2004.9944209665077</v>
      </c>
      <c r="I10" s="27">
        <f t="shared" si="5"/>
        <v>2.0341714160501074</v>
      </c>
      <c r="J10" s="27">
        <f t="shared" si="0"/>
        <v>0.13405983538026248</v>
      </c>
      <c r="K10" s="28">
        <f t="shared" si="1"/>
        <v>0.58687662970783094</v>
      </c>
      <c r="L10" s="4">
        <f t="shared" si="2"/>
        <v>100.12498724607656</v>
      </c>
      <c r="M10" s="4">
        <f t="shared" si="8"/>
        <v>3.5420401346021157E-3</v>
      </c>
      <c r="N10" s="4">
        <f t="shared" ca="1" si="6"/>
        <v>-7.9841662012885301E-3</v>
      </c>
      <c r="O10" s="4">
        <f t="shared" ca="1" si="9"/>
        <v>-2.4111762434485704E-3</v>
      </c>
      <c r="P10" s="4">
        <f t="shared" ca="1" si="7"/>
        <v>0.99759172830705989</v>
      </c>
      <c r="Q10" s="4">
        <v>0.99432702713997112</v>
      </c>
    </row>
    <row r="11" spans="1:59" ht="14.1" customHeight="1" x14ac:dyDescent="0.4">
      <c r="A11" s="11" t="s">
        <v>2</v>
      </c>
      <c r="B11" s="13">
        <v>0.5</v>
      </c>
      <c r="C11" s="6"/>
      <c r="D11" s="6"/>
      <c r="E11" s="26">
        <f t="shared" si="10"/>
        <v>8</v>
      </c>
      <c r="F11" s="27">
        <f t="shared" si="3"/>
        <v>1.1731308985834286</v>
      </c>
      <c r="G11" s="27">
        <f t="shared" si="3"/>
        <v>2002.6469144476764</v>
      </c>
      <c r="H11" s="27">
        <f t="shared" si="4"/>
        <v>2005.2071322551913</v>
      </c>
      <c r="I11" s="27">
        <f t="shared" si="5"/>
        <v>2.0544036374061858</v>
      </c>
      <c r="J11" s="27">
        <f t="shared" si="0"/>
        <v>0.15854628251001032</v>
      </c>
      <c r="K11" s="28">
        <f t="shared" si="1"/>
        <v>0.51204356150296915</v>
      </c>
      <c r="L11" s="4">
        <f t="shared" si="2"/>
        <v>100.27827480226416</v>
      </c>
      <c r="M11" s="4">
        <f t="shared" si="8"/>
        <v>1.5297913269001068E-3</v>
      </c>
      <c r="N11" s="4">
        <f t="shared" ca="1" si="6"/>
        <v>6.7391039425120022E-3</v>
      </c>
      <c r="O11" s="4">
        <f t="shared" ca="1" si="9"/>
        <v>4.5690453234082887E-3</v>
      </c>
      <c r="P11" s="4">
        <f t="shared" ca="1" si="7"/>
        <v>1.0045794993265327</v>
      </c>
      <c r="Q11" s="4">
        <v>0.99339614309833768</v>
      </c>
    </row>
    <row r="12" spans="1:59" ht="14.1" customHeight="1" x14ac:dyDescent="0.4">
      <c r="A12" s="11" t="s">
        <v>3</v>
      </c>
      <c r="B12" s="13">
        <v>50</v>
      </c>
      <c r="C12" s="6" t="s">
        <v>0</v>
      </c>
      <c r="D12" s="6"/>
      <c r="E12" s="26">
        <f t="shared" si="10"/>
        <v>9</v>
      </c>
      <c r="F12" s="27">
        <f t="shared" si="3"/>
        <v>1.3316771810934389</v>
      </c>
      <c r="G12" s="27">
        <f t="shared" si="3"/>
        <v>2003.1589580091793</v>
      </c>
      <c r="H12" s="27">
        <f t="shared" si="4"/>
        <v>2006.0040304833858</v>
      </c>
      <c r="I12" s="27">
        <f t="shared" si="5"/>
        <v>2.0785942200779628</v>
      </c>
      <c r="J12" s="27">
        <f t="shared" si="0"/>
        <v>0.19867482974568021</v>
      </c>
      <c r="K12" s="28">
        <f t="shared" si="1"/>
        <v>0.56901449484130351</v>
      </c>
      <c r="L12" s="4">
        <f t="shared" si="2"/>
        <v>100.45032797151342</v>
      </c>
      <c r="M12" s="4">
        <f t="shared" si="8"/>
        <v>1.7142869427402357E-3</v>
      </c>
      <c r="N12" s="4">
        <f t="shared" ca="1" si="6"/>
        <v>5.0055850052423169E-3</v>
      </c>
      <c r="O12" s="4">
        <f t="shared" ca="1" si="9"/>
        <v>9.1177257963097769E-3</v>
      </c>
      <c r="P12" s="4">
        <f t="shared" ca="1" si="7"/>
        <v>1.0091594188771797</v>
      </c>
      <c r="Q12" s="4">
        <v>0.99164573751730567</v>
      </c>
    </row>
    <row r="13" spans="1:59" ht="14.1" customHeight="1" x14ac:dyDescent="0.4">
      <c r="A13" s="11" t="s">
        <v>9</v>
      </c>
      <c r="B13" s="13">
        <v>0.1</v>
      </c>
      <c r="C13" s="6"/>
      <c r="D13" s="6"/>
      <c r="E13" s="26">
        <f t="shared" si="10"/>
        <v>10</v>
      </c>
      <c r="F13" s="27">
        <f t="shared" si="3"/>
        <v>1.5303520108391191</v>
      </c>
      <c r="G13" s="27">
        <f t="shared" si="3"/>
        <v>2003.7279725040205</v>
      </c>
      <c r="H13" s="27">
        <f t="shared" si="4"/>
        <v>2002.308641293004</v>
      </c>
      <c r="I13" s="27">
        <f t="shared" si="5"/>
        <v>2.0912726546433542</v>
      </c>
      <c r="J13" s="27">
        <f t="shared" si="0"/>
        <v>0.13744548050343611</v>
      </c>
      <c r="K13" s="28">
        <f t="shared" si="1"/>
        <v>-0.28386624220329398</v>
      </c>
      <c r="L13" s="4">
        <f t="shared" si="2"/>
        <v>100.67111430871849</v>
      </c>
      <c r="M13" s="4">
        <f t="shared" si="8"/>
        <v>2.1955533273106862E-3</v>
      </c>
      <c r="N13" s="4">
        <f t="shared" ca="1" si="6"/>
        <v>-2.908000046074815E-3</v>
      </c>
      <c r="O13" s="4">
        <f t="shared" ca="1" si="9"/>
        <v>5.2979531706039851E-3</v>
      </c>
      <c r="P13" s="4">
        <f t="shared" ca="1" si="7"/>
        <v>1.0053120121414607</v>
      </c>
      <c r="Q13" s="4">
        <v>0.99499171222683847</v>
      </c>
    </row>
    <row r="14" spans="1:59" ht="14.1" customHeight="1" thickBot="1" x14ac:dyDescent="0.45">
      <c r="A14" s="14" t="s">
        <v>6</v>
      </c>
      <c r="B14" s="16">
        <v>0.2</v>
      </c>
      <c r="C14" s="6"/>
      <c r="D14" s="6"/>
      <c r="E14" s="26">
        <f t="shared" si="10"/>
        <v>11</v>
      </c>
      <c r="F14" s="27">
        <f t="shared" si="3"/>
        <v>1.6677974913425553</v>
      </c>
      <c r="G14" s="27">
        <f t="shared" si="3"/>
        <v>2003.4441062618173</v>
      </c>
      <c r="H14" s="27">
        <f t="shared" si="4"/>
        <v>2002.7340573654083</v>
      </c>
      <c r="I14" s="27">
        <f t="shared" si="5"/>
        <v>2.1061553880929851</v>
      </c>
      <c r="J14" s="27">
        <f t="shared" si="0"/>
        <v>0.16083653540114937</v>
      </c>
      <c r="K14" s="28">
        <f t="shared" si="1"/>
        <v>-0.14200977928180691</v>
      </c>
      <c r="L14" s="4">
        <f t="shared" si="2"/>
        <v>100.78692511038693</v>
      </c>
      <c r="M14" s="4">
        <f t="shared" si="8"/>
        <v>1.1497264121066765E-3</v>
      </c>
      <c r="N14" s="4">
        <f t="shared" ca="1" si="6"/>
        <v>5.3126392904324839E-4</v>
      </c>
      <c r="O14" s="4">
        <f t="shared" ca="1" si="9"/>
        <v>5.2994217825868351E-3</v>
      </c>
      <c r="P14" s="4">
        <f t="shared" ca="1" si="7"/>
        <v>1.0053134885558124</v>
      </c>
      <c r="Q14" s="4">
        <v>0.99368022636085118</v>
      </c>
    </row>
    <row r="15" spans="1:59" ht="14.1" customHeight="1" thickBot="1" x14ac:dyDescent="0.45">
      <c r="A15" s="6"/>
      <c r="B15" s="6"/>
      <c r="C15" s="7" t="s">
        <v>0</v>
      </c>
      <c r="D15" s="6"/>
      <c r="E15" s="26">
        <f t="shared" si="10"/>
        <v>12</v>
      </c>
      <c r="F15" s="27">
        <f t="shared" si="3"/>
        <v>1.8286340267437047</v>
      </c>
      <c r="G15" s="27">
        <f t="shared" si="3"/>
        <v>2003.3020964825355</v>
      </c>
      <c r="H15" s="27">
        <f t="shared" si="4"/>
        <v>2002.0404126629066</v>
      </c>
      <c r="I15" s="27">
        <f t="shared" si="5"/>
        <v>2.1194620700872324</v>
      </c>
      <c r="J15" s="27">
        <f t="shared" si="0"/>
        <v>0.16027032334536442</v>
      </c>
      <c r="K15" s="28">
        <f t="shared" si="1"/>
        <v>-0.25233676392576854</v>
      </c>
      <c r="L15" s="4">
        <f t="shared" si="2"/>
        <v>100.93400781582687</v>
      </c>
      <c r="M15" s="4">
        <f t="shared" si="8"/>
        <v>1.4582793106453866E-3</v>
      </c>
      <c r="N15" s="4">
        <f t="shared" ca="1" si="6"/>
        <v>5.6167150355152561E-3</v>
      </c>
      <c r="O15" s="4">
        <f t="shared" ca="1" si="9"/>
        <v>1.0386194639843409E-2</v>
      </c>
      <c r="P15" s="4">
        <f t="shared" ca="1" si="7"/>
        <v>1.0104403183769888</v>
      </c>
      <c r="Q15" s="4">
        <v>0.99363753207399952</v>
      </c>
    </row>
    <row r="16" spans="1:59" ht="14.1" customHeight="1" x14ac:dyDescent="0.4">
      <c r="A16" s="32" t="s">
        <v>25</v>
      </c>
      <c r="B16" s="35" t="s">
        <v>26</v>
      </c>
      <c r="C16" s="37" t="s">
        <v>27</v>
      </c>
      <c r="D16" s="6"/>
      <c r="E16" s="26">
        <f t="shared" si="10"/>
        <v>13</v>
      </c>
      <c r="F16" s="27">
        <f t="shared" si="3"/>
        <v>1.9889043500890691</v>
      </c>
      <c r="G16" s="27">
        <f t="shared" si="3"/>
        <v>2003.0497597186097</v>
      </c>
      <c r="H16" s="27">
        <f t="shared" si="4"/>
        <v>1996.7980395180111</v>
      </c>
      <c r="I16" s="27">
        <f t="shared" si="5"/>
        <v>2.1152026223154374</v>
      </c>
      <c r="J16" s="27">
        <f t="shared" si="0"/>
        <v>5.1163412675662129E-2</v>
      </c>
      <c r="K16" s="28">
        <f t="shared" si="1"/>
        <v>-1.2503440401197168</v>
      </c>
      <c r="L16" s="4">
        <f t="shared" si="2"/>
        <v>101.08379102486184</v>
      </c>
      <c r="M16" s="4">
        <f t="shared" si="8"/>
        <v>1.4828716810215915E-3</v>
      </c>
      <c r="N16" s="4">
        <f t="shared" ca="1" si="6"/>
        <v>5.1112535551557637E-4</v>
      </c>
      <c r="O16" s="4">
        <f t="shared" ca="1" si="9"/>
        <v>9.8587005313746454E-3</v>
      </c>
      <c r="P16" s="4">
        <f t="shared" ca="1" si="7"/>
        <v>1.0099074576148976</v>
      </c>
      <c r="Q16" s="4">
        <v>0.99896670922552178</v>
      </c>
    </row>
    <row r="17" spans="1:17" ht="14.1" customHeight="1" x14ac:dyDescent="0.4">
      <c r="A17" s="11" t="s">
        <v>8</v>
      </c>
      <c r="B17" s="12">
        <v>2</v>
      </c>
      <c r="C17" s="13">
        <v>1.8</v>
      </c>
      <c r="D17" s="6"/>
      <c r="E17" s="26">
        <f t="shared" si="10"/>
        <v>14</v>
      </c>
      <c r="F17" s="27">
        <f t="shared" si="3"/>
        <v>2.040067762764731</v>
      </c>
      <c r="G17" s="27">
        <f t="shared" si="3"/>
        <v>2001.79941567849</v>
      </c>
      <c r="H17" s="27">
        <f t="shared" si="4"/>
        <v>1994.0289912105882</v>
      </c>
      <c r="I17" s="27">
        <f t="shared" si="5"/>
        <v>2.1009850722980201</v>
      </c>
      <c r="J17" s="27">
        <f t="shared" si="0"/>
        <v>-1.843510349021699E-2</v>
      </c>
      <c r="K17" s="28">
        <f t="shared" si="1"/>
        <v>-1.5540848935803753</v>
      </c>
      <c r="L17" s="4">
        <f t="shared" si="2"/>
        <v>101.07954601054024</v>
      </c>
      <c r="M17" s="4">
        <f t="shared" si="8"/>
        <v>-4.199588693450378E-5</v>
      </c>
      <c r="N17" s="4">
        <f t="shared" ca="1" si="6"/>
        <v>7.3176766780074876E-4</v>
      </c>
      <c r="O17" s="4">
        <f t="shared" ca="1" si="9"/>
        <v>9.6045981460379289E-3</v>
      </c>
      <c r="P17" s="4">
        <f t="shared" ca="1" si="7"/>
        <v>1.0096508703220506</v>
      </c>
      <c r="Q17" s="4">
        <v>1.0018214630137559</v>
      </c>
    </row>
    <row r="18" spans="1:17" ht="14.1" customHeight="1" x14ac:dyDescent="0.4">
      <c r="A18" s="11" t="s">
        <v>29</v>
      </c>
      <c r="B18" s="12">
        <v>2100</v>
      </c>
      <c r="C18" s="13">
        <v>2100</v>
      </c>
      <c r="D18" s="6"/>
      <c r="E18" s="26">
        <f t="shared" si="10"/>
        <v>15</v>
      </c>
      <c r="F18" s="27">
        <f t="shared" si="3"/>
        <v>2.021632659274514</v>
      </c>
      <c r="G18" s="27">
        <f t="shared" si="3"/>
        <v>2000.2453307849096</v>
      </c>
      <c r="H18" s="27">
        <f t="shared" si="4"/>
        <v>1991.6338505280901</v>
      </c>
      <c r="I18" s="27">
        <f t="shared" si="5"/>
        <v>2.0775367264683493</v>
      </c>
      <c r="J18" s="27">
        <f t="shared" si="0"/>
        <v>-8.9786262969851122E-2</v>
      </c>
      <c r="K18" s="28">
        <f t="shared" si="1"/>
        <v>-1.722296051363901</v>
      </c>
      <c r="L18" s="4">
        <f t="shared" si="2"/>
        <v>100.99513083528583</v>
      </c>
      <c r="M18" s="4">
        <f t="shared" si="8"/>
        <v>-8.354849947794764E-4</v>
      </c>
      <c r="N18" s="4">
        <f t="shared" ca="1" si="6"/>
        <v>4.695858415637349E-3</v>
      </c>
      <c r="O18" s="4">
        <f t="shared" ca="1" si="9"/>
        <v>1.3339996747071484E-2</v>
      </c>
      <c r="P18" s="4">
        <f t="shared" ca="1" si="7"/>
        <v>1.0134293714810405</v>
      </c>
      <c r="Q18" s="4">
        <v>1.0046119785409473</v>
      </c>
    </row>
    <row r="19" spans="1:17" ht="14.1" customHeight="1" thickBot="1" x14ac:dyDescent="0.45">
      <c r="A19" s="14" t="s">
        <v>41</v>
      </c>
      <c r="B19" s="15">
        <v>2000</v>
      </c>
      <c r="C19" s="16">
        <v>2000</v>
      </c>
      <c r="D19" s="6"/>
      <c r="E19" s="26">
        <f t="shared" si="10"/>
        <v>16</v>
      </c>
      <c r="F19" s="27">
        <f t="shared" si="3"/>
        <v>1.9318463963046628</v>
      </c>
      <c r="G19" s="27">
        <f t="shared" si="3"/>
        <v>1998.5230347335457</v>
      </c>
      <c r="H19" s="27">
        <f t="shared" si="4"/>
        <v>1996.8984493105656</v>
      </c>
      <c r="I19" s="27">
        <f t="shared" si="5"/>
        <v>2.0710942634997132</v>
      </c>
      <c r="J19" s="27">
        <f t="shared" si="0"/>
        <v>9.0632497110277651E-3</v>
      </c>
      <c r="K19" s="28">
        <f t="shared" si="1"/>
        <v>-0.32491708459601798</v>
      </c>
      <c r="L19" s="4">
        <f t="shared" si="2"/>
        <v>100.82245100123211</v>
      </c>
      <c r="M19" s="4">
        <f t="shared" si="8"/>
        <v>-1.711247103661754E-3</v>
      </c>
      <c r="N19" s="4">
        <f t="shared" ca="1" si="6"/>
        <v>3.8832660506436616E-4</v>
      </c>
      <c r="O19" s="4">
        <f t="shared" ca="1" si="9"/>
        <v>1.2394323677428702E-2</v>
      </c>
      <c r="P19" s="4">
        <f t="shared" ca="1" si="7"/>
        <v>1.012471451627339</v>
      </c>
      <c r="Q19" s="4">
        <v>0.99880835488122144</v>
      </c>
    </row>
    <row r="20" spans="1:17" ht="14.1" customHeight="1" thickBot="1" x14ac:dyDescent="0.45">
      <c r="A20" s="6"/>
      <c r="B20" s="6"/>
      <c r="C20" s="6"/>
      <c r="D20" s="6"/>
      <c r="E20" s="26">
        <f t="shared" si="10"/>
        <v>17</v>
      </c>
      <c r="F20" s="27">
        <f t="shared" ref="F20:G33" si="11">F19+J19</f>
        <v>1.9409096460156905</v>
      </c>
      <c r="G20" s="27">
        <f t="shared" si="11"/>
        <v>1998.1981176489496</v>
      </c>
      <c r="H20" s="27">
        <f t="shared" si="4"/>
        <v>1997.2531987363002</v>
      </c>
      <c r="I20" s="27">
        <f t="shared" si="5"/>
        <v>2.0655130932168957</v>
      </c>
      <c r="J20" s="27">
        <f t="shared" si="0"/>
        <v>1.0577067942897429E-2</v>
      </c>
      <c r="K20" s="28">
        <f t="shared" si="1"/>
        <v>-0.18898378252988551</v>
      </c>
      <c r="L20" s="4">
        <f t="shared" si="2"/>
        <v>100.81805898185473</v>
      </c>
      <c r="M20" s="4">
        <f t="shared" si="8"/>
        <v>-4.3562867188127548E-5</v>
      </c>
      <c r="N20" s="4">
        <f t="shared" ca="1" si="6"/>
        <v>-1.0462645025336479E-2</v>
      </c>
      <c r="O20" s="4">
        <f t="shared" ca="1" si="9"/>
        <v>6.9224628434935362E-4</v>
      </c>
      <c r="P20" s="4">
        <f t="shared" ca="1" si="7"/>
        <v>1.000692485942106</v>
      </c>
      <c r="Q20" s="4">
        <v>0.99857020542732988</v>
      </c>
    </row>
    <row r="21" spans="1:17" ht="14.1" customHeight="1" x14ac:dyDescent="0.4">
      <c r="A21" s="32" t="s">
        <v>30</v>
      </c>
      <c r="B21" s="36" t="s">
        <v>31</v>
      </c>
      <c r="C21" s="37" t="s">
        <v>32</v>
      </c>
      <c r="D21" s="6"/>
      <c r="E21" s="26">
        <f t="shared" si="10"/>
        <v>18</v>
      </c>
      <c r="F21" s="27">
        <f t="shared" si="11"/>
        <v>1.9514867139585879</v>
      </c>
      <c r="G21" s="27">
        <f t="shared" si="11"/>
        <v>1998.0091338664197</v>
      </c>
      <c r="H21" s="27">
        <f t="shared" si="4"/>
        <v>1997.3017952984674</v>
      </c>
      <c r="I21" s="27">
        <f t="shared" si="5"/>
        <v>2.0597765875693916</v>
      </c>
      <c r="J21" s="27">
        <f t="shared" si="0"/>
        <v>5.8124935387399998E-3</v>
      </c>
      <c r="K21" s="28">
        <f t="shared" si="1"/>
        <v>-0.14146771359046398</v>
      </c>
      <c r="L21" s="4">
        <f t="shared" si="2"/>
        <v>100.82205511349488</v>
      </c>
      <c r="M21" s="4">
        <f t="shared" si="8"/>
        <v>3.9636276329366207E-5</v>
      </c>
      <c r="N21" s="4">
        <f t="shared" ca="1" si="6"/>
        <v>5.1691333934705671E-3</v>
      </c>
      <c r="O21" s="4">
        <f t="shared" ca="1" si="9"/>
        <v>5.792155049384985E-3</v>
      </c>
      <c r="P21" s="4">
        <f t="shared" ca="1" si="7"/>
        <v>1.005808962013288</v>
      </c>
      <c r="Q21" s="4">
        <v>0.99871394225627286</v>
      </c>
    </row>
    <row r="22" spans="1:17" ht="14.1" customHeight="1" x14ac:dyDescent="0.4">
      <c r="A22" s="11" t="s">
        <v>33</v>
      </c>
      <c r="B22" s="17">
        <f>(Theta*Beta0_0)/Beta1+m_0-(Psi+Theta/Beta1)*ybar0</f>
        <v>0.99999999999998579</v>
      </c>
      <c r="C22" s="18">
        <f>(Theta*Beta0_1)/Beta1+m_1-(Psi+Theta/Beta1)*ybar1</f>
        <v>5.9999999999999858</v>
      </c>
      <c r="D22" s="6"/>
      <c r="E22" s="26">
        <f t="shared" si="10"/>
        <v>19</v>
      </c>
      <c r="F22" s="27">
        <f t="shared" si="11"/>
        <v>1.9572992074973279</v>
      </c>
      <c r="G22" s="27">
        <f t="shared" si="11"/>
        <v>1997.8676661528293</v>
      </c>
      <c r="H22" s="27">
        <f t="shared" si="4"/>
        <v>1996.3798670966155</v>
      </c>
      <c r="I22" s="27">
        <f t="shared" si="5"/>
        <v>2.0504854165623203</v>
      </c>
      <c r="J22" s="27">
        <f t="shared" si="0"/>
        <v>-2.1917241505370839E-2</v>
      </c>
      <c r="K22" s="28">
        <f t="shared" si="1"/>
        <v>-0.29755981124276332</v>
      </c>
      <c r="L22" s="4">
        <f t="shared" si="2"/>
        <v>100.82543980685764</v>
      </c>
      <c r="M22" s="4">
        <f t="shared" si="8"/>
        <v>3.3570398327201713E-5</v>
      </c>
      <c r="N22" s="4">
        <f t="shared" ca="1" si="6"/>
        <v>1.1192127607654288E-2</v>
      </c>
      <c r="O22" s="4">
        <f t="shared" ca="1" si="9"/>
        <v>1.6405067152100775E-2</v>
      </c>
      <c r="P22" s="4">
        <f t="shared" ca="1" si="7"/>
        <v>1.0165403691330086</v>
      </c>
      <c r="Q22" s="4">
        <v>1.0000296951516832</v>
      </c>
    </row>
    <row r="23" spans="1:17" ht="14.1" customHeight="1" thickBot="1" x14ac:dyDescent="0.45">
      <c r="A23" s="14" t="s">
        <v>34</v>
      </c>
      <c r="B23" s="19">
        <f>ypot0</f>
        <v>2000</v>
      </c>
      <c r="C23" s="16">
        <f>ypot1</f>
        <v>2000</v>
      </c>
      <c r="D23" s="6"/>
      <c r="E23" s="26">
        <f t="shared" si="10"/>
        <v>20</v>
      </c>
      <c r="F23" s="27">
        <f t="shared" si="11"/>
        <v>1.9353819659919571</v>
      </c>
      <c r="G23" s="27">
        <f t="shared" si="11"/>
        <v>1997.5701063415866</v>
      </c>
      <c r="H23" s="27">
        <f t="shared" si="4"/>
        <v>1995.6559371368278</v>
      </c>
      <c r="I23" s="27">
        <f t="shared" si="5"/>
        <v>2.0381233520126014</v>
      </c>
      <c r="J23" s="27">
        <f t="shared" si="0"/>
        <v>-4.8757905250843121E-2</v>
      </c>
      <c r="K23" s="28">
        <f t="shared" si="1"/>
        <v>-0.38283384095175282</v>
      </c>
      <c r="L23" s="4">
        <f t="shared" si="2"/>
        <v>100.79482560706498</v>
      </c>
      <c r="M23" s="4">
        <f t="shared" si="8"/>
        <v>-3.0368177489592313E-4</v>
      </c>
      <c r="N23" s="4">
        <f t="shared" ca="1" si="6"/>
        <v>7.4720251454873216E-4</v>
      </c>
      <c r="O23" s="4">
        <f t="shared" ca="1" si="9"/>
        <v>1.5511762951439431E-2</v>
      </c>
      <c r="P23" s="4">
        <f t="shared" ca="1" si="7"/>
        <v>1.0156326948261156</v>
      </c>
      <c r="Q23" s="4">
        <v>1.0012229484333355</v>
      </c>
    </row>
    <row r="24" spans="1:17" ht="14.1" customHeight="1" thickBot="1" x14ac:dyDescent="0.45">
      <c r="A24" s="6"/>
      <c r="B24" s="6"/>
      <c r="C24" s="6"/>
      <c r="D24" s="6"/>
      <c r="E24" s="26">
        <f t="shared" si="10"/>
        <v>21</v>
      </c>
      <c r="F24" s="27">
        <f t="shared" si="11"/>
        <v>1.886624060741114</v>
      </c>
      <c r="G24" s="27">
        <f t="shared" si="11"/>
        <v>1997.1872725006349</v>
      </c>
      <c r="H24" s="27">
        <f t="shared" si="4"/>
        <v>2000.2974778460277</v>
      </c>
      <c r="I24" s="27">
        <f t="shared" si="5"/>
        <v>2.041263427480517</v>
      </c>
      <c r="J24" s="27">
        <f t="shared" si="0"/>
        <v>4.7212984401071481E-2</v>
      </c>
      <c r="K24" s="28">
        <f t="shared" si="1"/>
        <v>0.62204106907856849</v>
      </c>
      <c r="L24" s="4">
        <f t="shared" si="2"/>
        <v>100.7253559720326</v>
      </c>
      <c r="M24" s="4">
        <f t="shared" si="8"/>
        <v>-6.8945588714620573E-4</v>
      </c>
      <c r="N24" s="4">
        <f t="shared" ca="1" si="6"/>
        <v>-5.8338292954160462E-3</v>
      </c>
      <c r="O24" s="4">
        <f t="shared" ca="1" si="9"/>
        <v>8.126757360879441E-3</v>
      </c>
      <c r="P24" s="4">
        <f t="shared" ca="1" si="7"/>
        <v>1.0081598690896978</v>
      </c>
      <c r="Q24" s="4">
        <v>0.99623298703026386</v>
      </c>
    </row>
    <row r="25" spans="1:17" ht="14.1" customHeight="1" x14ac:dyDescent="0.4">
      <c r="A25" s="32" t="s">
        <v>35</v>
      </c>
      <c r="B25" s="36" t="s">
        <v>36</v>
      </c>
      <c r="C25" s="37" t="s">
        <v>37</v>
      </c>
      <c r="D25" s="6"/>
      <c r="E25" s="26">
        <f t="shared" si="10"/>
        <v>22</v>
      </c>
      <c r="F25" s="27">
        <f t="shared" si="11"/>
        <v>1.9338370451421856</v>
      </c>
      <c r="G25" s="27">
        <f t="shared" si="11"/>
        <v>1997.8093135697134</v>
      </c>
      <c r="H25" s="27">
        <f t="shared" si="4"/>
        <v>2001.7047662758655</v>
      </c>
      <c r="I25" s="27">
        <f t="shared" si="5"/>
        <v>2.049519686391625</v>
      </c>
      <c r="J25" s="27">
        <f t="shared" si="0"/>
        <v>8.3615011908932502E-2</v>
      </c>
      <c r="K25" s="28">
        <f t="shared" si="1"/>
        <v>0.77909054123042554</v>
      </c>
      <c r="L25" s="4">
        <f t="shared" si="2"/>
        <v>100.79954288043204</v>
      </c>
      <c r="M25" s="4">
        <f t="shared" si="8"/>
        <v>7.3625554135586899E-4</v>
      </c>
      <c r="N25" s="4">
        <f t="shared" ca="1" si="6"/>
        <v>-8.8140873105365999E-3</v>
      </c>
      <c r="O25" s="4">
        <f t="shared" ca="1" si="9"/>
        <v>-1.5000056857451026E-3</v>
      </c>
      <c r="P25" s="4">
        <f t="shared" ca="1" si="7"/>
        <v>0.99850111876048797</v>
      </c>
      <c r="Q25" s="4">
        <v>0.99472390618941009</v>
      </c>
    </row>
    <row r="26" spans="1:17" ht="14.1" customHeight="1" x14ac:dyDescent="0.55000000000000004">
      <c r="A26" s="11" t="s">
        <v>10</v>
      </c>
      <c r="B26" s="20">
        <f>IF((Ni*(Beta1*Mi-((Beta1*Psi)/Theta)-1))^2-4*(Ni*Beta1*Mi)/Theta&gt;0,(Ni*(Beta1*Mi-((Beta1*Psi)/Theta)-1)+SQRT((Ni*(Beta1*Mi-((Beta1*Psi)/Theta)-1))^2-4*(Ni*Beta1*Mi)/Theta))/2,((Ni*(Beta1*Mi-((Beta1*Psi)/Theta)-1))/2))</f>
        <v>-0.22984378812835754</v>
      </c>
      <c r="C26" s="21">
        <f>IF((Ni*((Beta1*Mi-(Beta1*Psi)/Theta)-1)^2-4*(Ni*Beta1*Mi)/Theta)&gt;0, 0, +SQRT(-(Ni*((Beta1*Mi-(Beta1*Psi)/Theta)-1)^2-4*(Ni*Beta1*Mi)/Theta))/2)</f>
        <v>0</v>
      </c>
      <c r="D26" s="6"/>
      <c r="E26" s="26">
        <f t="shared" si="10"/>
        <v>23</v>
      </c>
      <c r="F26" s="27">
        <f t="shared" si="11"/>
        <v>2.0174520570511181</v>
      </c>
      <c r="G26" s="27">
        <f t="shared" si="11"/>
        <v>1998.5884041109439</v>
      </c>
      <c r="H26" s="27">
        <f t="shared" si="4"/>
        <v>1997.1467599524715</v>
      </c>
      <c r="I26" s="27">
        <f t="shared" si="5"/>
        <v>2.0423424757386592</v>
      </c>
      <c r="J26" s="27">
        <f t="shared" si="0"/>
        <v>-1.4722325211910175E-2</v>
      </c>
      <c r="K26" s="28">
        <f t="shared" si="1"/>
        <v>-0.28832883169447998</v>
      </c>
      <c r="L26" s="4">
        <f t="shared" si="2"/>
        <v>100.92570102472899</v>
      </c>
      <c r="M26" s="4">
        <f t="shared" si="8"/>
        <v>1.2507920010637582E-3</v>
      </c>
      <c r="N26" s="4">
        <f t="shared" ca="1" si="6"/>
        <v>5.7453167326832234E-3</v>
      </c>
      <c r="O26" s="4">
        <f t="shared" ca="1" si="9"/>
        <v>4.3953116155126312E-3</v>
      </c>
      <c r="P26" s="4">
        <f t="shared" ca="1" si="7"/>
        <v>1.0044049851651737</v>
      </c>
      <c r="Q26" s="4">
        <v>1.0000303183160675</v>
      </c>
    </row>
    <row r="27" spans="1:17" ht="14.1" customHeight="1" thickBot="1" x14ac:dyDescent="0.6">
      <c r="A27" s="14" t="s">
        <v>11</v>
      </c>
      <c r="B27" s="22">
        <f>IF((Ni*(Beta1*Mi-((Beta1*Psi)/Theta)-1))^2-4*(Ni*Beta1*Mi)/Theta&gt;0,(Ni*(Beta1*Mi-((Beta1*Psi)/Theta)-1)-SQRT((Ni*(Beta1*Mi-((Beta1*Psi)/Theta)-1))^2-4*(Ni*Beta1*Mi)/Theta))/2,((Ni*(Beta1*Mi-((Beta1*Psi)/Theta)-1))/2))</f>
        <v>-0.8701562118716426</v>
      </c>
      <c r="C27" s="23">
        <f>IF((Ni*((Beta1*Mi-(Beta1*Psi)/Theta)-1)^2-4*(Ni*Beta1*Mi)/Theta)&gt;0, 0, -SQRT(-(Ni*((Beta1*Mi-(Beta1*Psi)/Theta)-1)^2-4*(Ni*Beta1*Mi)/Theta))/2)</f>
        <v>0</v>
      </c>
      <c r="D27" s="6"/>
      <c r="E27" s="26">
        <f t="shared" si="10"/>
        <v>24</v>
      </c>
      <c r="F27" s="27">
        <f t="shared" si="11"/>
        <v>2.0027297318392079</v>
      </c>
      <c r="G27" s="27">
        <f t="shared" si="11"/>
        <v>1998.3000752792493</v>
      </c>
      <c r="H27" s="27">
        <f t="shared" si="4"/>
        <v>1998.9233144345319</v>
      </c>
      <c r="I27" s="27">
        <f t="shared" si="5"/>
        <v>2.040954525642166</v>
      </c>
      <c r="J27" s="27">
        <f t="shared" si="0"/>
        <v>1.942081433280464E-2</v>
      </c>
      <c r="K27" s="28">
        <f t="shared" si="1"/>
        <v>0.12464783105651805</v>
      </c>
      <c r="L27" s="4">
        <f t="shared" si="2"/>
        <v>100.8972562329806</v>
      </c>
      <c r="M27" s="4">
        <f t="shared" si="8"/>
        <v>-2.818786556617655E-4</v>
      </c>
      <c r="N27" s="4">
        <f t="shared" ca="1" si="6"/>
        <v>-6.0659612973141108E-3</v>
      </c>
      <c r="O27" s="4">
        <f t="shared" ca="1" si="9"/>
        <v>-2.1101808433527424E-3</v>
      </c>
      <c r="P27" s="4">
        <f t="shared" ca="1" si="7"/>
        <v>0.99789204402301113</v>
      </c>
      <c r="Q27" s="4">
        <v>0.9981789969229844</v>
      </c>
    </row>
    <row r="28" spans="1:17" ht="14.1" customHeight="1" thickBot="1" x14ac:dyDescent="0.45">
      <c r="A28" s="6"/>
      <c r="B28" s="6"/>
      <c r="C28" s="6"/>
      <c r="D28" s="6"/>
      <c r="E28" s="26">
        <f t="shared" si="10"/>
        <v>25</v>
      </c>
      <c r="F28" s="27">
        <f t="shared" si="11"/>
        <v>2.0221505461720124</v>
      </c>
      <c r="G28" s="27">
        <f t="shared" si="11"/>
        <v>1998.4247231103059</v>
      </c>
      <c r="H28" s="27">
        <f t="shared" si="4"/>
        <v>2004.5562574596056</v>
      </c>
      <c r="I28" s="27">
        <f t="shared" si="5"/>
        <v>2.0591761325744109</v>
      </c>
      <c r="J28" s="27">
        <f t="shared" si="0"/>
        <v>0.15030128176652396</v>
      </c>
      <c r="K28" s="28">
        <f t="shared" si="1"/>
        <v>1.2263068698599455</v>
      </c>
      <c r="L28" s="4">
        <f t="shared" si="2"/>
        <v>100.91379863540011</v>
      </c>
      <c r="M28" s="4">
        <f t="shared" si="8"/>
        <v>1.6393950735114725E-4</v>
      </c>
      <c r="N28" s="4">
        <f t="shared" ca="1" si="6"/>
        <v>-1.3345855946611676E-3</v>
      </c>
      <c r="O28" s="4">
        <f t="shared" ca="1" si="9"/>
        <v>-3.2337483536786357E-3</v>
      </c>
      <c r="P28" s="4">
        <f t="shared" ca="1" si="7"/>
        <v>0.99677147457912851</v>
      </c>
      <c r="Q28" s="4">
        <v>0.99169729746682678</v>
      </c>
    </row>
    <row r="29" spans="1:17" ht="14.1" customHeight="1" x14ac:dyDescent="0.4">
      <c r="A29" s="32" t="s">
        <v>38</v>
      </c>
      <c r="B29" s="34"/>
      <c r="C29" s="6"/>
      <c r="D29" s="6"/>
      <c r="E29" s="26">
        <f t="shared" si="10"/>
        <v>26</v>
      </c>
      <c r="F29" s="27">
        <f t="shared" si="11"/>
        <v>2.1724518279385365</v>
      </c>
      <c r="G29" s="27">
        <f t="shared" si="11"/>
        <v>1999.6510299801657</v>
      </c>
      <c r="H29" s="27">
        <f t="shared" si="4"/>
        <v>2004.4107432082712</v>
      </c>
      <c r="I29" s="27">
        <f t="shared" si="5"/>
        <v>2.0779686942178124</v>
      </c>
      <c r="J29" s="27">
        <f t="shared" si="0"/>
        <v>0.16618355838323851</v>
      </c>
      <c r="K29" s="28">
        <f t="shared" si="1"/>
        <v>0.9519426456211022</v>
      </c>
      <c r="L29" s="4">
        <f t="shared" si="2"/>
        <v>101.11601897983792</v>
      </c>
      <c r="M29" s="4">
        <f t="shared" si="8"/>
        <v>2.0018867943241616E-3</v>
      </c>
      <c r="N29" s="4">
        <f t="shared" ca="1" si="6"/>
        <v>4.2685962916624593E-3</v>
      </c>
      <c r="O29" s="4">
        <f t="shared" ca="1" si="9"/>
        <v>1.358222773351687E-3</v>
      </c>
      <c r="P29" s="4">
        <f t="shared" ca="1" si="7"/>
        <v>1.0013591455756459</v>
      </c>
      <c r="Q29" s="4">
        <v>0.99151633707092091</v>
      </c>
    </row>
    <row r="30" spans="1:17" ht="14.1" customHeight="1" x14ac:dyDescent="0.55000000000000004">
      <c r="A30" s="11" t="s">
        <v>39</v>
      </c>
      <c r="B30" s="24">
        <f>IF(C26=0,ABS(1+B26),SQRT((1+B26)^2+C26^2))</f>
        <v>0.77015621187164252</v>
      </c>
      <c r="C30" s="6"/>
      <c r="D30" s="6"/>
      <c r="E30" s="26">
        <f t="shared" si="10"/>
        <v>27</v>
      </c>
      <c r="F30" s="27">
        <f t="shared" si="11"/>
        <v>2.338635386321775</v>
      </c>
      <c r="G30" s="27">
        <f t="shared" si="11"/>
        <v>2000.6029726257868</v>
      </c>
      <c r="H30" s="27">
        <f t="shared" si="4"/>
        <v>2006.3572783852765</v>
      </c>
      <c r="I30" s="27">
        <f t="shared" si="5"/>
        <v>2.1046674843042021</v>
      </c>
      <c r="J30" s="27">
        <f t="shared" si="0"/>
        <v>0.23181305200972929</v>
      </c>
      <c r="K30" s="28">
        <f t="shared" si="1"/>
        <v>1.150861151897925</v>
      </c>
      <c r="L30" s="4">
        <f t="shared" si="2"/>
        <v>101.31645027545902</v>
      </c>
      <c r="M30" s="4">
        <f t="shared" si="8"/>
        <v>1.980229375796473E-3</v>
      </c>
      <c r="N30" s="4">
        <f t="shared" ca="1" si="6"/>
        <v>1.9058948761430741E-3</v>
      </c>
      <c r="O30" s="4">
        <f t="shared" ca="1" si="9"/>
        <v>3.1282953721595928E-3</v>
      </c>
      <c r="P30" s="4">
        <f t="shared" ca="1" si="7"/>
        <v>1.0031331935944909</v>
      </c>
      <c r="Q30" s="4">
        <v>0.98871083371240698</v>
      </c>
    </row>
    <row r="31" spans="1:17" ht="14.1" customHeight="1" thickBot="1" x14ac:dyDescent="0.6">
      <c r="A31" s="14" t="s">
        <v>40</v>
      </c>
      <c r="B31" s="25">
        <f>IF(B27=0,ABS(1+B27),SQRT((1+B27)^2+C27^2))</f>
        <v>0.1298437881283574</v>
      </c>
      <c r="C31" s="6"/>
      <c r="D31" s="6"/>
      <c r="E31" s="26">
        <f t="shared" si="10"/>
        <v>28</v>
      </c>
      <c r="F31" s="27">
        <f t="shared" si="11"/>
        <v>2.5704484383315043</v>
      </c>
      <c r="G31" s="27">
        <f t="shared" si="11"/>
        <v>2001.7538337776848</v>
      </c>
      <c r="H31" s="27">
        <f t="shared" si="4"/>
        <v>2009.9295338828751</v>
      </c>
      <c r="I31" s="27">
        <f t="shared" si="5"/>
        <v>2.1454115337874087</v>
      </c>
      <c r="J31" s="27">
        <f t="shared" si="0"/>
        <v>0.344002211444913</v>
      </c>
      <c r="K31" s="28">
        <f t="shared" si="1"/>
        <v>1.6351400210380689</v>
      </c>
      <c r="L31" s="4">
        <f t="shared" si="2"/>
        <v>101.58543436032205</v>
      </c>
      <c r="M31" s="4">
        <f t="shared" si="8"/>
        <v>2.6513725382165329E-3</v>
      </c>
      <c r="N31" s="4">
        <f t="shared" ca="1" si="6"/>
        <v>2.8580870850482428E-3</v>
      </c>
      <c r="O31" s="4">
        <f t="shared" ca="1" si="9"/>
        <v>5.6735529199918762E-3</v>
      </c>
      <c r="P31" s="4">
        <f t="shared" ca="1" si="7"/>
        <v>1.0056896780024391</v>
      </c>
      <c r="Q31" s="4">
        <v>0.98367680631659671</v>
      </c>
    </row>
    <row r="32" spans="1:17" ht="14.1" customHeight="1" x14ac:dyDescent="0.4">
      <c r="A32" s="6"/>
      <c r="B32" s="6"/>
      <c r="C32" s="6"/>
      <c r="D32" s="6"/>
      <c r="E32" s="26">
        <f t="shared" si="10"/>
        <v>29</v>
      </c>
      <c r="F32" s="27">
        <f t="shared" si="11"/>
        <v>2.9144506497764171</v>
      </c>
      <c r="G32" s="27">
        <f t="shared" si="11"/>
        <v>2003.3889737987229</v>
      </c>
      <c r="H32" s="27">
        <f t="shared" si="4"/>
        <v>2006.3158061237543</v>
      </c>
      <c r="I32" s="27">
        <f t="shared" si="5"/>
        <v>2.1759087479275729</v>
      </c>
      <c r="J32" s="27">
        <f t="shared" si="0"/>
        <v>0.30222487040265833</v>
      </c>
      <c r="K32" s="28">
        <f t="shared" si="1"/>
        <v>0.58536646500629108</v>
      </c>
      <c r="L32" s="4">
        <f t="shared" si="2"/>
        <v>101.99594496574878</v>
      </c>
      <c r="M32" s="4">
        <f t="shared" si="8"/>
        <v>4.0328949845265241E-3</v>
      </c>
      <c r="N32" s="4">
        <f t="shared" ca="1" si="6"/>
        <v>1.2322001469083962E-3</v>
      </c>
      <c r="O32" s="4">
        <f t="shared" ca="1" si="9"/>
        <v>6.3383977749010851E-3</v>
      </c>
      <c r="P32" s="4">
        <f t="shared" ca="1" si="7"/>
        <v>1.0063585279265728</v>
      </c>
      <c r="Q32" s="4">
        <v>0.98658324337922854</v>
      </c>
    </row>
    <row r="33" spans="1:17" ht="14.1" customHeight="1" thickBot="1" x14ac:dyDescent="0.45">
      <c r="A33" s="7" t="s">
        <v>56</v>
      </c>
      <c r="B33" s="6"/>
      <c r="C33" s="6"/>
      <c r="D33" s="6"/>
      <c r="E33" s="29">
        <f t="shared" si="10"/>
        <v>30</v>
      </c>
      <c r="F33" s="30">
        <f t="shared" si="11"/>
        <v>3.2166755201790753</v>
      </c>
      <c r="G33" s="30">
        <f t="shared" si="11"/>
        <v>2003.9743402637291</v>
      </c>
      <c r="H33" s="30">
        <f t="shared" si="4"/>
        <v>2001.7626228238323</v>
      </c>
      <c r="I33" s="27">
        <f t="shared" si="5"/>
        <v>2.192258298424866</v>
      </c>
      <c r="J33" s="27">
        <f t="shared" si="0"/>
        <v>0.22751075490151151</v>
      </c>
      <c r="K33" s="31">
        <f t="shared" si="1"/>
        <v>-0.44234348797936041</v>
      </c>
      <c r="L33" s="4">
        <f t="shared" si="2"/>
        <v>102.31926338415312</v>
      </c>
      <c r="M33" s="4">
        <f t="shared" si="8"/>
        <v>3.1649008499631936E-3</v>
      </c>
      <c r="N33" s="4">
        <f t="shared" ca="1" si="6"/>
        <v>-9.2285485424582883E-5</v>
      </c>
      <c r="O33" s="4">
        <f t="shared" ca="1" si="9"/>
        <v>5.612272511986394E-3</v>
      </c>
      <c r="P33" s="4">
        <f t="shared" ca="1" si="7"/>
        <v>1.0056280508169331</v>
      </c>
      <c r="Q33" s="4">
        <v>0.99061163238678895</v>
      </c>
    </row>
    <row r="34" spans="1:17" ht="14.1" customHeight="1" x14ac:dyDescent="0.4">
      <c r="A34" s="6" t="s">
        <v>44</v>
      </c>
      <c r="B34" s="6">
        <v>0.9</v>
      </c>
      <c r="C34" s="6"/>
    </row>
    <row r="35" spans="1:17" ht="14.1" customHeight="1" x14ac:dyDescent="0.4">
      <c r="A35" s="6" t="s">
        <v>45</v>
      </c>
      <c r="B35" s="6">
        <v>5.0000000000000001E-3</v>
      </c>
      <c r="C35" s="6"/>
      <c r="E35" s="6" t="s">
        <v>53</v>
      </c>
      <c r="J35" s="6">
        <f>STDEV(J3:J33)</f>
        <v>0.12293066382732068</v>
      </c>
      <c r="K35" s="6">
        <f>STDEV(K3:K33)</f>
        <v>0.9211316629337053</v>
      </c>
    </row>
    <row r="36" spans="1:17" ht="14.1" customHeight="1" x14ac:dyDescent="0.4">
      <c r="A36" s="7" t="s">
        <v>55</v>
      </c>
      <c r="B36" s="6"/>
      <c r="C36" s="6"/>
    </row>
    <row r="37" spans="1:17" ht="14.1" customHeight="1" x14ac:dyDescent="0.4">
      <c r="A37" s="4" t="s">
        <v>50</v>
      </c>
      <c r="B37" s="4">
        <v>0.9</v>
      </c>
      <c r="C37" s="5" t="s">
        <v>0</v>
      </c>
      <c r="E37" s="6" t="s">
        <v>54</v>
      </c>
      <c r="J37" s="6">
        <f xml:space="preserve"> $B$41* J35^2+ (1-$B$41) * K36^2</f>
        <v>7.5559740545128647E-3</v>
      </c>
    </row>
    <row r="38" spans="1:17" ht="14.1" customHeight="1" x14ac:dyDescent="0.4">
      <c r="A38" s="4" t="s">
        <v>51</v>
      </c>
      <c r="B38" s="4">
        <v>1.5</v>
      </c>
    </row>
    <row r="39" spans="1:17" ht="14.1" customHeight="1" x14ac:dyDescent="0.4">
      <c r="A39" s="4" t="s">
        <v>52</v>
      </c>
      <c r="B39" s="4">
        <v>0.25</v>
      </c>
    </row>
    <row r="41" spans="1:17" x14ac:dyDescent="0.4">
      <c r="A41" s="42" t="s">
        <v>57</v>
      </c>
      <c r="B41" s="4">
        <v>0.5</v>
      </c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Money Rule</vt:lpstr>
      <vt:lpstr>Interest Rate</vt:lpstr>
      <vt:lpstr>Taylor Rule-Stochastic </vt:lpstr>
      <vt:lpstr>Beta</vt:lpstr>
      <vt:lpstr>Beta0_0</vt:lpstr>
      <vt:lpstr>Beta0_1</vt:lpstr>
      <vt:lpstr>Beta1</vt:lpstr>
      <vt:lpstr>Delta</vt:lpstr>
      <vt:lpstr>i_0</vt:lpstr>
      <vt:lpstr>i_1</vt:lpstr>
      <vt:lpstr>m_0</vt:lpstr>
      <vt:lpstr>m_1</vt:lpstr>
      <vt:lpstr>Mi</vt:lpstr>
      <vt:lpstr>Ni</vt:lpstr>
      <vt:lpstr>pbar_0</vt:lpstr>
      <vt:lpstr>pbar_1</vt:lpstr>
      <vt:lpstr>Psi</vt:lpstr>
      <vt:lpstr>rho_z</vt:lpstr>
      <vt:lpstr>sigma_z</vt:lpstr>
      <vt:lpstr>Theta</vt:lpstr>
      <vt:lpstr>ybar0</vt:lpstr>
      <vt:lpstr>ybar1</vt:lpstr>
      <vt:lpstr>ypot_0</vt:lpstr>
      <vt:lpstr>ypot_1</vt:lpstr>
      <vt:lpstr>ypot0</vt:lpstr>
      <vt:lpstr>ypot1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2026-02-05T16:41:46Z</dcterms:modified>
</cp:coreProperties>
</file>