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int\Dropbox\ComputMacro\EXCEL-ICM\"/>
    </mc:Choice>
  </mc:AlternateContent>
  <xr:revisionPtr revIDLastSave="0" documentId="13_ncr:1_{866108E6-1505-440C-8A69-E0941D97AB61}" xr6:coauthVersionLast="47" xr6:coauthVersionMax="47" xr10:uidLastSave="{00000000-0000-0000-0000-000000000000}"/>
  <bookViews>
    <workbookView xWindow="-98" yWindow="-98" windowWidth="19396" windowHeight="11475" xr2:uid="{00000000-000D-0000-FFFF-FFFF00000000}"/>
  </bookViews>
  <sheets>
    <sheet name="Hoja1" sheetId="1" r:id="rId1"/>
    <sheet name="Hoja2" sheetId="2" r:id="rId2"/>
    <sheet name="Hoja3" sheetId="3" r:id="rId3"/>
    <sheet name="Revenue Neutral SS" sheetId="4" r:id="rId4"/>
  </sheets>
  <definedNames>
    <definedName name="A_0">Hoja1!$K$39</definedName>
    <definedName name="A_1">Hoja1!$K$42</definedName>
    <definedName name="B_0">Hoja1!$L$39</definedName>
    <definedName name="B_1">Hoja1!$L$42</definedName>
    <definedName name="Beta">Hoja1!$B$4</definedName>
    <definedName name="Cbar">Hoja1!$B$18</definedName>
    <definedName name="Ctilde">Hoja1!$B$30</definedName>
    <definedName name="Gamma">Hoja1!$B$6</definedName>
    <definedName name="Gbar">Hoja1!$B$28</definedName>
    <definedName name="lambda0">Hoja1!$B$17</definedName>
    <definedName name="lambda1">Hoja1!$B$32</definedName>
    <definedName name="Lbar">Hoja1!$B$16</definedName>
    <definedName name="omega">Hoja1!$B$26</definedName>
    <definedName name="Phi">Hoja1!$B$7</definedName>
    <definedName name="R_0">Hoja1!$B$10</definedName>
    <definedName name="R_N">Hoja1!$B$11</definedName>
    <definedName name="Rbar">Hoja1!$B$10</definedName>
    <definedName name="rho">Hoja1!$B$25</definedName>
    <definedName name="Sigma">Hoja1!$B$5</definedName>
    <definedName name="solver_adj" localSheetId="0" hidden="1">Hoja1!$E$4:$E$33</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100</definedName>
    <definedName name="solver_lhs1" localSheetId="0" hidden="1">Hoja1!$E$3:$E$33</definedName>
    <definedName name="solver_lhs2" localSheetId="0" hidden="1">Hoja1!$F$3:$F$33</definedName>
    <definedName name="solver_lhs3" localSheetId="0" hidden="1">Hoja1!$F$3:$F$33</definedName>
    <definedName name="solver_lhs4" localSheetId="0" hidden="1">Hoja1!$H$33</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4</definedName>
    <definedName name="solver_nwt" localSheetId="0" hidden="1">1</definedName>
    <definedName name="solver_opt" localSheetId="0" hidden="1">Hoja1!$U$34</definedName>
    <definedName name="solver_pre" localSheetId="0" hidden="1">0.000001</definedName>
    <definedName name="solver_rbv" localSheetId="0" hidden="1">1</definedName>
    <definedName name="solver_rel1" localSheetId="0" hidden="1">3</definedName>
    <definedName name="solver_rel2" localSheetId="0" hidden="1">1</definedName>
    <definedName name="solver_rel3" localSheetId="0" hidden="1">3</definedName>
    <definedName name="solver_rel4" localSheetId="0" hidden="1">2</definedName>
    <definedName name="solver_rhs1" localSheetId="0" hidden="1">0.1</definedName>
    <definedName name="solver_rhs2" localSheetId="0" hidden="1">0.6</definedName>
    <definedName name="solver_rhs3" localSheetId="0" hidden="1">0.01</definedName>
    <definedName name="solver_rhs4" localSheetId="0" hidden="1">0</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100</definedName>
    <definedName name="solver_tol" localSheetId="0" hidden="1">0.05</definedName>
    <definedName name="solver_typ" localSheetId="0" hidden="1">1</definedName>
    <definedName name="solver_val" localSheetId="0" hidden="1">0</definedName>
    <definedName name="solver_ver" localSheetId="0" hidden="1">3</definedName>
    <definedName name="tau_c">Hoja1!$B$13</definedName>
    <definedName name="tau_ret">Hoja1!$B$14</definedName>
    <definedName name="tau_w">Hoja1!$B$12</definedName>
    <definedName name="W_1">Hoja1!$B$20</definedName>
    <definedName name="W0">Hoja1!$A$15</definedName>
    <definedName name="Wage">Hoja1!$A$15</definedName>
    <definedName name="Wbar">Hoja1!$B$15</definedName>
    <definedName name="xi">Hoja1!$B$24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4" l="1"/>
  <c r="B15" i="4"/>
  <c r="B10" i="4"/>
  <c r="B9" i="4"/>
  <c r="S46" i="1"/>
  <c r="S45" i="1"/>
  <c r="S44" i="1"/>
  <c r="S43" i="1"/>
  <c r="S42" i="1"/>
  <c r="S41" i="1"/>
  <c r="S40" i="1"/>
  <c r="S39" i="1"/>
  <c r="S38" i="1"/>
  <c r="S37" i="1"/>
  <c r="S36" i="1"/>
  <c r="S35" i="1"/>
  <c r="S34" i="1"/>
  <c r="B25" i="1"/>
  <c r="B16" i="1"/>
  <c r="B8" i="4" s="1"/>
  <c r="B11" i="1"/>
  <c r="D4" i="1"/>
  <c r="B18" i="1" l="1"/>
  <c r="D5" i="1"/>
  <c r="B23" i="4"/>
  <c r="B11" i="4"/>
  <c r="B7" i="4" l="1"/>
  <c r="Q5" i="1"/>
  <c r="E34" i="1"/>
  <c r="B22" i="1"/>
  <c r="E3" i="1"/>
  <c r="Q3" i="1" s="1"/>
  <c r="B28" i="1"/>
  <c r="B12" i="4"/>
  <c r="B17" i="1"/>
  <c r="B6" i="1" s="1"/>
  <c r="D6" i="1"/>
  <c r="F26" i="4" l="1"/>
  <c r="K18" i="1"/>
  <c r="F18" i="1" s="1"/>
  <c r="G18" i="1" s="1"/>
  <c r="L18" i="1"/>
  <c r="L23" i="1"/>
  <c r="K23" i="1"/>
  <c r="F23" i="1" s="1"/>
  <c r="G23" i="1" s="1"/>
  <c r="M23" i="1" s="1"/>
  <c r="K21" i="1"/>
  <c r="F21" i="1" s="1"/>
  <c r="G21" i="1" s="1"/>
  <c r="L21" i="1"/>
  <c r="K20" i="1"/>
  <c r="F20" i="1" s="1"/>
  <c r="G20" i="1" s="1"/>
  <c r="J20" i="1" s="1"/>
  <c r="L20" i="1"/>
  <c r="K19" i="1"/>
  <c r="F19" i="1" s="1"/>
  <c r="G19" i="1" s="1"/>
  <c r="L19" i="1"/>
  <c r="K17" i="1"/>
  <c r="F17" i="1" s="1"/>
  <c r="G17" i="1" s="1"/>
  <c r="M17" i="1" s="1"/>
  <c r="L17" i="1"/>
  <c r="K15" i="1"/>
  <c r="F15" i="1" s="1"/>
  <c r="G15" i="1" s="1"/>
  <c r="J15" i="1" s="1"/>
  <c r="L15" i="1"/>
  <c r="L12" i="1"/>
  <c r="K12" i="1"/>
  <c r="F12" i="1" s="1"/>
  <c r="G12" i="1" s="1"/>
  <c r="J12" i="1" s="1"/>
  <c r="L33" i="1"/>
  <c r="K33" i="1"/>
  <c r="F33" i="1" s="1"/>
  <c r="G33" i="1" s="1"/>
  <c r="M33" i="1" s="1"/>
  <c r="K32" i="1"/>
  <c r="F32" i="1" s="1"/>
  <c r="G32" i="1" s="1"/>
  <c r="M32" i="1" s="1"/>
  <c r="L32" i="1"/>
  <c r="K10" i="1"/>
  <c r="F10" i="1" s="1"/>
  <c r="G10" i="1" s="1"/>
  <c r="J10" i="1" s="1"/>
  <c r="L10" i="1"/>
  <c r="K8" i="1"/>
  <c r="F8" i="1" s="1"/>
  <c r="G8" i="1" s="1"/>
  <c r="L8" i="1"/>
  <c r="L31" i="1"/>
  <c r="K31" i="1"/>
  <c r="F31" i="1" s="1"/>
  <c r="G31" i="1" s="1"/>
  <c r="Q4" i="1"/>
  <c r="L4" i="1"/>
  <c r="K4" i="1"/>
  <c r="F4" i="1" s="1"/>
  <c r="R4" i="1" s="1"/>
  <c r="L9" i="1"/>
  <c r="K9" i="1"/>
  <c r="F9" i="1" s="1"/>
  <c r="G9" i="1" s="1"/>
  <c r="L25" i="1"/>
  <c r="K25" i="1"/>
  <c r="F25" i="1" s="1"/>
  <c r="G25" i="1" s="1"/>
  <c r="J25" i="1" s="1"/>
  <c r="L30" i="1"/>
  <c r="K30" i="1"/>
  <c r="F30" i="1" s="1"/>
  <c r="G30" i="1" s="1"/>
  <c r="M30" i="1" s="1"/>
  <c r="K24" i="1"/>
  <c r="F24" i="1" s="1"/>
  <c r="G24" i="1" s="1"/>
  <c r="L24" i="1"/>
  <c r="L29" i="1"/>
  <c r="K29" i="1"/>
  <c r="F29" i="1" s="1"/>
  <c r="G29" i="1" s="1"/>
  <c r="M29" i="1" s="1"/>
  <c r="L22" i="1"/>
  <c r="K22" i="1"/>
  <c r="F22" i="1" s="1"/>
  <c r="G22" i="1" s="1"/>
  <c r="J22" i="1" s="1"/>
  <c r="K7" i="1"/>
  <c r="F7" i="1" s="1"/>
  <c r="G7" i="1" s="1"/>
  <c r="J7" i="1" s="1"/>
  <c r="L7" i="1"/>
  <c r="K16" i="1"/>
  <c r="F16" i="1" s="1"/>
  <c r="G16" i="1" s="1"/>
  <c r="J16" i="1" s="1"/>
  <c r="L16" i="1"/>
  <c r="L28" i="1"/>
  <c r="K28" i="1"/>
  <c r="F28" i="1" s="1"/>
  <c r="G28" i="1" s="1"/>
  <c r="L14" i="1"/>
  <c r="K14" i="1"/>
  <c r="F14" i="1" s="1"/>
  <c r="G14" i="1" s="1"/>
  <c r="M14" i="1" s="1"/>
  <c r="K6" i="1"/>
  <c r="F6" i="1" s="1"/>
  <c r="G6" i="1" s="1"/>
  <c r="L6" i="1"/>
  <c r="K13" i="1"/>
  <c r="F13" i="1" s="1"/>
  <c r="G13" i="1" s="1"/>
  <c r="M13" i="1" s="1"/>
  <c r="L13" i="1"/>
  <c r="L27" i="1"/>
  <c r="K27" i="1"/>
  <c r="F27" i="1" s="1"/>
  <c r="G27" i="1" s="1"/>
  <c r="M27" i="1" s="1"/>
  <c r="L11" i="1"/>
  <c r="K11" i="1"/>
  <c r="F11" i="1" s="1"/>
  <c r="G11" i="1" s="1"/>
  <c r="M11" i="1" s="1"/>
  <c r="L5" i="1"/>
  <c r="K5" i="1"/>
  <c r="F5" i="1" s="1"/>
  <c r="G5" i="1" s="1"/>
  <c r="L26" i="1"/>
  <c r="K26" i="1"/>
  <c r="F26" i="1" s="1"/>
  <c r="G26" i="1" s="1"/>
  <c r="M26" i="1" s="1"/>
  <c r="F23" i="4"/>
  <c r="F24" i="4"/>
  <c r="E36" i="1"/>
  <c r="K3" i="1"/>
  <c r="F3" i="1" s="1"/>
  <c r="R3" i="1" s="1"/>
  <c r="L3" i="1"/>
  <c r="F25" i="4"/>
  <c r="B32" i="4"/>
  <c r="B24" i="4"/>
  <c r="B25" i="4" s="1"/>
  <c r="B26" i="4" s="1"/>
  <c r="B27" i="4" s="1"/>
  <c r="B33" i="4"/>
  <c r="B16" i="4"/>
  <c r="B17" i="4" s="1"/>
  <c r="B18" i="4" s="1"/>
  <c r="B19" i="4" s="1"/>
  <c r="L48" i="1"/>
  <c r="D7" i="1"/>
  <c r="Q6" i="1"/>
  <c r="J28" i="1" l="1"/>
  <c r="M28" i="1"/>
  <c r="B34" i="4"/>
  <c r="B35" i="4" s="1"/>
  <c r="B36" i="4" s="1"/>
  <c r="J29" i="1"/>
  <c r="R5" i="1"/>
  <c r="J26" i="1"/>
  <c r="I5" i="1"/>
  <c r="M20" i="1"/>
  <c r="J27" i="1"/>
  <c r="I6" i="1"/>
  <c r="J30" i="1"/>
  <c r="M15" i="1"/>
  <c r="J14" i="1"/>
  <c r="J33" i="1"/>
  <c r="M16" i="1"/>
  <c r="G3" i="1"/>
  <c r="M3" i="1" s="1"/>
  <c r="M12" i="1"/>
  <c r="G4" i="1"/>
  <c r="J4" i="1" s="1"/>
  <c r="J11" i="1"/>
  <c r="J23" i="1"/>
  <c r="J8" i="1"/>
  <c r="M8" i="1"/>
  <c r="J17" i="1"/>
  <c r="J32" i="1"/>
  <c r="M25" i="1"/>
  <c r="M7" i="1"/>
  <c r="M21" i="1"/>
  <c r="J21" i="1"/>
  <c r="M6" i="1"/>
  <c r="J6" i="1"/>
  <c r="M22" i="1"/>
  <c r="M19" i="1"/>
  <c r="J19" i="1"/>
  <c r="J18" i="1"/>
  <c r="M18" i="1"/>
  <c r="M24" i="1"/>
  <c r="J24" i="1"/>
  <c r="M10" i="1"/>
  <c r="F36" i="1"/>
  <c r="J31" i="1"/>
  <c r="M31" i="1"/>
  <c r="R6" i="1"/>
  <c r="J13" i="1"/>
  <c r="M9" i="1"/>
  <c r="J9" i="1"/>
  <c r="R7" i="1"/>
  <c r="Q7" i="1"/>
  <c r="D8" i="1"/>
  <c r="I7" i="1"/>
  <c r="M5" i="1"/>
  <c r="J5" i="1"/>
  <c r="M4" i="1" l="1"/>
  <c r="J3" i="1"/>
  <c r="H3" i="1"/>
  <c r="H4" i="1" s="1"/>
  <c r="G36" i="1"/>
  <c r="D9" i="1"/>
  <c r="R8" i="1"/>
  <c r="Q8" i="1"/>
  <c r="I8" i="1"/>
  <c r="N3" i="1" l="1"/>
  <c r="O3" i="1" s="1"/>
  <c r="P3" i="1" s="1"/>
  <c r="Q9" i="1"/>
  <c r="D10" i="1"/>
  <c r="R9" i="1"/>
  <c r="I9" i="1"/>
  <c r="H5" i="1"/>
  <c r="N4" i="1"/>
  <c r="O4" i="1" s="1"/>
  <c r="S3" i="1" l="1"/>
  <c r="V3" i="1" s="1"/>
  <c r="I10" i="1"/>
  <c r="D11" i="1"/>
  <c r="R10" i="1"/>
  <c r="Q10" i="1"/>
  <c r="S4" i="1"/>
  <c r="V5" i="1" s="1"/>
  <c r="P4" i="1"/>
  <c r="N5" i="1"/>
  <c r="O5" i="1" s="1"/>
  <c r="H6" i="1"/>
  <c r="V4" i="1" l="1"/>
  <c r="T5" i="1" s="1"/>
  <c r="I11" i="1"/>
  <c r="D12" i="1"/>
  <c r="Q11" i="1"/>
  <c r="R11" i="1"/>
  <c r="P5" i="1"/>
  <c r="S5" i="1"/>
  <c r="V6" i="1" s="1"/>
  <c r="T4" i="1"/>
  <c r="U3" i="1"/>
  <c r="B30" i="1"/>
  <c r="B32" i="1" s="1" a="1"/>
  <c r="B32" i="1" s="1"/>
  <c r="I3" i="1"/>
  <c r="T3" i="1"/>
  <c r="T6" i="1"/>
  <c r="U5" i="1"/>
  <c r="N6" i="1"/>
  <c r="O6" i="1" s="1"/>
  <c r="H7" i="1"/>
  <c r="U4" i="1" l="1"/>
  <c r="I4" i="1"/>
  <c r="R12" i="1"/>
  <c r="Q12" i="1"/>
  <c r="D13" i="1"/>
  <c r="I12" i="1"/>
  <c r="N7" i="1"/>
  <c r="O7" i="1" s="1"/>
  <c r="H8" i="1"/>
  <c r="T7" i="1"/>
  <c r="U6" i="1"/>
  <c r="S6" i="1"/>
  <c r="V7" i="1" s="1"/>
  <c r="P6" i="1"/>
  <c r="I13" i="1" l="1"/>
  <c r="R13" i="1"/>
  <c r="Q13" i="1"/>
  <c r="D14" i="1"/>
  <c r="S7" i="1"/>
  <c r="V8" i="1" s="1"/>
  <c r="P7" i="1"/>
  <c r="T8" i="1"/>
  <c r="U7" i="1"/>
  <c r="H9" i="1"/>
  <c r="N8" i="1"/>
  <c r="O8" i="1" s="1"/>
  <c r="R14" i="1" l="1"/>
  <c r="Q14" i="1"/>
  <c r="I14" i="1"/>
  <c r="D15" i="1"/>
  <c r="S8" i="1"/>
  <c r="V9" i="1" s="1"/>
  <c r="P8" i="1"/>
  <c r="H10" i="1"/>
  <c r="N9" i="1"/>
  <c r="O9" i="1" s="1"/>
  <c r="T9" i="1"/>
  <c r="U8" i="1"/>
  <c r="Q15" i="1" l="1"/>
  <c r="D16" i="1"/>
  <c r="R15" i="1"/>
  <c r="I15" i="1"/>
  <c r="H11" i="1"/>
  <c r="N10" i="1"/>
  <c r="O10" i="1" s="1"/>
  <c r="T10" i="1"/>
  <c r="U9" i="1"/>
  <c r="S9" i="1"/>
  <c r="V10" i="1" s="1"/>
  <c r="P9" i="1"/>
  <c r="I16" i="1" l="1"/>
  <c r="D17" i="1"/>
  <c r="R16" i="1"/>
  <c r="Q16" i="1"/>
  <c r="T11" i="1"/>
  <c r="U10" i="1"/>
  <c r="N11" i="1"/>
  <c r="O11" i="1" s="1"/>
  <c r="H12" i="1"/>
  <c r="S10" i="1"/>
  <c r="V11" i="1" s="1"/>
  <c r="P10" i="1"/>
  <c r="I17" i="1" l="1"/>
  <c r="D18" i="1"/>
  <c r="R17" i="1"/>
  <c r="Q17" i="1"/>
  <c r="T12" i="1"/>
  <c r="U11" i="1"/>
  <c r="N12" i="1"/>
  <c r="O12" i="1" s="1"/>
  <c r="H13" i="1"/>
  <c r="S11" i="1"/>
  <c r="V12" i="1" s="1"/>
  <c r="P11" i="1"/>
  <c r="I18" i="1" l="1"/>
  <c r="Q18" i="1"/>
  <c r="R18" i="1"/>
  <c r="D19" i="1"/>
  <c r="S12" i="1"/>
  <c r="V13" i="1" s="1"/>
  <c r="P12" i="1"/>
  <c r="N13" i="1"/>
  <c r="O13" i="1" s="1"/>
  <c r="H14" i="1"/>
  <c r="T13" i="1"/>
  <c r="U12" i="1"/>
  <c r="R19" i="1" l="1"/>
  <c r="Q19" i="1"/>
  <c r="I19" i="1"/>
  <c r="D20" i="1"/>
  <c r="H15" i="1"/>
  <c r="N14" i="1"/>
  <c r="O14" i="1" s="1"/>
  <c r="S13" i="1"/>
  <c r="V14" i="1" s="1"/>
  <c r="P13" i="1"/>
  <c r="T14" i="1"/>
  <c r="U13" i="1"/>
  <c r="D21" i="1" l="1"/>
  <c r="R20" i="1"/>
  <c r="Q20" i="1"/>
  <c r="I20" i="1"/>
  <c r="H16" i="1"/>
  <c r="N15" i="1"/>
  <c r="O15" i="1" s="1"/>
  <c r="S14" i="1"/>
  <c r="V15" i="1" s="1"/>
  <c r="P14" i="1"/>
  <c r="T15" i="1"/>
  <c r="U14" i="1"/>
  <c r="D22" i="1" l="1"/>
  <c r="Q21" i="1"/>
  <c r="R21" i="1"/>
  <c r="I21" i="1"/>
  <c r="T16" i="1"/>
  <c r="U15" i="1"/>
  <c r="S15" i="1"/>
  <c r="V16" i="1" s="1"/>
  <c r="P15" i="1"/>
  <c r="H17" i="1"/>
  <c r="N16" i="1"/>
  <c r="O16" i="1" s="1"/>
  <c r="I22" i="1" l="1"/>
  <c r="D23" i="1"/>
  <c r="R22" i="1"/>
  <c r="Q22" i="1"/>
  <c r="S16" i="1"/>
  <c r="V17" i="1" s="1"/>
  <c r="P16" i="1"/>
  <c r="T17" i="1"/>
  <c r="U16" i="1"/>
  <c r="N17" i="1"/>
  <c r="O17" i="1" s="1"/>
  <c r="H18" i="1"/>
  <c r="D24" i="1" l="1"/>
  <c r="I23" i="1"/>
  <c r="R23" i="1"/>
  <c r="Q23" i="1"/>
  <c r="H19" i="1"/>
  <c r="N18" i="1"/>
  <c r="O18" i="1" s="1"/>
  <c r="S17" i="1"/>
  <c r="V18" i="1" s="1"/>
  <c r="P17" i="1"/>
  <c r="T18" i="1"/>
  <c r="U17" i="1"/>
  <c r="R24" i="1" l="1"/>
  <c r="Q24" i="1"/>
  <c r="I24" i="1"/>
  <c r="D25" i="1"/>
  <c r="T19" i="1"/>
  <c r="U18" i="1"/>
  <c r="S18" i="1"/>
  <c r="V19" i="1" s="1"/>
  <c r="P18" i="1"/>
  <c r="N19" i="1"/>
  <c r="O19" i="1" s="1"/>
  <c r="H20" i="1"/>
  <c r="R25" i="1" l="1"/>
  <c r="Q25" i="1"/>
  <c r="I25" i="1"/>
  <c r="D26" i="1"/>
  <c r="N20" i="1"/>
  <c r="O20" i="1" s="1"/>
  <c r="H21" i="1"/>
  <c r="S19" i="1"/>
  <c r="V20" i="1" s="1"/>
  <c r="P19" i="1"/>
  <c r="T20" i="1"/>
  <c r="U19" i="1"/>
  <c r="D27" i="1" l="1"/>
  <c r="R26" i="1"/>
  <c r="Q26" i="1"/>
  <c r="I26" i="1"/>
  <c r="T21" i="1"/>
  <c r="U20" i="1"/>
  <c r="H22" i="1"/>
  <c r="N21" i="1"/>
  <c r="O21" i="1" s="1"/>
  <c r="S20" i="1"/>
  <c r="V21" i="1" s="1"/>
  <c r="P20" i="1"/>
  <c r="R27" i="1" l="1"/>
  <c r="I27" i="1"/>
  <c r="D28" i="1"/>
  <c r="Q27" i="1"/>
  <c r="T22" i="1"/>
  <c r="U21" i="1"/>
  <c r="S21" i="1"/>
  <c r="V22" i="1" s="1"/>
  <c r="P21" i="1"/>
  <c r="H23" i="1"/>
  <c r="N22" i="1"/>
  <c r="O22" i="1" s="1"/>
  <c r="I28" i="1" l="1"/>
  <c r="D29" i="1"/>
  <c r="R28" i="1"/>
  <c r="Q28" i="1"/>
  <c r="S22" i="1"/>
  <c r="V23" i="1" s="1"/>
  <c r="P22" i="1"/>
  <c r="T23" i="1"/>
  <c r="U22" i="1"/>
  <c r="N23" i="1"/>
  <c r="O23" i="1" s="1"/>
  <c r="H24" i="1"/>
  <c r="D30" i="1" l="1"/>
  <c r="R29" i="1"/>
  <c r="I29" i="1"/>
  <c r="Q29" i="1"/>
  <c r="H25" i="1"/>
  <c r="N24" i="1"/>
  <c r="O24" i="1" s="1"/>
  <c r="S23" i="1"/>
  <c r="V24" i="1" s="1"/>
  <c r="P23" i="1"/>
  <c r="T24" i="1"/>
  <c r="U23" i="1"/>
  <c r="Q30" i="1" l="1"/>
  <c r="I30" i="1"/>
  <c r="D31" i="1"/>
  <c r="R30" i="1"/>
  <c r="T25" i="1"/>
  <c r="U24" i="1"/>
  <c r="S24" i="1"/>
  <c r="V25" i="1" s="1"/>
  <c r="P24" i="1"/>
  <c r="N25" i="1"/>
  <c r="O25" i="1" s="1"/>
  <c r="H26" i="1"/>
  <c r="R31" i="1" l="1"/>
  <c r="Q31" i="1"/>
  <c r="I31" i="1"/>
  <c r="D32" i="1"/>
  <c r="T26" i="1"/>
  <c r="U25" i="1"/>
  <c r="S25" i="1"/>
  <c r="V26" i="1" s="1"/>
  <c r="P25" i="1"/>
  <c r="N26" i="1"/>
  <c r="O26" i="1" s="1"/>
  <c r="H27" i="1"/>
  <c r="R32" i="1" l="1"/>
  <c r="I32" i="1"/>
  <c r="D33" i="1"/>
  <c r="Q32" i="1"/>
  <c r="H28" i="1"/>
  <c r="N27" i="1"/>
  <c r="O27" i="1" s="1"/>
  <c r="S26" i="1"/>
  <c r="V27" i="1" s="1"/>
  <c r="P26" i="1"/>
  <c r="T27" i="1"/>
  <c r="U26" i="1"/>
  <c r="I33" i="1" l="1"/>
  <c r="I34" i="1" s="1"/>
  <c r="I36" i="1" s="1"/>
  <c r="Q33" i="1"/>
  <c r="Q35" i="1" s="1"/>
  <c r="R33" i="1"/>
  <c r="R35" i="1" s="1"/>
  <c r="T28" i="1"/>
  <c r="U27" i="1"/>
  <c r="S27" i="1"/>
  <c r="V28" i="1" s="1"/>
  <c r="P27" i="1"/>
  <c r="H29" i="1"/>
  <c r="N28" i="1"/>
  <c r="O28" i="1" s="1"/>
  <c r="S28" i="1" l="1"/>
  <c r="V29" i="1" s="1"/>
  <c r="P28" i="1"/>
  <c r="N29" i="1"/>
  <c r="O29" i="1" s="1"/>
  <c r="H30" i="1"/>
  <c r="T29" i="1"/>
  <c r="U28" i="1"/>
  <c r="H31" i="1" l="1"/>
  <c r="N30" i="1"/>
  <c r="O30" i="1" s="1"/>
  <c r="S29" i="1"/>
  <c r="V30" i="1" s="1"/>
  <c r="P29" i="1"/>
  <c r="T30" i="1"/>
  <c r="U29" i="1"/>
  <c r="T31" i="1" l="1"/>
  <c r="U30" i="1"/>
  <c r="S30" i="1"/>
  <c r="V31" i="1" s="1"/>
  <c r="P30" i="1"/>
  <c r="N31" i="1"/>
  <c r="O31" i="1" s="1"/>
  <c r="H32" i="1"/>
  <c r="T32" i="1" l="1"/>
  <c r="U31" i="1"/>
  <c r="N32" i="1"/>
  <c r="O32" i="1" s="1"/>
  <c r="H33" i="1"/>
  <c r="S31" i="1"/>
  <c r="V32" i="1" s="1"/>
  <c r="P31" i="1"/>
  <c r="T33" i="1" l="1"/>
  <c r="U32" i="1"/>
  <c r="S32" i="1"/>
  <c r="V33" i="1" s="1"/>
  <c r="U33" i="1" s="1"/>
  <c r="P32" i="1"/>
  <c r="N33" i="1"/>
  <c r="O33" i="1" s="1"/>
  <c r="H36" i="1"/>
  <c r="U34" i="1" l="1"/>
  <c r="S33" i="1"/>
  <c r="P33" i="1"/>
  <c r="J36" i="1" s="1"/>
</calcChain>
</file>

<file path=xl/sharedStrings.xml><?xml version="1.0" encoding="utf-8"?>
<sst xmlns="http://schemas.openxmlformats.org/spreadsheetml/2006/main" count="138" uniqueCount="109">
  <si>
    <t>EXERCISE 5.3: Consumption-leisure decision with taxes</t>
  </si>
  <si>
    <t>Rev from C</t>
  </si>
  <si>
    <t>Rev from W</t>
  </si>
  <si>
    <t>Rev from B</t>
  </si>
  <si>
    <t>Total Rev</t>
  </si>
  <si>
    <t>Dis Rev</t>
  </si>
  <si>
    <t>A</t>
  </si>
  <si>
    <t>B</t>
  </si>
  <si>
    <t>G</t>
  </si>
  <si>
    <t>Lambda1</t>
  </si>
  <si>
    <t>Utility1</t>
  </si>
  <si>
    <t>Ctilde</t>
  </si>
  <si>
    <t xml:space="preserve">Notes on Exercise. </t>
  </si>
  <si>
    <t xml:space="preserve"> </t>
  </si>
  <si>
    <t>Period</t>
  </si>
  <si>
    <t>Consumption</t>
  </si>
  <si>
    <t>Labor</t>
  </si>
  <si>
    <t>Income</t>
  </si>
  <si>
    <t>Assets</t>
  </si>
  <si>
    <t>Utility</t>
  </si>
  <si>
    <t>Sav</t>
  </si>
  <si>
    <t>Lambda</t>
  </si>
  <si>
    <t>This is an exercise for solving and simulating a model for interet rate or base wage changes, under no taxes and alternative income and consumption tax regimes.  We will leave out the tax rates on the interest receipts.</t>
  </si>
  <si>
    <t>Parameters</t>
  </si>
  <si>
    <t>Beta</t>
  </si>
  <si>
    <t>Sigma</t>
  </si>
  <si>
    <t>Gamma</t>
  </si>
  <si>
    <t xml:space="preserve">The way to compare the effects of the tax regimes is to look at the welfare measure,  the some of column I, the discounted utilities. </t>
  </si>
  <si>
    <t>Phi</t>
  </si>
  <si>
    <t>Exogenous variables</t>
  </si>
  <si>
    <t>Interest rate</t>
  </si>
  <si>
    <t xml:space="preserve">One specific exercises:  compare the consumption tax, the income tax and a mixed indome tax under revenue neutral regimes.  In other words, given the starting values, the tax rates on consumption or wage income or both are calibrated to generate the same steady state revenue.  Then do some wage changes or interest rate changes under the alternative tax regimes and compare the welfare effects.  </t>
  </si>
  <si>
    <t>Natural Rate</t>
  </si>
  <si>
    <t>Income tax rate</t>
  </si>
  <si>
    <t>Consumption tax rate</t>
  </si>
  <si>
    <t xml:space="preserve">The parameters are all specified, except for gamma, the coefficient of the ditulity of labor.  Given that we want ot set labor at .33 and have the Frisch coefficient preset, this means that the Gamma has to adjust for the first-order condition for labor. </t>
  </si>
  <si>
    <t>Interest rate tax</t>
  </si>
  <si>
    <t>Wage</t>
  </si>
  <si>
    <t>Lbar</t>
  </si>
  <si>
    <t>lambda0</t>
  </si>
  <si>
    <t>Cbar</t>
  </si>
  <si>
    <t>Once you change a parameter, you need to go to the solver to find the optimal consumption and labor supply path subject to the no-Ponzi game condition.</t>
  </si>
  <si>
    <t>Wage1</t>
  </si>
  <si>
    <t>Gbar</t>
  </si>
  <si>
    <t>Revenue neutral tax regimes.</t>
  </si>
  <si>
    <t>xi</t>
  </si>
  <si>
    <t>Since the steady states for c, income are the same in zero taxes:</t>
  </si>
  <si>
    <t>rho</t>
  </si>
  <si>
    <t>omega</t>
  </si>
  <si>
    <t>1.  try setting tau_c = .2  tau_w = 0,  look at revenue and welfare</t>
  </si>
  <si>
    <t>2   try setting tau_c = 0, tau_w = .2, look at revenue and welfare</t>
  </si>
  <si>
    <t xml:space="preserve">2.  try setting tau_w = tau_c = .1, look at revenue and welfare. </t>
  </si>
  <si>
    <t xml:space="preserve">Ctilde </t>
  </si>
  <si>
    <t>Given that we have to have taxes, which regime is better in terms of average welfare and welfare?</t>
  </si>
  <si>
    <t>lambda1</t>
  </si>
  <si>
    <t>Sum</t>
  </si>
  <si>
    <t>A_i</t>
  </si>
  <si>
    <t>B_i</t>
  </si>
  <si>
    <t>Saving</t>
  </si>
  <si>
    <t>Welfare</t>
  </si>
  <si>
    <t>Discounted Revenue</t>
  </si>
  <si>
    <t>No taxes</t>
  </si>
  <si>
    <t>High Interest Rate</t>
  </si>
  <si>
    <t>Labor tax</t>
  </si>
  <si>
    <t>Both</t>
  </si>
  <si>
    <t xml:space="preserve">Low Interest Rate </t>
  </si>
  <si>
    <t>CEC factor</t>
  </si>
  <si>
    <t>Revenue-Neutral Steady-State Setup</t>
  </si>
  <si>
    <t>Purpose: compute tax pairs that keep government revenue equal to the baseline initial steady state. After choosing a scenario, copy the recommended rates back to Hoja1 (income tax in B12, consumption tax in B13), return the model to the initial steady state, and then run the next transition experiment.</t>
  </si>
  <si>
    <t>Baseline steady-state objects from Hoja1</t>
  </si>
  <si>
    <t>Recommended workflow</t>
  </si>
  <si>
    <t>Steady-state consumption, Cbar</t>
  </si>
  <si>
    <t>1. Pick Scenario A, B, or C on this sheet.</t>
  </si>
  <si>
    <t>Steady-state labor, Lbar</t>
  </si>
  <si>
    <t>2. Copy the resulting tax pair into Hoja1: B12 = tau_w and B13 = tau_c.</t>
  </si>
  <si>
    <t>Steady-state wage, Wbar</t>
  </si>
  <si>
    <t>3. Reset the model to the initial steady state before each new experiment.</t>
  </si>
  <si>
    <t>Baseline income tax, tau_w</t>
  </si>
  <si>
    <t>4. Set the interest-rate or wage experiment in Hoja1.</t>
  </si>
  <si>
    <t>Baseline consumption tax, tau_c</t>
  </si>
  <si>
    <t>5. Re-run the solver / transition path.</t>
  </si>
  <si>
    <t>Baseline steady-state revenue</t>
  </si>
  <si>
    <t>6. Compare welfare using the existing welfare cells on Hoja1.</t>
  </si>
  <si>
    <t>Scenario A: choose income tax, back out consumption tax</t>
  </si>
  <si>
    <t>Chosen income tax (input)</t>
  </si>
  <si>
    <t>Copy to Hoja1!B12</t>
  </si>
  <si>
    <t>Interpretation</t>
  </si>
  <si>
    <t>Implied consumption tax</t>
  </si>
  <si>
    <t>Copy to Hoja1!B13</t>
  </si>
  <si>
    <t>This sheet enforces revenue neutrality at the initial steady state, not period-by-period along the transition path.</t>
  </si>
  <si>
    <t>Revenue check</t>
  </si>
  <si>
    <t>That keeps tax comparisons clean and separates the transition dynamics from the tax calibration.</t>
  </si>
  <si>
    <t>Revenue gap vs baseline</t>
  </si>
  <si>
    <t>If a flag shows a negative implied tax, the chosen experiment is infeasible at the baseline steady state.</t>
  </si>
  <si>
    <t>Flag</t>
  </si>
  <si>
    <t>Scenario C is useful for mixed tax regimes: s = 100% means income tax only; s = 0% means consumption tax only.</t>
  </si>
  <si>
    <t>Scenario B: choose consumption tax, back out income tax</t>
  </si>
  <si>
    <t>Quick examples</t>
  </si>
  <si>
    <t>Chosen consumption tax (input)</t>
  </si>
  <si>
    <t>Income-tax-only neutral rate</t>
  </si>
  <si>
    <t>Implied income tax</t>
  </si>
  <si>
    <t>Consumption-tax-only neutral rate</t>
  </si>
  <si>
    <t>50/50 mixed: tau_w</t>
  </si>
  <si>
    <t>50/50 mixed: tau_c</t>
  </si>
  <si>
    <t>Scenario C: choose revenue share from income tax (mixed regime)</t>
  </si>
  <si>
    <t>Income-tax share of revenue, s (input)</t>
  </si>
  <si>
    <t>USA</t>
  </si>
  <si>
    <t>Ireland</t>
  </si>
  <si>
    <t>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</si>
</sst>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
  </numFmts>
  <fonts count="12" x14ac:knownFonts="1">
    <font>
      <sz val="10"/>
      <name val="Arial"/>
      <family val="2"/>
    </font>
    <font>
      <b/>
      <sz val="11"/>
      <name val="Times New Roman"/>
      <family val="1"/>
    </font>
    <font>
      <sz val="11"/>
      <name val="Times New Roman"/>
      <family val="1"/>
    </font>
    <font>
      <b/>
      <i/>
      <sz val="11"/>
      <color theme="0"/>
      <name val="Times New Roman"/>
      <family val="1"/>
    </font>
    <font>
      <sz val="11"/>
      <color theme="0"/>
      <name val="Times New Roman"/>
      <family val="1"/>
    </font>
    <font>
      <b/>
      <sz val="11"/>
      <color theme="0"/>
      <name val="Times New Roman"/>
      <family val="1"/>
    </font>
    <font>
      <b/>
      <sz val="11"/>
      <color rgb="FFFFFFFF"/>
      <name val="Times New Roman"/>
      <family val="1"/>
    </font>
    <font>
      <sz val="11"/>
      <name val="Times New Roman"/>
      <family val="1"/>
    </font>
    <font>
      <sz val="11"/>
      <color rgb="FF008000"/>
      <name val="Times New Roman"/>
      <family val="1"/>
    </font>
    <font>
      <sz val="11"/>
      <color rgb="FF0000FF"/>
      <name val="Times New Roman"/>
      <family val="1"/>
    </font>
    <font>
      <sz val="11"/>
      <color rgb="FF000000"/>
      <name val="Times New Roman"/>
      <family val="1"/>
    </font>
    <font>
      <b/>
      <i/>
      <sz val="11"/>
      <name val="Times New Roman"/>
      <family val="1"/>
    </font>
  </fonts>
  <fills count="10">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1F4E78"/>
      </patternFill>
    </fill>
    <fill>
      <patternFill patternType="solid">
        <fgColor rgb="FFFFF2CC"/>
      </patternFill>
    </fill>
    <fill>
      <patternFill patternType="solid">
        <fgColor rgb="FFE2F0D9"/>
      </patternFill>
    </fill>
    <fill>
      <patternFill patternType="solid">
        <fgColor rgb="FFDDEBF7"/>
      </patternFill>
    </fill>
    <fill>
      <patternFill patternType="solid">
        <fgColor rgb="FFE7E6E6"/>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40">
    <xf numFmtId="0" fontId="0" fillId="0" borderId="0" xfId="0"/>
    <xf numFmtId="0" fontId="2" fillId="0" borderId="0" xfId="0" applyFont="1"/>
    <xf numFmtId="0" fontId="1" fillId="0" borderId="0" xfId="0" applyFont="1"/>
    <xf numFmtId="0" fontId="1" fillId="0" borderId="0" xfId="0" applyFont="1" applyAlignment="1">
      <alignment horizontal="center"/>
    </xf>
    <xf numFmtId="164" fontId="2" fillId="0" borderId="0" xfId="0" applyNumberFormat="1" applyFont="1"/>
    <xf numFmtId="2" fontId="2" fillId="0" borderId="0" xfId="0" applyNumberFormat="1" applyFont="1"/>
    <xf numFmtId="0" fontId="1" fillId="2" borderId="1" xfId="0" applyFont="1" applyFill="1" applyBorder="1"/>
    <xf numFmtId="0" fontId="2" fillId="3" borderId="2" xfId="0" applyFont="1" applyFill="1" applyBorder="1"/>
    <xf numFmtId="0" fontId="2" fillId="3" borderId="3" xfId="0" applyFont="1" applyFill="1" applyBorder="1"/>
    <xf numFmtId="0" fontId="2" fillId="3" borderId="4" xfId="0" applyFont="1" applyFill="1" applyBorder="1"/>
    <xf numFmtId="0" fontId="2" fillId="3" borderId="5" xfId="0" applyFont="1" applyFill="1" applyBorder="1"/>
    <xf numFmtId="0" fontId="3" fillId="4" borderId="6" xfId="0" applyFont="1" applyFill="1" applyBorder="1"/>
    <xf numFmtId="0" fontId="4" fillId="4" borderId="7" xfId="0" applyFont="1" applyFill="1" applyBorder="1"/>
    <xf numFmtId="0" fontId="2" fillId="3" borderId="2" xfId="0" applyFont="1" applyFill="1" applyBorder="1" applyAlignment="1">
      <alignment horizontal="center"/>
    </xf>
    <xf numFmtId="2" fontId="2" fillId="3" borderId="0" xfId="0" applyNumberFormat="1" applyFont="1" applyFill="1"/>
    <xf numFmtId="2" fontId="2" fillId="3" borderId="3" xfId="0" applyNumberFormat="1" applyFont="1" applyFill="1" applyBorder="1"/>
    <xf numFmtId="0" fontId="5" fillId="4" borderId="6" xfId="0" applyFont="1" applyFill="1" applyBorder="1" applyAlignment="1">
      <alignment horizontal="center"/>
    </xf>
    <xf numFmtId="0" fontId="5" fillId="4" borderId="8" xfId="0" applyFont="1" applyFill="1" applyBorder="1" applyAlignment="1">
      <alignment horizontal="right"/>
    </xf>
    <xf numFmtId="0" fontId="5" fillId="4" borderId="7" xfId="0" applyFont="1" applyFill="1" applyBorder="1" applyAlignment="1">
      <alignment horizontal="right"/>
    </xf>
    <xf numFmtId="0" fontId="1" fillId="3" borderId="4" xfId="0" applyFont="1" applyFill="1" applyBorder="1" applyAlignment="1">
      <alignment horizontal="center"/>
    </xf>
    <xf numFmtId="2" fontId="1" fillId="3" borderId="9" xfId="0" applyNumberFormat="1" applyFont="1" applyFill="1" applyBorder="1"/>
    <xf numFmtId="2" fontId="1" fillId="3" borderId="5" xfId="0" applyNumberFormat="1" applyFont="1" applyFill="1" applyBorder="1"/>
    <xf numFmtId="165" fontId="2" fillId="0" borderId="0" xfId="0" applyNumberFormat="1" applyFont="1"/>
    <xf numFmtId="0" fontId="7" fillId="0" borderId="11" xfId="0" applyFont="1" applyBorder="1"/>
    <xf numFmtId="166" fontId="8" fillId="0" borderId="11" xfId="0" applyNumberFormat="1" applyFont="1" applyBorder="1"/>
    <xf numFmtId="167" fontId="8" fillId="0" borderId="11" xfId="0" applyNumberFormat="1" applyFont="1" applyBorder="1"/>
    <xf numFmtId="166" fontId="8" fillId="7" borderId="11" xfId="0" applyNumberFormat="1" applyFont="1" applyFill="1" applyBorder="1"/>
    <xf numFmtId="0" fontId="0" fillId="0" borderId="11" xfId="0" applyBorder="1"/>
    <xf numFmtId="167" fontId="9" fillId="6" borderId="11" xfId="0" applyNumberFormat="1" applyFont="1" applyFill="1" applyBorder="1"/>
    <xf numFmtId="0" fontId="11" fillId="0" borderId="0" xfId="0" applyFont="1"/>
    <xf numFmtId="167" fontId="10" fillId="0" borderId="11" xfId="0" applyNumberFormat="1" applyFont="1" applyBorder="1"/>
    <xf numFmtId="166" fontId="10" fillId="7" borderId="11" xfId="0" applyNumberFormat="1" applyFont="1" applyFill="1" applyBorder="1"/>
    <xf numFmtId="166" fontId="10" fillId="8" borderId="11" xfId="0" applyNumberFormat="1" applyFont="1" applyFill="1" applyBorder="1"/>
    <xf numFmtId="0" fontId="10" fillId="9" borderId="11" xfId="0" applyFont="1" applyFill="1" applyBorder="1"/>
    <xf numFmtId="167" fontId="0" fillId="0" borderId="11" xfId="0" applyNumberFormat="1" applyBorder="1"/>
    <xf numFmtId="0" fontId="6" fillId="5" borderId="10" xfId="0" applyFont="1" applyFill="1" applyBorder="1"/>
    <xf numFmtId="0" fontId="0" fillId="0" borderId="10" xfId="0" applyBorder="1"/>
    <xf numFmtId="0" fontId="0" fillId="0" borderId="11" xfId="0" applyBorder="1" applyAlignment="1">
      <alignment wrapText="1"/>
    </xf>
    <xf numFmtId="0" fontId="0" fillId="0" borderId="0" xfId="0"/>
    <xf numFmtId="0" fontId="7" fillId="0" borderId="10" xfId="0" applyFont="1" applyBorder="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B3B3B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48"/>
  <sheetViews>
    <sheetView tabSelected="1" topLeftCell="J27" workbookViewId="0">
      <selection activeCell="L43" sqref="L43"/>
    </sheetView>
  </sheetViews>
  <sheetFormatPr defaultColWidth="11.59765625" defaultRowHeight="13.9" x14ac:dyDescent="0.4"/>
  <cols>
    <col min="1" max="1" width="42.59765625" style="1" customWidth="1"/>
    <col min="2" max="2" width="6.73046875" style="1" customWidth="1"/>
    <col min="3" max="3" width="4.265625" style="1" customWidth="1"/>
    <col min="4" max="4" width="9.1328125" style="1" customWidth="1"/>
    <col min="5" max="5" width="12.265625" style="1" customWidth="1"/>
    <col min="6" max="6" width="8.1328125" style="1" customWidth="1"/>
    <col min="7" max="7" width="7.86328125" style="1" customWidth="1"/>
    <col min="8" max="8" width="9.1328125" style="1" customWidth="1"/>
    <col min="9" max="9" width="8.59765625" style="1" customWidth="1"/>
    <col min="10" max="10" width="22.265625" style="1" customWidth="1"/>
    <col min="11" max="11" width="11.59765625" style="1" customWidth="1"/>
    <col min="12" max="16384" width="11.59765625" style="1"/>
  </cols>
  <sheetData>
    <row r="1" spans="1:63" ht="14.25" customHeight="1" thickBot="1" x14ac:dyDescent="0.45">
      <c r="A1" s="6" t="s">
        <v>0</v>
      </c>
      <c r="L1" s="1" t="s">
        <v>1</v>
      </c>
      <c r="M1" s="1" t="s">
        <v>2</v>
      </c>
      <c r="N1" s="1" t="s">
        <v>3</v>
      </c>
      <c r="O1" s="1" t="s">
        <v>4</v>
      </c>
      <c r="P1" s="1" t="s">
        <v>5</v>
      </c>
      <c r="Q1" s="1" t="s">
        <v>6</v>
      </c>
      <c r="R1" s="1" t="s">
        <v>7</v>
      </c>
      <c r="S1" s="1" t="s">
        <v>8</v>
      </c>
      <c r="T1" s="1" t="s">
        <v>9</v>
      </c>
      <c r="U1" s="1" t="s">
        <v>10</v>
      </c>
      <c r="V1" s="1" t="s">
        <v>11</v>
      </c>
      <c r="W1" s="1" t="s">
        <v>12</v>
      </c>
      <c r="BH1" s="2"/>
    </row>
    <row r="2" spans="1:63" ht="14.25" customHeight="1" thickBot="1" x14ac:dyDescent="0.45">
      <c r="A2" s="1" t="s">
        <v>13</v>
      </c>
      <c r="D2" s="16" t="s">
        <v>14</v>
      </c>
      <c r="E2" s="17" t="s">
        <v>15</v>
      </c>
      <c r="F2" s="17" t="s">
        <v>16</v>
      </c>
      <c r="G2" s="17" t="s">
        <v>17</v>
      </c>
      <c r="H2" s="17" t="s">
        <v>18</v>
      </c>
      <c r="I2" s="18" t="s">
        <v>19</v>
      </c>
      <c r="J2" s="1" t="s">
        <v>20</v>
      </c>
      <c r="K2" s="1" t="s">
        <v>21</v>
      </c>
      <c r="S2" s="1" t="s">
        <v>8</v>
      </c>
      <c r="W2" s="1" t="s">
        <v>22</v>
      </c>
      <c r="BH2" s="3"/>
      <c r="BI2" s="3"/>
      <c r="BJ2" s="3"/>
    </row>
    <row r="3" spans="1:63" x14ac:dyDescent="0.4">
      <c r="A3" s="11" t="s">
        <v>23</v>
      </c>
      <c r="B3" s="12"/>
      <c r="D3" s="13">
        <v>0</v>
      </c>
      <c r="E3" s="14">
        <f>Cbar</f>
        <v>5.8260869565217392</v>
      </c>
      <c r="F3" s="14">
        <f>(Wbar*(1-tau_w) * K3/Gamma)^Phi</f>
        <v>0.33333333333333331</v>
      </c>
      <c r="G3" s="14">
        <f t="shared" ref="G3:G33" si="0">Wbar*(1-tau_w)*F3</f>
        <v>6.6999999999999993</v>
      </c>
      <c r="H3" s="14">
        <f>G3-E3*(1+tau_c)</f>
        <v>0</v>
      </c>
      <c r="I3" s="15">
        <f>Beta^V3*((E3^(1-Sigma)-1)/(1-Sigma)-Gamma*((F3^(1+(1/Phi)))/(1+(1/Phi))))</f>
        <v>0.86528783352532146</v>
      </c>
      <c r="J3" s="22">
        <f t="shared" ref="J3:J33" si="1">G3-E3*(1+tau_c)</f>
        <v>0</v>
      </c>
      <c r="K3" s="1">
        <f t="shared" ref="K3:K33" si="2">E3^(-Sigma)/(1+tau_c)</f>
        <v>6.1835334737277828E-2</v>
      </c>
      <c r="L3" s="1">
        <f t="shared" ref="L3:L33" si="3">tau_c*E3</f>
        <v>0.87391304347826082</v>
      </c>
      <c r="M3" s="1">
        <f t="shared" ref="M3:M33" si="4">tau_w*G3</f>
        <v>2.2109999999999999</v>
      </c>
      <c r="N3" s="1">
        <f t="shared" ref="N3:N33" si="5">IF(H3&gt;0,tau_ret*R_0* H3,0)</f>
        <v>0</v>
      </c>
      <c r="O3" s="1">
        <f t="shared" ref="O3:O33" si="6">L3+M3+N3</f>
        <v>3.0849130434782608</v>
      </c>
      <c r="P3" s="1">
        <f t="shared" ref="P3:P33" si="7">Beta^D3 * O3</f>
        <v>3.0849130434782608</v>
      </c>
      <c r="Q3" s="1">
        <f t="shared" ref="Q3:Q33" si="8">Beta^D3*E3^(1-Sigma)</f>
        <v>0.41429674273976147</v>
      </c>
      <c r="R3" s="1">
        <f t="shared" ref="R3:R33" si="9">Beta^D3*F3^(1+1/Phi)/(1+1/Phi)</f>
        <v>1.2345679012345678E-2</v>
      </c>
      <c r="S3" s="1">
        <f t="shared" ref="S3:S46" si="10">O3</f>
        <v>3.0849130434782608</v>
      </c>
      <c r="T3" s="1">
        <f>(1-omega) * E3^(rho-1)*V3^(1-rho-Sigma)</f>
        <v>7.1110634947869497E-2</v>
      </c>
      <c r="U3" s="1">
        <f t="shared" ref="U3:U33" si="11">Beta^D3*((V3^(1-Sigma)-1)/(1-Sigma)-Gamma*((F3^(1+(1/Phi)))/(1+(1/Phi))))</f>
        <v>1.0333076002738899</v>
      </c>
      <c r="V3" s="1">
        <f>((1-omega)*E3^rho+omega*S3^rho)^(1/rho)</f>
        <v>5.8260869565217401</v>
      </c>
    </row>
    <row r="4" spans="1:63" x14ac:dyDescent="0.4">
      <c r="A4" s="7" t="s">
        <v>24</v>
      </c>
      <c r="B4" s="8">
        <v>0.97</v>
      </c>
      <c r="D4" s="13">
        <f t="shared" ref="D4:D33" si="12">D3+1</f>
        <v>1</v>
      </c>
      <c r="E4" s="14">
        <v>5.7037663012227409</v>
      </c>
      <c r="F4" s="14">
        <f t="shared" ref="F4:F33" si="13">(W_1*(1-tau_w) * K4/Gamma)^Phi</f>
        <v>0.3658167353151115</v>
      </c>
      <c r="G4" s="14">
        <f t="shared" si="0"/>
        <v>7.35291637983374</v>
      </c>
      <c r="H4" s="14">
        <f t="shared" ref="H4:H33" si="14">IF(H3&gt;0, 1+R_0*(1-tau_ret), 1+R_0)*H3 + G4 - E4*(1+tau_c)</f>
        <v>0.7935851334275883</v>
      </c>
      <c r="I4" s="15">
        <f>Beta^V4*((E4^(1-Sigma)-1)/(1-Sigma)-Gamma*((F4^(1+(1/Phi)))/(1+(1/Phi))))</f>
        <v>0.82374043297996968</v>
      </c>
      <c r="J4" s="22">
        <f t="shared" si="1"/>
        <v>0.7935851334275883</v>
      </c>
      <c r="K4" s="1">
        <f t="shared" si="2"/>
        <v>6.3835104719903113E-2</v>
      </c>
      <c r="L4" s="1">
        <f t="shared" si="3"/>
        <v>0.85556494518341109</v>
      </c>
      <c r="M4" s="1">
        <f t="shared" si="4"/>
        <v>2.4264624053451342</v>
      </c>
      <c r="N4" s="1">
        <f t="shared" si="5"/>
        <v>0</v>
      </c>
      <c r="O4" s="1">
        <f t="shared" si="6"/>
        <v>3.2820273505285451</v>
      </c>
      <c r="P4" s="1">
        <f t="shared" si="7"/>
        <v>3.1835665300126887</v>
      </c>
      <c r="Q4" s="1">
        <f t="shared" si="8"/>
        <v>0.40615412909666332</v>
      </c>
      <c r="R4" s="1">
        <f t="shared" si="9"/>
        <v>1.5828552039686885E-2</v>
      </c>
      <c r="S4" s="1">
        <f t="shared" si="10"/>
        <v>3.2820273505285451</v>
      </c>
      <c r="T4" s="1">
        <f t="shared" ref="T4:T33" si="15">(1-omega) * E4^(rho-1)*V3^(1-rho-Sigma)</f>
        <v>7.3410370427888574E-2</v>
      </c>
      <c r="U4" s="1">
        <f t="shared" si="11"/>
        <v>0.95063336789378805</v>
      </c>
      <c r="V4" s="1">
        <f t="shared" ref="V4:V33" si="16">((1-omega)*E4^rho+omega*S3^rho)^(1/rho)</f>
        <v>5.70376630122274</v>
      </c>
    </row>
    <row r="5" spans="1:63" x14ac:dyDescent="0.4">
      <c r="A5" s="7" t="s">
        <v>25</v>
      </c>
      <c r="B5" s="8">
        <v>1.5</v>
      </c>
      <c r="D5" s="13">
        <f t="shared" si="12"/>
        <v>2</v>
      </c>
      <c r="E5" s="14">
        <v>5.7381411260453126</v>
      </c>
      <c r="F5" s="14">
        <f t="shared" si="13"/>
        <v>0.36417190915969977</v>
      </c>
      <c r="G5" s="14">
        <f t="shared" si="0"/>
        <v>7.3198553741099648</v>
      </c>
      <c r="H5" s="14">
        <f t="shared" si="14"/>
        <v>1.5463216179225485</v>
      </c>
      <c r="I5" s="15">
        <f t="shared" ref="I5:I33" si="17">Beta^D5*((E5^(1-Sigma)-1)/(1-Sigma)-Gamma*((F5^(1+(1/Phi)))/(1+(1/Phi))))</f>
        <v>0.9267842983539184</v>
      </c>
      <c r="J5" s="22">
        <f t="shared" si="1"/>
        <v>0.72099307915785626</v>
      </c>
      <c r="K5" s="1">
        <f t="shared" si="2"/>
        <v>6.326235017551074E-2</v>
      </c>
      <c r="L5" s="1">
        <f t="shared" si="3"/>
        <v>0.86072116890679684</v>
      </c>
      <c r="M5" s="1">
        <f t="shared" si="4"/>
        <v>2.4155522734562886</v>
      </c>
      <c r="N5" s="1">
        <f t="shared" si="5"/>
        <v>0</v>
      </c>
      <c r="O5" s="1">
        <f t="shared" si="6"/>
        <v>3.2762734423630855</v>
      </c>
      <c r="P5" s="1">
        <f t="shared" si="7"/>
        <v>3.082645681919427</v>
      </c>
      <c r="Q5" s="1">
        <f t="shared" si="8"/>
        <v>0.39278767861097769</v>
      </c>
      <c r="R5" s="1">
        <f t="shared" si="9"/>
        <v>1.5147520278590865E-2</v>
      </c>
      <c r="S5" s="1">
        <f t="shared" si="10"/>
        <v>3.2762734423630855</v>
      </c>
      <c r="T5" s="1">
        <f t="shared" si="15"/>
        <v>7.275170270183734E-2</v>
      </c>
      <c r="U5" s="1">
        <f t="shared" si="11"/>
        <v>0.9267842983539184</v>
      </c>
      <c r="V5" s="1">
        <f t="shared" si="16"/>
        <v>5.7381411260453126</v>
      </c>
    </row>
    <row r="6" spans="1:63" x14ac:dyDescent="0.4">
      <c r="A6" s="7" t="s">
        <v>26</v>
      </c>
      <c r="B6" s="8">
        <f>(Wbar * (1-tau_w) *lambda0)/(Lbar^(1/Phi))</f>
        <v>11.186012053973558</v>
      </c>
      <c r="D6" s="13">
        <f t="shared" si="12"/>
        <v>3</v>
      </c>
      <c r="E6" s="14">
        <v>5.7653201143042763</v>
      </c>
      <c r="F6" s="14">
        <f t="shared" si="13"/>
        <v>0.36288355900316771</v>
      </c>
      <c r="G6" s="14">
        <f t="shared" si="0"/>
        <v>7.29395953596367</v>
      </c>
      <c r="H6" s="14">
        <f t="shared" si="14"/>
        <v>2.2720158871532039</v>
      </c>
      <c r="I6" s="15">
        <f t="shared" si="17"/>
        <v>0.90251722904911347</v>
      </c>
      <c r="J6" s="22">
        <f t="shared" si="1"/>
        <v>0.66384140451375284</v>
      </c>
      <c r="K6" s="1">
        <f t="shared" si="2"/>
        <v>6.2815528846887111E-2</v>
      </c>
      <c r="L6" s="1">
        <f t="shared" si="3"/>
        <v>0.86479801714564142</v>
      </c>
      <c r="M6" s="1">
        <f t="shared" si="4"/>
        <v>2.4070066468680111</v>
      </c>
      <c r="N6" s="1">
        <f t="shared" si="5"/>
        <v>0</v>
      </c>
      <c r="O6" s="1">
        <f t="shared" si="6"/>
        <v>3.2718046640136524</v>
      </c>
      <c r="P6" s="1">
        <f t="shared" si="7"/>
        <v>2.986087778119332</v>
      </c>
      <c r="Q6" s="1">
        <f t="shared" si="8"/>
        <v>0.38010491884640668</v>
      </c>
      <c r="R6" s="1">
        <f t="shared" si="9"/>
        <v>1.4537704096278603E-2</v>
      </c>
      <c r="S6" s="1">
        <f t="shared" si="10"/>
        <v>3.2718046640136524</v>
      </c>
      <c r="T6" s="1">
        <f t="shared" si="15"/>
        <v>7.2237858173920172E-2</v>
      </c>
      <c r="U6" s="1">
        <f t="shared" si="11"/>
        <v>0.90251722904911347</v>
      </c>
      <c r="V6" s="1">
        <f t="shared" si="16"/>
        <v>5.7653201143042772</v>
      </c>
      <c r="W6" s="1" t="s">
        <v>27</v>
      </c>
    </row>
    <row r="7" spans="1:63" ht="14.25" customHeight="1" thickBot="1" x14ac:dyDescent="0.45">
      <c r="A7" s="9" t="s">
        <v>28</v>
      </c>
      <c r="B7" s="10">
        <v>0.5</v>
      </c>
      <c r="D7" s="13">
        <f t="shared" si="12"/>
        <v>4</v>
      </c>
      <c r="E7" s="14">
        <v>5.7972579581081716</v>
      </c>
      <c r="F7" s="14">
        <f t="shared" si="13"/>
        <v>0.36138314474979022</v>
      </c>
      <c r="G7" s="14">
        <f t="shared" si="0"/>
        <v>7.2638012094707829</v>
      </c>
      <c r="H7" s="14">
        <f t="shared" si="14"/>
        <v>2.9598510802857181</v>
      </c>
      <c r="I7" s="15">
        <f t="shared" si="17"/>
        <v>0.87942429105410413</v>
      </c>
      <c r="J7" s="22">
        <f t="shared" si="1"/>
        <v>0.59695455764638616</v>
      </c>
      <c r="K7" s="1">
        <f t="shared" si="2"/>
        <v>6.2297156128076812E-2</v>
      </c>
      <c r="L7" s="1">
        <f t="shared" si="3"/>
        <v>0.86958869371622571</v>
      </c>
      <c r="M7" s="1">
        <f t="shared" si="4"/>
        <v>2.3970543991253583</v>
      </c>
      <c r="N7" s="1">
        <f t="shared" si="5"/>
        <v>0</v>
      </c>
      <c r="O7" s="1">
        <f t="shared" si="6"/>
        <v>3.2666430928415839</v>
      </c>
      <c r="P7" s="1">
        <f t="shared" si="7"/>
        <v>2.8919356429288166</v>
      </c>
      <c r="Q7" s="1">
        <f t="shared" si="8"/>
        <v>0.36768475575938214</v>
      </c>
      <c r="R7" s="1">
        <f t="shared" si="9"/>
        <v>1.3927377931958364E-2</v>
      </c>
      <c r="S7" s="1">
        <f t="shared" si="10"/>
        <v>3.2666430928415839</v>
      </c>
      <c r="T7" s="1">
        <f t="shared" si="15"/>
        <v>7.1641729547288327E-2</v>
      </c>
      <c r="U7" s="1">
        <f t="shared" si="11"/>
        <v>0.87942429105410413</v>
      </c>
      <c r="V7" s="1">
        <f t="shared" si="16"/>
        <v>5.7972579581081707</v>
      </c>
    </row>
    <row r="8" spans="1:63" ht="14.25" customHeight="1" thickBot="1" x14ac:dyDescent="0.45">
      <c r="D8" s="13">
        <f t="shared" si="12"/>
        <v>5</v>
      </c>
      <c r="E8" s="14">
        <v>5.8313063263139409</v>
      </c>
      <c r="F8" s="14">
        <f t="shared" si="13"/>
        <v>0.35979942900159867</v>
      </c>
      <c r="G8" s="14">
        <f t="shared" si="0"/>
        <v>7.2319685229321324</v>
      </c>
      <c r="H8" s="14">
        <f t="shared" si="14"/>
        <v>3.6042113711682475</v>
      </c>
      <c r="I8" s="15">
        <f t="shared" si="17"/>
        <v>0.85710514964012263</v>
      </c>
      <c r="J8" s="22">
        <f t="shared" si="1"/>
        <v>0.52596624767110089</v>
      </c>
      <c r="K8" s="1">
        <f t="shared" si="2"/>
        <v>6.1752333802891614E-2</v>
      </c>
      <c r="L8" s="1">
        <f t="shared" si="3"/>
        <v>0.87469594894709113</v>
      </c>
      <c r="M8" s="1">
        <f t="shared" si="4"/>
        <v>2.3865496125676038</v>
      </c>
      <c r="N8" s="1">
        <f t="shared" si="5"/>
        <v>0</v>
      </c>
      <c r="O8" s="1">
        <f t="shared" si="6"/>
        <v>3.2612455615146949</v>
      </c>
      <c r="P8" s="1">
        <f t="shared" si="7"/>
        <v>2.8005425298357705</v>
      </c>
      <c r="Q8" s="1">
        <f t="shared" si="8"/>
        <v>0.35561145599526139</v>
      </c>
      <c r="R8" s="1">
        <f t="shared" si="9"/>
        <v>1.333272206839578E-2</v>
      </c>
      <c r="S8" s="1">
        <f t="shared" si="10"/>
        <v>3.2612455615146949</v>
      </c>
      <c r="T8" s="1">
        <f t="shared" si="15"/>
        <v>7.1015183873325352E-2</v>
      </c>
      <c r="U8" s="1">
        <f t="shared" si="11"/>
        <v>0.85710514964012263</v>
      </c>
      <c r="V8" s="1">
        <f t="shared" si="16"/>
        <v>5.83130632631394</v>
      </c>
      <c r="BK8" s="4"/>
    </row>
    <row r="9" spans="1:63" x14ac:dyDescent="0.4">
      <c r="A9" s="11" t="s">
        <v>29</v>
      </c>
      <c r="B9" s="12"/>
      <c r="D9" s="13">
        <f t="shared" si="12"/>
        <v>6</v>
      </c>
      <c r="E9" s="14">
        <v>5.8659000634546459</v>
      </c>
      <c r="F9" s="14">
        <f t="shared" si="13"/>
        <v>0.35820683389095592</v>
      </c>
      <c r="G9" s="14">
        <f t="shared" si="0"/>
        <v>7.1999573612082131</v>
      </c>
      <c r="H9" s="14">
        <f t="shared" si="14"/>
        <v>4.2025521142503477</v>
      </c>
      <c r="I9" s="15">
        <f t="shared" si="17"/>
        <v>0.83534181124819495</v>
      </c>
      <c r="J9" s="22">
        <f t="shared" si="1"/>
        <v>0.45417228823537048</v>
      </c>
      <c r="K9" s="1">
        <f t="shared" si="2"/>
        <v>6.1206869861257777E-2</v>
      </c>
      <c r="L9" s="1">
        <f t="shared" si="3"/>
        <v>0.87988500951819681</v>
      </c>
      <c r="M9" s="1">
        <f t="shared" si="4"/>
        <v>2.3759859291987104</v>
      </c>
      <c r="N9" s="1">
        <f t="shared" si="5"/>
        <v>0</v>
      </c>
      <c r="O9" s="1">
        <f t="shared" si="6"/>
        <v>3.2558709387169071</v>
      </c>
      <c r="P9" s="1">
        <f t="shared" si="7"/>
        <v>2.7120493436130872</v>
      </c>
      <c r="Q9" s="1">
        <f t="shared" si="8"/>
        <v>0.3439244692584284</v>
      </c>
      <c r="R9" s="1">
        <f t="shared" si="9"/>
        <v>1.2761765265775701E-2</v>
      </c>
      <c r="S9" s="1">
        <f t="shared" si="10"/>
        <v>3.2558709387169071</v>
      </c>
      <c r="T9" s="1">
        <f t="shared" si="15"/>
        <v>7.0387900340446438E-2</v>
      </c>
      <c r="U9" s="1">
        <f t="shared" si="11"/>
        <v>0.83534181124819495</v>
      </c>
      <c r="V9" s="1">
        <f t="shared" si="16"/>
        <v>5.8659000634546468</v>
      </c>
    </row>
    <row r="10" spans="1:63" ht="14.25" customHeight="1" thickBot="1" x14ac:dyDescent="0.45">
      <c r="A10" s="9" t="s">
        <v>30</v>
      </c>
      <c r="B10" s="10">
        <v>0.04</v>
      </c>
      <c r="D10" s="13">
        <f t="shared" si="12"/>
        <v>7</v>
      </c>
      <c r="E10" s="14">
        <v>5.9002213106235528</v>
      </c>
      <c r="F10" s="14">
        <f t="shared" si="13"/>
        <v>0.35664294344905079</v>
      </c>
      <c r="G10" s="14">
        <f t="shared" si="0"/>
        <v>7.1685231633259203</v>
      </c>
      <c r="H10" s="14">
        <f t="shared" si="14"/>
        <v>4.7539228549291979</v>
      </c>
      <c r="I10" s="15">
        <f t="shared" si="17"/>
        <v>0.81403069336580103</v>
      </c>
      <c r="J10" s="22">
        <f t="shared" si="1"/>
        <v>0.38326865610883498</v>
      </c>
      <c r="K10" s="1">
        <f t="shared" si="2"/>
        <v>6.0673592008625002E-2</v>
      </c>
      <c r="L10" s="1">
        <f t="shared" si="3"/>
        <v>0.88503319659353286</v>
      </c>
      <c r="M10" s="1">
        <f t="shared" si="4"/>
        <v>2.365612643897554</v>
      </c>
      <c r="N10" s="1">
        <f t="shared" si="5"/>
        <v>0</v>
      </c>
      <c r="O10" s="1">
        <f t="shared" si="6"/>
        <v>3.250645840491087</v>
      </c>
      <c r="P10" s="1">
        <f t="shared" si="7"/>
        <v>2.6264660735759353</v>
      </c>
      <c r="Q10" s="1">
        <f t="shared" si="8"/>
        <v>0.33263503446624221</v>
      </c>
      <c r="R10" s="1">
        <f t="shared" si="9"/>
        <v>1.2217484354974177E-2</v>
      </c>
      <c r="S10" s="1">
        <f t="shared" si="10"/>
        <v>3.250645840491087</v>
      </c>
      <c r="T10" s="1">
        <f t="shared" si="15"/>
        <v>6.9774630809918747E-2</v>
      </c>
      <c r="U10" s="1">
        <f t="shared" si="11"/>
        <v>0.81403069336580103</v>
      </c>
      <c r="V10" s="1">
        <f t="shared" si="16"/>
        <v>5.9002213106235537</v>
      </c>
      <c r="W10" s="1" t="s">
        <v>31</v>
      </c>
    </row>
    <row r="11" spans="1:63" x14ac:dyDescent="0.4">
      <c r="A11" s="1" t="s">
        <v>32</v>
      </c>
      <c r="B11" s="1">
        <f>1/Beta - 1</f>
        <v>3.0927835051546504E-2</v>
      </c>
      <c r="D11" s="13">
        <f t="shared" si="12"/>
        <v>8</v>
      </c>
      <c r="E11" s="14">
        <v>5.9339469303881511</v>
      </c>
      <c r="F11" s="14">
        <f t="shared" si="13"/>
        <v>0.35512162426240951</v>
      </c>
      <c r="G11" s="14">
        <f t="shared" si="0"/>
        <v>7.1379446476744306</v>
      </c>
      <c r="H11" s="14">
        <f t="shared" si="14"/>
        <v>5.2579854468544216</v>
      </c>
      <c r="I11" s="15">
        <f t="shared" si="17"/>
        <v>0.79313540976895114</v>
      </c>
      <c r="J11" s="22">
        <f t="shared" si="1"/>
        <v>0.31390567772805689</v>
      </c>
      <c r="K11" s="1">
        <f t="shared" si="2"/>
        <v>6.0157069629043873E-2</v>
      </c>
      <c r="L11" s="1">
        <f t="shared" si="3"/>
        <v>0.89009203955822269</v>
      </c>
      <c r="M11" s="1">
        <f t="shared" si="4"/>
        <v>2.3555217337325622</v>
      </c>
      <c r="N11" s="1">
        <f t="shared" si="5"/>
        <v>0</v>
      </c>
      <c r="O11" s="1">
        <f t="shared" si="6"/>
        <v>3.2456137732907848</v>
      </c>
      <c r="P11" s="1">
        <f t="shared" si="7"/>
        <v>2.5437282421161762</v>
      </c>
      <c r="Q11" s="1">
        <f t="shared" si="8"/>
        <v>0.32173776838173135</v>
      </c>
      <c r="R11" s="1">
        <f t="shared" si="9"/>
        <v>1.1699949160745625E-2</v>
      </c>
      <c r="S11" s="1">
        <f t="shared" si="10"/>
        <v>3.2456137732907848</v>
      </c>
      <c r="T11" s="1">
        <f t="shared" si="15"/>
        <v>6.9180630073400445E-2</v>
      </c>
      <c r="U11" s="1">
        <f t="shared" si="11"/>
        <v>0.79313540976895114</v>
      </c>
      <c r="V11" s="1">
        <f t="shared" si="16"/>
        <v>5.9339469303881494</v>
      </c>
    </row>
    <row r="12" spans="1:63" x14ac:dyDescent="0.4">
      <c r="A12" s="1" t="s">
        <v>33</v>
      </c>
      <c r="B12" s="1">
        <v>0.33</v>
      </c>
      <c r="C12" s="1" t="s">
        <v>13</v>
      </c>
      <c r="D12" s="13">
        <f t="shared" si="12"/>
        <v>9</v>
      </c>
      <c r="E12" s="14">
        <v>5.9670622109181028</v>
      </c>
      <c r="F12" s="14">
        <f t="shared" si="13"/>
        <v>0.35364248820949262</v>
      </c>
      <c r="G12" s="14">
        <f t="shared" si="0"/>
        <v>7.1082140130108007</v>
      </c>
      <c r="H12" s="14">
        <f t="shared" si="14"/>
        <v>5.7143973351835813</v>
      </c>
      <c r="I12" s="15">
        <f t="shared" si="17"/>
        <v>0.7726554267253477</v>
      </c>
      <c r="J12" s="22">
        <f t="shared" si="1"/>
        <v>0.2460924704549825</v>
      </c>
      <c r="K12" s="1">
        <f t="shared" si="2"/>
        <v>5.9656986413820216E-2</v>
      </c>
      <c r="L12" s="1">
        <f t="shared" si="3"/>
        <v>0.89505933163771545</v>
      </c>
      <c r="M12" s="1">
        <f t="shared" si="4"/>
        <v>2.3457106242935644</v>
      </c>
      <c r="N12" s="1">
        <f t="shared" si="5"/>
        <v>0</v>
      </c>
      <c r="O12" s="1">
        <f t="shared" si="6"/>
        <v>3.2407699559312797</v>
      </c>
      <c r="P12" s="1">
        <f t="shared" si="7"/>
        <v>2.4637339744535449</v>
      </c>
      <c r="Q12" s="1">
        <f t="shared" si="8"/>
        <v>0.31121844293021056</v>
      </c>
      <c r="R12" s="1">
        <f t="shared" si="9"/>
        <v>1.1207730164998939E-2</v>
      </c>
      <c r="S12" s="1">
        <f t="shared" si="10"/>
        <v>3.2407699559312797</v>
      </c>
      <c r="T12" s="1">
        <f t="shared" si="15"/>
        <v>6.8605534375893243E-2</v>
      </c>
      <c r="U12" s="1">
        <f t="shared" si="11"/>
        <v>0.7726554267253477</v>
      </c>
      <c r="V12" s="1">
        <f t="shared" si="16"/>
        <v>5.9670622109181028</v>
      </c>
    </row>
    <row r="13" spans="1:63" x14ac:dyDescent="0.4">
      <c r="A13" s="1" t="s">
        <v>34</v>
      </c>
      <c r="B13" s="1">
        <v>0.15</v>
      </c>
      <c r="D13" s="13">
        <f t="shared" si="12"/>
        <v>10</v>
      </c>
      <c r="E13" s="14">
        <v>5.9997301599741633</v>
      </c>
      <c r="F13" s="14">
        <f t="shared" si="13"/>
        <v>0.35219734126018049</v>
      </c>
      <c r="G13" s="14">
        <f t="shared" si="0"/>
        <v>7.0791665593296269</v>
      </c>
      <c r="H13" s="14">
        <f t="shared" si="14"/>
        <v>6.1224501039502641</v>
      </c>
      <c r="I13" s="15">
        <f t="shared" si="17"/>
        <v>0.75260648962509957</v>
      </c>
      <c r="J13" s="22">
        <f t="shared" si="1"/>
        <v>0.17947687535933987</v>
      </c>
      <c r="K13" s="1">
        <f t="shared" si="2"/>
        <v>5.9170410499201055E-2</v>
      </c>
      <c r="L13" s="1">
        <f t="shared" si="3"/>
        <v>0.89995952399612444</v>
      </c>
      <c r="M13" s="1">
        <f t="shared" si="4"/>
        <v>2.3361249645787772</v>
      </c>
      <c r="N13" s="1">
        <f t="shared" si="5"/>
        <v>0</v>
      </c>
      <c r="O13" s="1">
        <f t="shared" si="6"/>
        <v>3.2360844885749014</v>
      </c>
      <c r="P13" s="1">
        <f t="shared" si="7"/>
        <v>2.3863667785455669</v>
      </c>
      <c r="Q13" s="1">
        <f t="shared" si="8"/>
        <v>0.30105890903976096</v>
      </c>
      <c r="R13" s="1">
        <f t="shared" si="9"/>
        <v>1.0738764226752613E-2</v>
      </c>
      <c r="S13" s="1">
        <f t="shared" si="10"/>
        <v>3.2360844885749014</v>
      </c>
      <c r="T13" s="1">
        <f t="shared" si="15"/>
        <v>6.804597207408121E-2</v>
      </c>
      <c r="U13" s="1">
        <f t="shared" si="11"/>
        <v>0.75260648962509957</v>
      </c>
      <c r="V13" s="1">
        <f t="shared" si="16"/>
        <v>5.9997301599741641</v>
      </c>
      <c r="W13" s="1" t="s">
        <v>35</v>
      </c>
    </row>
    <row r="14" spans="1:63" x14ac:dyDescent="0.4">
      <c r="A14" s="1" t="s">
        <v>36</v>
      </c>
      <c r="B14" s="1">
        <v>0</v>
      </c>
      <c r="D14" s="13">
        <f t="shared" si="12"/>
        <v>11</v>
      </c>
      <c r="E14" s="14">
        <v>6.0321929478151972</v>
      </c>
      <c r="F14" s="14">
        <f t="shared" si="13"/>
        <v>0.35077484663802755</v>
      </c>
      <c r="G14" s="14">
        <f t="shared" si="0"/>
        <v>7.050574417424353</v>
      </c>
      <c r="H14" s="14">
        <f t="shared" si="14"/>
        <v>6.4809006355451517</v>
      </c>
      <c r="I14" s="15">
        <f t="shared" si="17"/>
        <v>0.73300813605273429</v>
      </c>
      <c r="J14" s="22">
        <f t="shared" si="1"/>
        <v>0.11355252743687672</v>
      </c>
      <c r="K14" s="1">
        <f t="shared" si="2"/>
        <v>5.8693407387400656E-2</v>
      </c>
      <c r="L14" s="1">
        <f t="shared" si="3"/>
        <v>0.90482894217227949</v>
      </c>
      <c r="M14" s="1">
        <f t="shared" si="4"/>
        <v>2.3266895577500364</v>
      </c>
      <c r="N14" s="1">
        <f t="shared" si="5"/>
        <v>0</v>
      </c>
      <c r="O14" s="1">
        <f t="shared" si="6"/>
        <v>3.2315184999223159</v>
      </c>
      <c r="P14" s="1">
        <f t="shared" si="7"/>
        <v>2.3115097170995211</v>
      </c>
      <c r="Q14" s="1">
        <f t="shared" si="8"/>
        <v>0.29124029658203165</v>
      </c>
      <c r="R14" s="1">
        <f t="shared" si="9"/>
        <v>1.0290895129017099E-2</v>
      </c>
      <c r="S14" s="1">
        <f t="shared" si="10"/>
        <v>3.2315184999223159</v>
      </c>
      <c r="T14" s="1">
        <f t="shared" si="15"/>
        <v>6.7497418495510747E-2</v>
      </c>
      <c r="U14" s="1">
        <f t="shared" si="11"/>
        <v>0.73300813605273429</v>
      </c>
      <c r="V14" s="1">
        <f t="shared" si="16"/>
        <v>6.0321929478151963</v>
      </c>
    </row>
    <row r="15" spans="1:63" x14ac:dyDescent="0.4">
      <c r="A15" s="1" t="s">
        <v>37</v>
      </c>
      <c r="B15" s="1">
        <v>30</v>
      </c>
      <c r="C15" s="2" t="s">
        <v>13</v>
      </c>
      <c r="D15" s="13">
        <f t="shared" si="12"/>
        <v>12</v>
      </c>
      <c r="E15" s="14">
        <v>6.0647109822115262</v>
      </c>
      <c r="F15" s="14">
        <f t="shared" si="13"/>
        <v>0.34936329907832159</v>
      </c>
      <c r="G15" s="14">
        <f t="shared" si="0"/>
        <v>7.0222023114742633</v>
      </c>
      <c r="H15" s="14">
        <f t="shared" si="14"/>
        <v>6.7879213428979659</v>
      </c>
      <c r="I15" s="15">
        <f t="shared" si="17"/>
        <v>0.71387724387075557</v>
      </c>
      <c r="J15" s="22">
        <f t="shared" si="1"/>
        <v>4.7784681931008599E-2</v>
      </c>
      <c r="K15" s="1">
        <f t="shared" si="2"/>
        <v>5.8221983384147476E-2</v>
      </c>
      <c r="L15" s="1">
        <f t="shared" si="3"/>
        <v>0.9097066473317289</v>
      </c>
      <c r="M15" s="1">
        <f t="shared" si="4"/>
        <v>2.3173267627865068</v>
      </c>
      <c r="N15" s="1">
        <f t="shared" si="5"/>
        <v>0</v>
      </c>
      <c r="O15" s="1">
        <f t="shared" si="6"/>
        <v>3.2270334101182359</v>
      </c>
      <c r="P15" s="1">
        <f t="shared" si="7"/>
        <v>2.239052480287596</v>
      </c>
      <c r="Q15" s="1">
        <f t="shared" si="8"/>
        <v>0.28174470098279841</v>
      </c>
      <c r="R15" s="1">
        <f t="shared" si="9"/>
        <v>9.862145295591318E-3</v>
      </c>
      <c r="S15" s="1">
        <f t="shared" si="10"/>
        <v>3.2270334101182359</v>
      </c>
      <c r="T15" s="1">
        <f t="shared" si="15"/>
        <v>6.6955280891769595E-2</v>
      </c>
      <c r="U15" s="1">
        <f t="shared" si="11"/>
        <v>0.71387724387075557</v>
      </c>
      <c r="V15" s="1">
        <f t="shared" si="16"/>
        <v>6.0647109822115262</v>
      </c>
    </row>
    <row r="16" spans="1:63" x14ac:dyDescent="0.4">
      <c r="A16" s="1" t="s">
        <v>38</v>
      </c>
      <c r="B16" s="1">
        <f>1/3</f>
        <v>0.33333333333333331</v>
      </c>
      <c r="C16" s="2" t="s">
        <v>13</v>
      </c>
      <c r="D16" s="13">
        <f t="shared" si="12"/>
        <v>13</v>
      </c>
      <c r="E16" s="14">
        <v>6.0975203896627521</v>
      </c>
      <c r="F16" s="14">
        <f t="shared" si="13"/>
        <v>0.34795246372880939</v>
      </c>
      <c r="G16" s="14">
        <f t="shared" si="0"/>
        <v>6.9938445209490681</v>
      </c>
      <c r="H16" s="14">
        <f t="shared" si="14"/>
        <v>7.0411342694507884</v>
      </c>
      <c r="I16" s="15">
        <f t="shared" si="17"/>
        <v>0.69522460662395558</v>
      </c>
      <c r="J16" s="22">
        <f t="shared" si="1"/>
        <v>-1.8303927163096034E-2</v>
      </c>
      <c r="K16" s="1">
        <f t="shared" si="2"/>
        <v>5.7752696678671445E-2</v>
      </c>
      <c r="L16" s="1">
        <f t="shared" si="3"/>
        <v>0.91462805844941275</v>
      </c>
      <c r="M16" s="1">
        <f t="shared" si="4"/>
        <v>2.3079686919131928</v>
      </c>
      <c r="N16" s="1">
        <f t="shared" si="5"/>
        <v>0</v>
      </c>
      <c r="O16" s="1">
        <f t="shared" si="6"/>
        <v>3.2225967503626056</v>
      </c>
      <c r="P16" s="1">
        <f t="shared" si="7"/>
        <v>2.1688949136735816</v>
      </c>
      <c r="Q16" s="1">
        <f t="shared" si="8"/>
        <v>0.27255610536564751</v>
      </c>
      <c r="R16" s="1">
        <f t="shared" si="9"/>
        <v>9.4508536613229586E-3</v>
      </c>
      <c r="S16" s="1">
        <f t="shared" si="10"/>
        <v>3.2225967503626056</v>
      </c>
      <c r="T16" s="1">
        <f t="shared" si="15"/>
        <v>6.6415601180472156E-2</v>
      </c>
      <c r="U16" s="1">
        <f t="shared" si="11"/>
        <v>0.69522460662395558</v>
      </c>
      <c r="V16" s="1">
        <f t="shared" si="16"/>
        <v>6.0975203896627521</v>
      </c>
    </row>
    <row r="17" spans="1:23" x14ac:dyDescent="0.4">
      <c r="A17" s="5" t="s">
        <v>39</v>
      </c>
      <c r="B17" s="1">
        <f>Cbar^(-Sigma)/(1+tau_c)</f>
        <v>6.1835334737277828E-2</v>
      </c>
      <c r="C17" s="2"/>
      <c r="D17" s="13">
        <f t="shared" si="12"/>
        <v>14</v>
      </c>
      <c r="E17" s="14">
        <v>6.1308057701587284</v>
      </c>
      <c r="F17" s="14">
        <f t="shared" si="13"/>
        <v>0.34653467196178495</v>
      </c>
      <c r="G17" s="14">
        <f t="shared" si="0"/>
        <v>6.9653469064318765</v>
      </c>
      <c r="H17" s="14">
        <f t="shared" si="14"/>
        <v>7.2376999109781588</v>
      </c>
      <c r="I17" s="15">
        <f t="shared" si="17"/>
        <v>0.67705361205607606</v>
      </c>
      <c r="J17" s="22">
        <f t="shared" si="1"/>
        <v>-8.5079729250660208E-2</v>
      </c>
      <c r="K17" s="1">
        <f t="shared" si="2"/>
        <v>5.7283009082099816E-2</v>
      </c>
      <c r="L17" s="1">
        <f t="shared" si="3"/>
        <v>0.91962086552380917</v>
      </c>
      <c r="M17" s="1">
        <f t="shared" si="4"/>
        <v>2.2985644791225193</v>
      </c>
      <c r="N17" s="1">
        <f t="shared" si="5"/>
        <v>0</v>
      </c>
      <c r="O17" s="1">
        <f t="shared" si="6"/>
        <v>3.2181853446463284</v>
      </c>
      <c r="P17" s="1">
        <f t="shared" si="7"/>
        <v>2.100948140577191</v>
      </c>
      <c r="Q17" s="1">
        <f t="shared" si="8"/>
        <v>0.26366076084675283</v>
      </c>
      <c r="R17" s="1">
        <f t="shared" si="9"/>
        <v>9.0557225115495688E-3</v>
      </c>
      <c r="S17" s="1">
        <f t="shared" si="10"/>
        <v>3.2181853446463284</v>
      </c>
      <c r="T17" s="1">
        <f t="shared" si="15"/>
        <v>6.587546044441478E-2</v>
      </c>
      <c r="U17" s="1">
        <f t="shared" si="11"/>
        <v>0.67705361205607606</v>
      </c>
      <c r="V17" s="1">
        <f t="shared" si="16"/>
        <v>6.1308057701587275</v>
      </c>
    </row>
    <row r="18" spans="1:23" x14ac:dyDescent="0.4">
      <c r="A18" s="1" t="s">
        <v>40</v>
      </c>
      <c r="B18" s="1">
        <f>Lbar * Wbar * (1-tau_w)/(1+tau_c)</f>
        <v>5.8260869565217392</v>
      </c>
      <c r="C18" s="2"/>
      <c r="D18" s="13">
        <f t="shared" si="12"/>
        <v>15</v>
      </c>
      <c r="E18" s="14">
        <v>6.1646923991008551</v>
      </c>
      <c r="F18" s="14">
        <f t="shared" si="13"/>
        <v>0.34510504113522472</v>
      </c>
      <c r="G18" s="14">
        <f t="shared" si="0"/>
        <v>6.9366113268180163</v>
      </c>
      <c r="H18" s="14">
        <f t="shared" si="14"/>
        <v>7.3744229752693196</v>
      </c>
      <c r="I18" s="15">
        <f t="shared" si="17"/>
        <v>0.65936086335214628</v>
      </c>
      <c r="J18" s="22">
        <f t="shared" si="1"/>
        <v>-0.1527849321479664</v>
      </c>
      <c r="K18" s="1">
        <f t="shared" si="2"/>
        <v>5.6811341245882177E-2</v>
      </c>
      <c r="L18" s="1">
        <f t="shared" si="3"/>
        <v>0.92470385986512826</v>
      </c>
      <c r="M18" s="1">
        <f t="shared" si="4"/>
        <v>2.2890817378499455</v>
      </c>
      <c r="N18" s="1">
        <f t="shared" si="5"/>
        <v>0</v>
      </c>
      <c r="O18" s="1">
        <f t="shared" si="6"/>
        <v>3.2137855977150735</v>
      </c>
      <c r="P18" s="1">
        <f t="shared" si="7"/>
        <v>2.0351335513837574</v>
      </c>
      <c r="Q18" s="1">
        <f t="shared" si="8"/>
        <v>0.25504705215239604</v>
      </c>
      <c r="R18" s="1">
        <f t="shared" si="9"/>
        <v>8.6757827676545666E-3</v>
      </c>
      <c r="S18" s="1">
        <f t="shared" si="10"/>
        <v>3.2137855977150735</v>
      </c>
      <c r="T18" s="1">
        <f t="shared" si="15"/>
        <v>6.5333042432764499E-2</v>
      </c>
      <c r="U18" s="1">
        <f t="shared" si="11"/>
        <v>0.65936086335214628</v>
      </c>
      <c r="V18" s="1">
        <f t="shared" si="16"/>
        <v>6.164692399100856</v>
      </c>
      <c r="W18" s="1" t="s">
        <v>41</v>
      </c>
    </row>
    <row r="19" spans="1:23" x14ac:dyDescent="0.4">
      <c r="A19" s="1" t="s">
        <v>13</v>
      </c>
      <c r="C19" s="2"/>
      <c r="D19" s="13">
        <f t="shared" si="12"/>
        <v>16</v>
      </c>
      <c r="E19" s="14">
        <v>6.1992417924378733</v>
      </c>
      <c r="F19" s="14">
        <f t="shared" si="13"/>
        <v>0.34366153855292941</v>
      </c>
      <c r="G19" s="14">
        <f t="shared" si="0"/>
        <v>6.9075969249138804</v>
      </c>
      <c r="H19" s="14">
        <f t="shared" si="14"/>
        <v>7.4478687578904186</v>
      </c>
      <c r="I19" s="15">
        <f t="shared" si="17"/>
        <v>0.64213706013211291</v>
      </c>
      <c r="J19" s="22">
        <f t="shared" si="1"/>
        <v>-0.22153113638967348</v>
      </c>
      <c r="K19" s="1">
        <f t="shared" si="2"/>
        <v>5.6337075163015247E-2</v>
      </c>
      <c r="L19" s="1">
        <f t="shared" si="3"/>
        <v>0.92988626886568093</v>
      </c>
      <c r="M19" s="1">
        <f t="shared" si="4"/>
        <v>2.2795069852215808</v>
      </c>
      <c r="N19" s="1">
        <f t="shared" si="5"/>
        <v>0</v>
      </c>
      <c r="O19" s="1">
        <f t="shared" si="6"/>
        <v>3.2093932540872618</v>
      </c>
      <c r="P19" s="1">
        <f t="shared" si="7"/>
        <v>1.9713815317215977</v>
      </c>
      <c r="Q19" s="1">
        <f t="shared" si="8"/>
        <v>0.24670528910146916</v>
      </c>
      <c r="R19" s="1">
        <f t="shared" si="9"/>
        <v>8.3103494026093173E-3</v>
      </c>
      <c r="S19" s="1">
        <f t="shared" si="10"/>
        <v>3.2093932540872618</v>
      </c>
      <c r="T19" s="1">
        <f t="shared" si="15"/>
        <v>6.478763643746753E-2</v>
      </c>
      <c r="U19" s="1">
        <f t="shared" si="11"/>
        <v>0.64213706013211291</v>
      </c>
      <c r="V19" s="1">
        <f t="shared" si="16"/>
        <v>6.1992417924378733</v>
      </c>
    </row>
    <row r="20" spans="1:23" x14ac:dyDescent="0.4">
      <c r="A20" s="1" t="s">
        <v>42</v>
      </c>
      <c r="B20" s="1">
        <v>35</v>
      </c>
      <c r="C20" s="2"/>
      <c r="D20" s="13">
        <f t="shared" si="12"/>
        <v>17</v>
      </c>
      <c r="E20" s="14">
        <v>6.2344560950487864</v>
      </c>
      <c r="F20" s="14">
        <f t="shared" si="13"/>
        <v>0.34220467137203647</v>
      </c>
      <c r="G20" s="14">
        <f t="shared" si="0"/>
        <v>6.8783138945779321</v>
      </c>
      <c r="H20" s="14">
        <f t="shared" si="14"/>
        <v>7.4544728934778632</v>
      </c>
      <c r="I20" s="15">
        <f t="shared" si="17"/>
        <v>0.6253684486521589</v>
      </c>
      <c r="J20" s="22">
        <f t="shared" si="1"/>
        <v>-0.29131061472817166</v>
      </c>
      <c r="K20" s="1">
        <f t="shared" si="2"/>
        <v>5.5860433717206399E-2</v>
      </c>
      <c r="L20" s="1">
        <f t="shared" si="3"/>
        <v>0.93516841425731789</v>
      </c>
      <c r="M20" s="1">
        <f t="shared" si="4"/>
        <v>2.2698435852107175</v>
      </c>
      <c r="N20" s="1">
        <f t="shared" si="5"/>
        <v>0</v>
      </c>
      <c r="O20" s="1">
        <f t="shared" si="6"/>
        <v>3.2050119994680353</v>
      </c>
      <c r="P20" s="1">
        <f t="shared" si="7"/>
        <v>1.9096296201630378</v>
      </c>
      <c r="Q20" s="1">
        <f t="shared" si="8"/>
        <v>0.23862733832403804</v>
      </c>
      <c r="R20" s="1">
        <f t="shared" si="9"/>
        <v>7.9589546290314925E-3</v>
      </c>
      <c r="S20" s="1">
        <f t="shared" si="10"/>
        <v>3.2050119994680353</v>
      </c>
      <c r="T20" s="1">
        <f t="shared" si="15"/>
        <v>6.4239498774787351E-2</v>
      </c>
      <c r="U20" s="1">
        <f t="shared" si="11"/>
        <v>0.6253684486521589</v>
      </c>
      <c r="V20" s="1">
        <f t="shared" si="16"/>
        <v>6.2344560950487873</v>
      </c>
    </row>
    <row r="21" spans="1:23" x14ac:dyDescent="0.4">
      <c r="C21" s="2"/>
      <c r="D21" s="13">
        <f t="shared" si="12"/>
        <v>18</v>
      </c>
      <c r="E21" s="14">
        <v>6.2702865697096621</v>
      </c>
      <c r="F21" s="14">
        <f t="shared" si="13"/>
        <v>0.34073701896494751</v>
      </c>
      <c r="G21" s="14">
        <f t="shared" si="0"/>
        <v>6.8488140811954441</v>
      </c>
      <c r="H21" s="14">
        <f t="shared" si="14"/>
        <v>7.3906363352463114</v>
      </c>
      <c r="I21" s="15">
        <f t="shared" si="17"/>
        <v>0.60903834022023184</v>
      </c>
      <c r="J21" s="22">
        <f t="shared" si="1"/>
        <v>-0.36201547397066669</v>
      </c>
      <c r="K21" s="1">
        <f t="shared" si="2"/>
        <v>5.5382311117468885E-2</v>
      </c>
      <c r="L21" s="1">
        <f t="shared" si="3"/>
        <v>0.94054298545644932</v>
      </c>
      <c r="M21" s="1">
        <f t="shared" si="4"/>
        <v>2.2601086467944969</v>
      </c>
      <c r="N21" s="1">
        <f t="shared" si="5"/>
        <v>0</v>
      </c>
      <c r="O21" s="1">
        <f t="shared" si="6"/>
        <v>3.2006516322509464</v>
      </c>
      <c r="P21" s="1">
        <f t="shared" si="7"/>
        <v>1.849820651819879</v>
      </c>
      <c r="Q21" s="1">
        <f t="shared" si="8"/>
        <v>0.23080622715439494</v>
      </c>
      <c r="R21" s="1">
        <f t="shared" si="9"/>
        <v>7.6212800545638901E-3</v>
      </c>
      <c r="S21" s="1">
        <f t="shared" si="10"/>
        <v>3.2006516322509464</v>
      </c>
      <c r="T21" s="1">
        <f t="shared" si="15"/>
        <v>6.3689657785089213E-2</v>
      </c>
      <c r="U21" s="1">
        <f t="shared" si="11"/>
        <v>0.60903834022023184</v>
      </c>
      <c r="V21" s="1">
        <f t="shared" si="16"/>
        <v>6.2702865697096613</v>
      </c>
    </row>
    <row r="22" spans="1:23" x14ac:dyDescent="0.4">
      <c r="A22" s="1" t="s">
        <v>43</v>
      </c>
      <c r="B22" s="1">
        <f>tau_w*Lbar *Wbar + tau_c * Cbar</f>
        <v>4.1739130434782608</v>
      </c>
      <c r="C22" s="2"/>
      <c r="D22" s="13">
        <f t="shared" si="12"/>
        <v>19</v>
      </c>
      <c r="E22" s="14">
        <v>6.3066406634670296</v>
      </c>
      <c r="F22" s="14">
        <f t="shared" si="13"/>
        <v>0.33926284277755014</v>
      </c>
      <c r="G22" s="14">
        <f t="shared" si="0"/>
        <v>6.8191831398287572</v>
      </c>
      <c r="H22" s="14">
        <f t="shared" si="14"/>
        <v>7.2528081654978385</v>
      </c>
      <c r="I22" s="15">
        <f t="shared" si="17"/>
        <v>0.59312827996187045</v>
      </c>
      <c r="J22" s="22">
        <f t="shared" si="1"/>
        <v>-0.43345362315832592</v>
      </c>
      <c r="K22" s="1">
        <f t="shared" si="2"/>
        <v>5.4904131949476978E-2</v>
      </c>
      <c r="L22" s="1">
        <f t="shared" si="3"/>
        <v>0.94599609952005437</v>
      </c>
      <c r="M22" s="1">
        <f t="shared" si="4"/>
        <v>2.2503304361434902</v>
      </c>
      <c r="N22" s="1">
        <f t="shared" si="5"/>
        <v>0</v>
      </c>
      <c r="O22" s="1">
        <f t="shared" si="6"/>
        <v>3.1963265356635446</v>
      </c>
      <c r="P22" s="1">
        <f t="shared" si="7"/>
        <v>1.7919013280829723</v>
      </c>
      <c r="Q22" s="1">
        <f t="shared" si="8"/>
        <v>0.22323583325163623</v>
      </c>
      <c r="R22" s="1">
        <f t="shared" si="9"/>
        <v>7.2971048551088253E-3</v>
      </c>
      <c r="S22" s="1">
        <f t="shared" si="10"/>
        <v>3.1963265356635446</v>
      </c>
      <c r="T22" s="1">
        <f t="shared" si="15"/>
        <v>6.3139751741898523E-2</v>
      </c>
      <c r="U22" s="1">
        <f t="shared" si="11"/>
        <v>0.59312827996187045</v>
      </c>
      <c r="V22" s="1">
        <f t="shared" si="16"/>
        <v>6.3066406634670296</v>
      </c>
      <c r="W22" s="1" t="s">
        <v>44</v>
      </c>
    </row>
    <row r="23" spans="1:23" x14ac:dyDescent="0.4">
      <c r="C23" s="2"/>
      <c r="D23" s="13">
        <f t="shared" si="12"/>
        <v>20</v>
      </c>
      <c r="E23" s="14">
        <v>6.343393059702592</v>
      </c>
      <c r="F23" s="14">
        <f t="shared" si="13"/>
        <v>0.33778755490508128</v>
      </c>
      <c r="G23" s="14">
        <f t="shared" si="0"/>
        <v>6.7895298535921329</v>
      </c>
      <c r="H23" s="14">
        <f t="shared" si="14"/>
        <v>7.0375483270519048</v>
      </c>
      <c r="I23" s="15">
        <f t="shared" si="17"/>
        <v>0.57761925529954872</v>
      </c>
      <c r="J23" s="22">
        <f t="shared" si="1"/>
        <v>-0.50537216506584759</v>
      </c>
      <c r="K23" s="1">
        <f t="shared" si="2"/>
        <v>5.4427667825080933E-2</v>
      </c>
      <c r="L23" s="1">
        <f t="shared" si="3"/>
        <v>0.95150895895538878</v>
      </c>
      <c r="M23" s="1">
        <f t="shared" si="4"/>
        <v>2.2405448516854038</v>
      </c>
      <c r="N23" s="1">
        <f t="shared" si="5"/>
        <v>0</v>
      </c>
      <c r="O23" s="1">
        <f t="shared" si="6"/>
        <v>3.1920538106407927</v>
      </c>
      <c r="P23" s="1">
        <f t="shared" si="7"/>
        <v>1.7358208045442292</v>
      </c>
      <c r="Q23" s="1">
        <f t="shared" si="8"/>
        <v>0.21591055510446697</v>
      </c>
      <c r="R23" s="1">
        <f t="shared" si="9"/>
        <v>6.9862539006697441E-3</v>
      </c>
      <c r="S23" s="1">
        <f t="shared" si="10"/>
        <v>3.1920538106407927</v>
      </c>
      <c r="T23" s="1">
        <f t="shared" si="15"/>
        <v>6.2591817998843072E-2</v>
      </c>
      <c r="U23" s="1">
        <f t="shared" si="11"/>
        <v>0.57761925529954872</v>
      </c>
      <c r="V23" s="1">
        <f t="shared" si="16"/>
        <v>6.3433930597025903</v>
      </c>
    </row>
    <row r="24" spans="1:23" x14ac:dyDescent="0.4">
      <c r="A24" s="1" t="s">
        <v>45</v>
      </c>
      <c r="B24" s="1">
        <v>3</v>
      </c>
      <c r="C24" s="2"/>
      <c r="D24" s="13">
        <f t="shared" si="12"/>
        <v>21</v>
      </c>
      <c r="E24" s="14">
        <v>6.3803955659660936</v>
      </c>
      <c r="F24" s="14">
        <f t="shared" si="13"/>
        <v>0.33631726178720667</v>
      </c>
      <c r="G24" s="14">
        <f t="shared" si="0"/>
        <v>6.7599769619228534</v>
      </c>
      <c r="H24" s="14">
        <f t="shared" si="14"/>
        <v>6.7415723211958261</v>
      </c>
      <c r="I24" s="15">
        <f t="shared" si="17"/>
        <v>0.56249258790642032</v>
      </c>
      <c r="J24" s="22">
        <f t="shared" si="1"/>
        <v>-0.57747793893815391</v>
      </c>
      <c r="K24" s="1">
        <f t="shared" si="2"/>
        <v>5.3954882714718655E-2</v>
      </c>
      <c r="L24" s="1">
        <f t="shared" si="3"/>
        <v>0.95705933489491402</v>
      </c>
      <c r="M24" s="1">
        <f t="shared" si="4"/>
        <v>2.2307923974345418</v>
      </c>
      <c r="N24" s="1">
        <f t="shared" si="5"/>
        <v>0</v>
      </c>
      <c r="O24" s="1">
        <f t="shared" si="6"/>
        <v>3.187851732329456</v>
      </c>
      <c r="P24" s="1">
        <f t="shared" si="7"/>
        <v>1.6815296659860892</v>
      </c>
      <c r="Q24" s="1">
        <f t="shared" si="8"/>
        <v>0.20882506118079841</v>
      </c>
      <c r="R24" s="1">
        <f t="shared" si="9"/>
        <v>6.6885601990116618E-3</v>
      </c>
      <c r="S24" s="1">
        <f t="shared" si="10"/>
        <v>3.187851732329456</v>
      </c>
      <c r="T24" s="1">
        <f t="shared" si="15"/>
        <v>6.2048115121926449E-2</v>
      </c>
      <c r="U24" s="1">
        <f t="shared" si="11"/>
        <v>0.56249258790642043</v>
      </c>
      <c r="V24" s="1">
        <f t="shared" si="16"/>
        <v>6.3803955659660945</v>
      </c>
      <c r="W24" s="1" t="s">
        <v>46</v>
      </c>
    </row>
    <row r="25" spans="1:23" x14ac:dyDescent="0.4">
      <c r="A25" s="1" t="s">
        <v>47</v>
      </c>
      <c r="B25" s="1">
        <f>-0.5</f>
        <v>-0.5</v>
      </c>
      <c r="C25" s="2"/>
      <c r="D25" s="13">
        <f t="shared" si="12"/>
        <v>22</v>
      </c>
      <c r="E25" s="14">
        <v>6.4174842524097544</v>
      </c>
      <c r="F25" s="14">
        <f t="shared" si="13"/>
        <v>0.33485844266482467</v>
      </c>
      <c r="G25" s="14">
        <f t="shared" si="0"/>
        <v>6.7306546975629749</v>
      </c>
      <c r="H25" s="14">
        <f t="shared" si="14"/>
        <v>6.361783021335417</v>
      </c>
      <c r="I25" s="15">
        <f t="shared" si="17"/>
        <v>0.54773047060794744</v>
      </c>
      <c r="J25" s="22">
        <f t="shared" si="1"/>
        <v>-0.64945219270824239</v>
      </c>
      <c r="K25" s="1">
        <f t="shared" si="2"/>
        <v>5.348782547246312E-2</v>
      </c>
      <c r="L25" s="1">
        <f t="shared" si="3"/>
        <v>0.96262263786146307</v>
      </c>
      <c r="M25" s="1">
        <f t="shared" si="4"/>
        <v>2.2211160501957816</v>
      </c>
      <c r="N25" s="1">
        <f t="shared" si="5"/>
        <v>0</v>
      </c>
      <c r="O25" s="1">
        <f t="shared" si="6"/>
        <v>3.1837386880572449</v>
      </c>
      <c r="P25" s="1">
        <f t="shared" si="7"/>
        <v>1.6289793118263305</v>
      </c>
      <c r="Q25" s="1">
        <f t="shared" si="8"/>
        <v>0.2019741309031047</v>
      </c>
      <c r="R25" s="1">
        <f t="shared" si="9"/>
        <v>6.4038427421459756E-3</v>
      </c>
      <c r="S25" s="1">
        <f t="shared" si="10"/>
        <v>3.1837386880572449</v>
      </c>
      <c r="T25" s="1">
        <f t="shared" si="15"/>
        <v>6.1510999293332584E-2</v>
      </c>
      <c r="U25" s="1">
        <f t="shared" si="11"/>
        <v>0.54773047060794744</v>
      </c>
      <c r="V25" s="1">
        <f t="shared" si="16"/>
        <v>6.4174842524097544</v>
      </c>
    </row>
    <row r="26" spans="1:23" x14ac:dyDescent="0.4">
      <c r="A26" s="1" t="s">
        <v>48</v>
      </c>
      <c r="B26" s="1">
        <v>0</v>
      </c>
      <c r="C26" s="2"/>
      <c r="D26" s="13">
        <f t="shared" si="12"/>
        <v>23</v>
      </c>
      <c r="E26" s="14">
        <v>6.4544885748436913</v>
      </c>
      <c r="F26" s="14">
        <f t="shared" si="13"/>
        <v>0.3334175719884282</v>
      </c>
      <c r="G26" s="14">
        <f t="shared" si="0"/>
        <v>6.7016931969674056</v>
      </c>
      <c r="H26" s="14">
        <f t="shared" si="14"/>
        <v>5.8952856780859957</v>
      </c>
      <c r="I26" s="15">
        <f t="shared" si="17"/>
        <v>0.5333164787599165</v>
      </c>
      <c r="J26" s="22">
        <f t="shared" si="1"/>
        <v>-0.72096866410283855</v>
      </c>
      <c r="K26" s="1">
        <f t="shared" si="2"/>
        <v>5.3028507633452009E-2</v>
      </c>
      <c r="L26" s="1">
        <f t="shared" si="3"/>
        <v>0.96817328622655363</v>
      </c>
      <c r="M26" s="1">
        <f t="shared" si="4"/>
        <v>2.2115587549992441</v>
      </c>
      <c r="N26" s="1">
        <f t="shared" si="5"/>
        <v>0</v>
      </c>
      <c r="O26" s="1">
        <f t="shared" si="6"/>
        <v>3.1797320412257979</v>
      </c>
      <c r="P26" s="1">
        <f t="shared" si="7"/>
        <v>1.5781214079490904</v>
      </c>
      <c r="Q26" s="1">
        <f t="shared" si="8"/>
        <v>0.19535249842620098</v>
      </c>
      <c r="R26" s="1">
        <f t="shared" si="9"/>
        <v>6.1318862111615739E-3</v>
      </c>
      <c r="S26" s="1">
        <f t="shared" si="10"/>
        <v>3.1797320412257979</v>
      </c>
      <c r="T26" s="1">
        <f t="shared" si="15"/>
        <v>6.0982783778469801E-2</v>
      </c>
      <c r="U26" s="1">
        <f t="shared" si="11"/>
        <v>0.5333164787599165</v>
      </c>
      <c r="V26" s="1">
        <f t="shared" si="16"/>
        <v>6.4544885748436913</v>
      </c>
      <c r="W26" s="1" t="s">
        <v>49</v>
      </c>
    </row>
    <row r="27" spans="1:23" x14ac:dyDescent="0.4">
      <c r="C27" s="2"/>
      <c r="D27" s="13">
        <f t="shared" si="12"/>
        <v>24</v>
      </c>
      <c r="E27" s="14">
        <v>6.4912359596461604</v>
      </c>
      <c r="F27" s="14">
        <f t="shared" si="13"/>
        <v>0.3320009410292854</v>
      </c>
      <c r="G27" s="14">
        <f t="shared" si="0"/>
        <v>6.6732189146886363</v>
      </c>
      <c r="H27" s="14">
        <f t="shared" si="14"/>
        <v>5.3393946663049867</v>
      </c>
      <c r="I27" s="15">
        <f t="shared" si="17"/>
        <v>0.51923570489980519</v>
      </c>
      <c r="J27" s="22">
        <f t="shared" si="1"/>
        <v>-0.7917024389044478</v>
      </c>
      <c r="K27" s="1">
        <f t="shared" si="2"/>
        <v>5.2578847853023483E-2</v>
      </c>
      <c r="L27" s="1">
        <f t="shared" si="3"/>
        <v>0.97368539394692399</v>
      </c>
      <c r="M27" s="1">
        <f t="shared" si="4"/>
        <v>2.2021622418472502</v>
      </c>
      <c r="N27" s="1">
        <f t="shared" si="5"/>
        <v>0</v>
      </c>
      <c r="O27" s="1">
        <f t="shared" si="6"/>
        <v>3.1758476357941743</v>
      </c>
      <c r="P27" s="1">
        <f t="shared" si="7"/>
        <v>1.5289077460389466</v>
      </c>
      <c r="Q27" s="1">
        <f t="shared" si="8"/>
        <v>0.18895479805875801</v>
      </c>
      <c r="R27" s="1">
        <f t="shared" si="9"/>
        <v>5.8724362613923079E-3</v>
      </c>
      <c r="S27" s="1">
        <f t="shared" si="10"/>
        <v>3.1758476357941743</v>
      </c>
      <c r="T27" s="1">
        <f t="shared" si="15"/>
        <v>6.0465675030977002E-2</v>
      </c>
      <c r="U27" s="1">
        <f t="shared" si="11"/>
        <v>0.51923570489980519</v>
      </c>
      <c r="V27" s="1">
        <f t="shared" si="16"/>
        <v>6.4912359596461604</v>
      </c>
      <c r="W27" s="1" t="s">
        <v>50</v>
      </c>
    </row>
    <row r="28" spans="1:23" x14ac:dyDescent="0.4">
      <c r="A28" s="1" t="s">
        <v>43</v>
      </c>
      <c r="B28" s="1">
        <f>tau_w * Wbar * Lbar + tau_c * Cbar</f>
        <v>4.1739130434782608</v>
      </c>
      <c r="C28" s="2"/>
      <c r="D28" s="13">
        <f t="shared" si="12"/>
        <v>25</v>
      </c>
      <c r="E28" s="14">
        <v>6.527558712596055</v>
      </c>
      <c r="F28" s="14">
        <f t="shared" si="13"/>
        <v>0.33061440478870024</v>
      </c>
      <c r="G28" s="14">
        <f t="shared" si="0"/>
        <v>6.6453495362528745</v>
      </c>
      <c r="H28" s="14">
        <f t="shared" si="14"/>
        <v>4.6916274697245983</v>
      </c>
      <c r="I28" s="15">
        <f t="shared" si="17"/>
        <v>0.50547494994877351</v>
      </c>
      <c r="J28" s="22">
        <f t="shared" si="1"/>
        <v>-0.86134298323258829</v>
      </c>
      <c r="K28" s="1">
        <f t="shared" si="2"/>
        <v>5.214059459733475E-2</v>
      </c>
      <c r="L28" s="1">
        <f t="shared" si="3"/>
        <v>0.97913380688940821</v>
      </c>
      <c r="M28" s="1">
        <f t="shared" si="4"/>
        <v>2.1929653469634487</v>
      </c>
      <c r="N28" s="1">
        <f t="shared" si="5"/>
        <v>0</v>
      </c>
      <c r="O28" s="1">
        <f t="shared" si="6"/>
        <v>3.1720991538528569</v>
      </c>
      <c r="P28" s="1">
        <f t="shared" si="7"/>
        <v>1.48129006740808</v>
      </c>
      <c r="Q28" s="1">
        <f t="shared" si="8"/>
        <v>0.18277549268590226</v>
      </c>
      <c r="R28" s="1">
        <f t="shared" si="9"/>
        <v>5.6251928644948561E-3</v>
      </c>
      <c r="S28" s="1">
        <f t="shared" si="10"/>
        <v>3.1720991538528569</v>
      </c>
      <c r="T28" s="1">
        <f t="shared" si="15"/>
        <v>5.9961683786934956E-2</v>
      </c>
      <c r="U28" s="1">
        <f t="shared" si="11"/>
        <v>0.50547494994877351</v>
      </c>
      <c r="V28" s="1">
        <f t="shared" si="16"/>
        <v>6.527558712596055</v>
      </c>
      <c r="W28" s="1" t="s">
        <v>51</v>
      </c>
    </row>
    <row r="29" spans="1:23" x14ac:dyDescent="0.4">
      <c r="C29" s="2"/>
      <c r="D29" s="13">
        <f t="shared" si="12"/>
        <v>26</v>
      </c>
      <c r="E29" s="14">
        <v>6.563297958529005</v>
      </c>
      <c r="F29" s="14">
        <f t="shared" si="13"/>
        <v>0.32926325816540686</v>
      </c>
      <c r="G29" s="14">
        <f t="shared" si="0"/>
        <v>6.6181914891246771</v>
      </c>
      <c r="H29" s="14">
        <f t="shared" si="14"/>
        <v>3.9496914053299053</v>
      </c>
      <c r="I29" s="15">
        <f t="shared" si="17"/>
        <v>0.4920226961957368</v>
      </c>
      <c r="J29" s="22">
        <f t="shared" si="1"/>
        <v>-0.92960116318367803</v>
      </c>
      <c r="K29" s="1">
        <f t="shared" si="2"/>
        <v>5.1715291697602077E-2</v>
      </c>
      <c r="L29" s="1">
        <f t="shared" si="3"/>
        <v>0.98449469377935073</v>
      </c>
      <c r="M29" s="1">
        <f t="shared" si="4"/>
        <v>2.1840031914111435</v>
      </c>
      <c r="N29" s="1">
        <f t="shared" si="5"/>
        <v>0</v>
      </c>
      <c r="O29" s="1">
        <f t="shared" si="6"/>
        <v>3.1684978851904941</v>
      </c>
      <c r="P29" s="1">
        <f t="shared" si="7"/>
        <v>1.4352201150548536</v>
      </c>
      <c r="Q29" s="1">
        <f t="shared" si="8"/>
        <v>0.17680886268862631</v>
      </c>
      <c r="R29" s="1">
        <f t="shared" si="9"/>
        <v>5.3898124130015816E-3</v>
      </c>
      <c r="S29" s="1">
        <f t="shared" si="10"/>
        <v>3.1684978851904941</v>
      </c>
      <c r="T29" s="1">
        <f t="shared" si="15"/>
        <v>5.9472585452242384E-2</v>
      </c>
      <c r="U29" s="1">
        <f t="shared" si="11"/>
        <v>0.4920226961957368</v>
      </c>
      <c r="V29" s="1">
        <f t="shared" si="16"/>
        <v>6.5632979585290041</v>
      </c>
    </row>
    <row r="30" spans="1:23" x14ac:dyDescent="0.4">
      <c r="A30" s="1" t="s">
        <v>52</v>
      </c>
      <c r="B30" s="1">
        <f>V3</f>
        <v>5.8260869565217401</v>
      </c>
      <c r="C30" s="2"/>
      <c r="D30" s="13">
        <f t="shared" si="12"/>
        <v>27</v>
      </c>
      <c r="E30" s="14">
        <v>6.5983048178018642</v>
      </c>
      <c r="F30" s="14">
        <f t="shared" si="13"/>
        <v>0.32795222443124494</v>
      </c>
      <c r="G30" s="14">
        <f t="shared" si="0"/>
        <v>6.5918397110680225</v>
      </c>
      <c r="H30" s="14">
        <f t="shared" si="14"/>
        <v>3.1114682321389813</v>
      </c>
      <c r="I30" s="15">
        <f t="shared" si="17"/>
        <v>0.4788689277309725</v>
      </c>
      <c r="J30" s="22">
        <f t="shared" si="1"/>
        <v>-0.99621082940412098</v>
      </c>
      <c r="K30" s="1">
        <f t="shared" si="2"/>
        <v>5.130428008874649E-2</v>
      </c>
      <c r="L30" s="1">
        <f t="shared" si="3"/>
        <v>0.9897457226702796</v>
      </c>
      <c r="M30" s="1">
        <f t="shared" si="4"/>
        <v>2.1753071046524477</v>
      </c>
      <c r="N30" s="1">
        <f t="shared" si="5"/>
        <v>0</v>
      </c>
      <c r="O30" s="1">
        <f t="shared" si="6"/>
        <v>3.1650528273227274</v>
      </c>
      <c r="P30" s="1">
        <f t="shared" si="7"/>
        <v>1.3906498341343723</v>
      </c>
      <c r="Q30" s="1">
        <f t="shared" si="8"/>
        <v>0.17104903876058739</v>
      </c>
      <c r="R30" s="1">
        <f t="shared" si="9"/>
        <v>5.1659156826138518E-3</v>
      </c>
      <c r="S30" s="1">
        <f t="shared" si="10"/>
        <v>3.1650528273227274</v>
      </c>
      <c r="T30" s="1">
        <f t="shared" si="15"/>
        <v>5.8999922102058462E-2</v>
      </c>
      <c r="U30" s="1">
        <f t="shared" si="11"/>
        <v>0.4788689277309725</v>
      </c>
      <c r="V30" s="1">
        <f t="shared" si="16"/>
        <v>6.5983048178018642</v>
      </c>
      <c r="W30" s="1" t="s">
        <v>53</v>
      </c>
    </row>
    <row r="31" spans="1:23" x14ac:dyDescent="0.4">
      <c r="C31" s="2"/>
      <c r="D31" s="13">
        <f t="shared" si="12"/>
        <v>28</v>
      </c>
      <c r="E31" s="14">
        <v>6.6324450421418151</v>
      </c>
      <c r="F31" s="14">
        <f t="shared" si="13"/>
        <v>0.32668531810498314</v>
      </c>
      <c r="G31" s="14">
        <f t="shared" si="0"/>
        <v>6.5663748939101607</v>
      </c>
      <c r="H31" s="14">
        <f t="shared" si="14"/>
        <v>2.1749900568716143</v>
      </c>
      <c r="I31" s="15">
        <f t="shared" si="17"/>
        <v>0.46600511427731089</v>
      </c>
      <c r="J31" s="22">
        <f t="shared" si="1"/>
        <v>-1.0609369045529258</v>
      </c>
      <c r="K31" s="1">
        <f t="shared" si="2"/>
        <v>5.0908660444044823E-2</v>
      </c>
      <c r="L31" s="1">
        <f t="shared" si="3"/>
        <v>0.99486675632127219</v>
      </c>
      <c r="M31" s="1">
        <f t="shared" si="4"/>
        <v>2.1669037149903532</v>
      </c>
      <c r="N31" s="1">
        <f t="shared" si="5"/>
        <v>0</v>
      </c>
      <c r="O31" s="1">
        <f t="shared" si="6"/>
        <v>3.1617704713116255</v>
      </c>
      <c r="P31" s="1">
        <f t="shared" si="7"/>
        <v>1.3475314147167528</v>
      </c>
      <c r="Q31" s="1">
        <f t="shared" si="8"/>
        <v>0.16548998989755448</v>
      </c>
      <c r="R31" s="1">
        <f t="shared" si="9"/>
        <v>4.9530892687662748E-3</v>
      </c>
      <c r="S31" s="1">
        <f t="shared" si="10"/>
        <v>3.1617704713116255</v>
      </c>
      <c r="T31" s="1">
        <f t="shared" si="15"/>
        <v>5.8544959510651542E-2</v>
      </c>
      <c r="U31" s="1">
        <f t="shared" si="11"/>
        <v>0.46600511427731089</v>
      </c>
      <c r="V31" s="1">
        <f t="shared" si="16"/>
        <v>6.6324450421418151</v>
      </c>
    </row>
    <row r="32" spans="1:23" x14ac:dyDescent="0.4">
      <c r="A32" s="1" t="s">
        <v>54</v>
      </c>
      <c r="B32" s="1">
        <f t="array" ref="B32">(1-omega) * Cbar^(1-rho)*Ctilde^(1-rho-Sigma)</f>
        <v>14.062594163771566</v>
      </c>
      <c r="D32" s="13">
        <f t="shared" si="12"/>
        <v>29</v>
      </c>
      <c r="E32" s="14">
        <v>6.665599391958521</v>
      </c>
      <c r="F32" s="14">
        <f t="shared" si="13"/>
        <v>0.32546587179520986</v>
      </c>
      <c r="G32" s="14">
        <f t="shared" si="0"/>
        <v>6.5418640230837175</v>
      </c>
      <c r="H32" s="14">
        <f t="shared" si="14"/>
        <v>1.1384143814778973</v>
      </c>
      <c r="I32" s="15">
        <f t="shared" si="17"/>
        <v>0.45342399209723888</v>
      </c>
      <c r="J32" s="22">
        <f t="shared" si="1"/>
        <v>-1.1235752776685812</v>
      </c>
      <c r="K32" s="1">
        <f t="shared" si="2"/>
        <v>5.0529307542009752E-2</v>
      </c>
      <c r="L32" s="1">
        <f t="shared" si="3"/>
        <v>0.99983990879377815</v>
      </c>
      <c r="M32" s="1">
        <f t="shared" si="4"/>
        <v>2.1588151276176268</v>
      </c>
      <c r="N32" s="1">
        <f t="shared" si="5"/>
        <v>0</v>
      </c>
      <c r="O32" s="1">
        <f t="shared" si="6"/>
        <v>3.158655036411405</v>
      </c>
      <c r="P32" s="1">
        <f t="shared" si="7"/>
        <v>1.305817522361256</v>
      </c>
      <c r="Q32" s="1">
        <f t="shared" si="8"/>
        <v>0.16012557025046992</v>
      </c>
      <c r="R32" s="1">
        <f t="shared" si="9"/>
        <v>4.7508947042545378E-3</v>
      </c>
      <c r="S32" s="1">
        <f t="shared" si="10"/>
        <v>3.158655036411405</v>
      </c>
      <c r="T32" s="1">
        <f t="shared" si="15"/>
        <v>5.810870367331121E-2</v>
      </c>
      <c r="U32" s="1">
        <f t="shared" si="11"/>
        <v>0.45342399209723888</v>
      </c>
      <c r="V32" s="1">
        <f t="shared" si="16"/>
        <v>6.6655993919585219</v>
      </c>
    </row>
    <row r="33" spans="1:22" x14ac:dyDescent="0.4">
      <c r="D33" s="13">
        <f t="shared" si="12"/>
        <v>30</v>
      </c>
      <c r="E33" s="14">
        <v>6.6976630647991406</v>
      </c>
      <c r="F33" s="14">
        <f t="shared" si="13"/>
        <v>0.32429659583741849</v>
      </c>
      <c r="G33" s="14">
        <f t="shared" si="0"/>
        <v>6.5183615763321106</v>
      </c>
      <c r="H33" s="14">
        <f t="shared" si="14"/>
        <v>8.5501126179110543E-9</v>
      </c>
      <c r="I33" s="15">
        <f t="shared" si="17"/>
        <v>0.44111933272515641</v>
      </c>
      <c r="J33" s="22">
        <f t="shared" si="1"/>
        <v>-1.1839509481869008</v>
      </c>
      <c r="K33" s="1">
        <f t="shared" si="2"/>
        <v>5.0166894283588573E-2</v>
      </c>
      <c r="L33" s="1">
        <f t="shared" si="3"/>
        <v>1.004649459719871</v>
      </c>
      <c r="M33" s="1">
        <f t="shared" si="4"/>
        <v>2.1510593201895967</v>
      </c>
      <c r="N33" s="1">
        <f t="shared" si="5"/>
        <v>0</v>
      </c>
      <c r="O33" s="1">
        <f t="shared" si="6"/>
        <v>3.1557087799094674</v>
      </c>
      <c r="P33" s="1">
        <f t="shared" si="7"/>
        <v>1.2654615270074001</v>
      </c>
      <c r="Q33" s="1">
        <f t="shared" si="8"/>
        <v>0.15494957165367731</v>
      </c>
      <c r="R33" s="1">
        <f t="shared" si="9"/>
        <v>4.5588777133213545E-3</v>
      </c>
      <c r="S33" s="1">
        <f t="shared" si="10"/>
        <v>3.1557087799094674</v>
      </c>
      <c r="T33" s="1">
        <f t="shared" si="15"/>
        <v>5.7691928426126853E-2</v>
      </c>
      <c r="U33" s="1">
        <f t="shared" si="11"/>
        <v>0.44111933272515641</v>
      </c>
      <c r="V33" s="1">
        <f t="shared" si="16"/>
        <v>6.6976630647991398</v>
      </c>
    </row>
    <row r="34" spans="1:22" ht="14.25" customHeight="1" thickBot="1" x14ac:dyDescent="0.45">
      <c r="D34" s="19" t="s">
        <v>55</v>
      </c>
      <c r="E34" s="14">
        <f>Cbar</f>
        <v>5.8260869565217392</v>
      </c>
      <c r="F34" s="20"/>
      <c r="G34" s="20" t="s">
        <v>13</v>
      </c>
      <c r="H34" s="20" t="s">
        <v>13</v>
      </c>
      <c r="I34" s="21">
        <f>SUM(I3:I33)</f>
        <v>20.748135166706817</v>
      </c>
      <c r="S34" s="1">
        <f t="shared" si="10"/>
        <v>0</v>
      </c>
      <c r="U34" s="1">
        <f>SUM(U3:U33)</f>
        <v>21.0430478683692</v>
      </c>
    </row>
    <row r="35" spans="1:22" x14ac:dyDescent="0.4">
      <c r="Q35" s="1">
        <f>SUM(Q3:Q33)</f>
        <v>8.25305347849614</v>
      </c>
      <c r="R35" s="1">
        <f>SUM(R3:R33)</f>
        <v>0.28479509886778598</v>
      </c>
      <c r="S35" s="1">
        <f t="shared" si="10"/>
        <v>0</v>
      </c>
    </row>
    <row r="36" spans="1:22" x14ac:dyDescent="0.4">
      <c r="B36" s="1" t="s">
        <v>15</v>
      </c>
      <c r="E36" s="1">
        <f>STDEV(E3:E33)</f>
        <v>0.30667037474124925</v>
      </c>
      <c r="F36" s="1">
        <f>STDEV(F3:F33)</f>
        <v>1.2658485409247452E-2</v>
      </c>
      <c r="G36" s="1">
        <f>STDEV(G3:G33)</f>
        <v>0.25443555672587381</v>
      </c>
      <c r="H36" s="5">
        <f>AVERAGE(H3:H33)</f>
        <v>4.7786107677240706</v>
      </c>
      <c r="I36" s="5">
        <f>I34</f>
        <v>20.748135166706817</v>
      </c>
      <c r="J36" s="1">
        <f>SUM(P3:P33)</f>
        <v>65.519636970435144</v>
      </c>
      <c r="K36" s="1" t="s">
        <v>6</v>
      </c>
      <c r="L36" s="1" t="s">
        <v>7</v>
      </c>
      <c r="Q36" s="1" t="s">
        <v>56</v>
      </c>
      <c r="R36" s="1" t="s">
        <v>57</v>
      </c>
      <c r="S36" s="1">
        <f t="shared" si="10"/>
        <v>0</v>
      </c>
    </row>
    <row r="37" spans="1:22" ht="14.25" customHeight="1" thickBot="1" x14ac:dyDescent="0.45">
      <c r="D37" s="1" t="s">
        <v>13</v>
      </c>
      <c r="S37" s="1">
        <f t="shared" si="10"/>
        <v>0</v>
      </c>
    </row>
    <row r="38" spans="1:22" x14ac:dyDescent="0.4">
      <c r="D38" s="1" t="s">
        <v>13</v>
      </c>
      <c r="E38" s="17" t="s">
        <v>15</v>
      </c>
      <c r="F38" s="17" t="s">
        <v>16</v>
      </c>
      <c r="G38" s="17" t="s">
        <v>17</v>
      </c>
      <c r="H38" s="17" t="s">
        <v>58</v>
      </c>
      <c r="I38" s="1" t="s">
        <v>59</v>
      </c>
      <c r="J38" s="1" t="s">
        <v>60</v>
      </c>
      <c r="Q38" s="1">
        <v>6.4324401175432442</v>
      </c>
      <c r="R38" s="1">
        <v>0.251125291295834</v>
      </c>
      <c r="S38" s="1">
        <f t="shared" si="10"/>
        <v>0</v>
      </c>
    </row>
    <row r="39" spans="1:22" x14ac:dyDescent="0.4">
      <c r="B39" s="1" t="s">
        <v>106</v>
      </c>
      <c r="E39" s="1">
        <v>0.37881363495732223</v>
      </c>
      <c r="F39" s="1">
        <v>1.2659352987632617E-2</v>
      </c>
      <c r="G39" s="1">
        <v>0.29243105401431341</v>
      </c>
      <c r="H39" s="5">
        <v>5.4922359124615605</v>
      </c>
      <c r="I39" s="5">
        <v>22.617616439970707</v>
      </c>
      <c r="J39" s="1">
        <v>0</v>
      </c>
      <c r="K39" s="1">
        <v>7.4259092599344827</v>
      </c>
      <c r="L39" s="1">
        <v>0.28479522738760804</v>
      </c>
      <c r="S39" s="1">
        <f t="shared" si="10"/>
        <v>0</v>
      </c>
    </row>
    <row r="40" spans="1:22" x14ac:dyDescent="0.4">
      <c r="A40" s="1" t="s">
        <v>62</v>
      </c>
      <c r="B40" s="1" t="s">
        <v>107</v>
      </c>
      <c r="E40" s="1">
        <v>0.2610429875543499</v>
      </c>
      <c r="F40" s="1">
        <v>1.2659604661227494E-2</v>
      </c>
      <c r="G40" s="1">
        <v>0.22787288390209492</v>
      </c>
      <c r="H40" s="1">
        <v>4.2796624598943671</v>
      </c>
      <c r="I40" s="1">
        <v>19.160514755951127</v>
      </c>
      <c r="S40" s="1">
        <f t="shared" si="10"/>
        <v>0</v>
      </c>
    </row>
    <row r="41" spans="1:22" x14ac:dyDescent="0.4">
      <c r="B41" s="1" t="s">
        <v>108</v>
      </c>
      <c r="E41" s="1">
        <v>0.30667037474124925</v>
      </c>
      <c r="F41" s="1">
        <v>1.2658485409247452E-2</v>
      </c>
      <c r="G41" s="1">
        <v>0.25443555672587381</v>
      </c>
      <c r="H41" s="1">
        <v>4.7786107677240706</v>
      </c>
      <c r="I41" s="1">
        <v>20.748135166706817</v>
      </c>
      <c r="S41" s="1">
        <f t="shared" si="10"/>
        <v>0</v>
      </c>
    </row>
    <row r="42" spans="1:22" x14ac:dyDescent="0.4">
      <c r="B42" s="1" t="s">
        <v>64</v>
      </c>
      <c r="E42" s="1">
        <v>0.47648659192058956</v>
      </c>
      <c r="F42" s="1">
        <v>1.2663803410347851E-2</v>
      </c>
      <c r="G42" s="1">
        <v>0.36091839719491403</v>
      </c>
      <c r="H42" s="1">
        <v>6.7784613503193061</v>
      </c>
      <c r="I42" s="1">
        <v>24.394225546389464</v>
      </c>
      <c r="K42" s="1">
        <v>8.25305347849614</v>
      </c>
      <c r="L42" s="1">
        <v>0.28479509886778598</v>
      </c>
      <c r="Q42" s="1">
        <v>7.1113279298351033</v>
      </c>
      <c r="R42" s="1">
        <v>0.25112567046050438</v>
      </c>
      <c r="S42" s="1">
        <f t="shared" si="10"/>
        <v>0</v>
      </c>
    </row>
    <row r="43" spans="1:22" x14ac:dyDescent="0.4">
      <c r="O43" s="1">
        <v>35.035900529128931</v>
      </c>
      <c r="S43" s="1">
        <f t="shared" si="10"/>
        <v>35.035900529128931</v>
      </c>
    </row>
    <row r="44" spans="1:22" x14ac:dyDescent="0.4">
      <c r="B44" s="1" t="s">
        <v>61</v>
      </c>
      <c r="S44" s="1">
        <f t="shared" si="10"/>
        <v>0</v>
      </c>
    </row>
    <row r="45" spans="1:22" x14ac:dyDescent="0.4">
      <c r="A45" s="1" t="s">
        <v>65</v>
      </c>
      <c r="B45" s="1" t="s">
        <v>63</v>
      </c>
      <c r="S45" s="1">
        <f t="shared" si="10"/>
        <v>0</v>
      </c>
    </row>
    <row r="46" spans="1:22" x14ac:dyDescent="0.4">
      <c r="B46" s="1" t="s">
        <v>15</v>
      </c>
      <c r="S46" s="1">
        <f t="shared" si="10"/>
        <v>0</v>
      </c>
    </row>
    <row r="48" spans="1:22" x14ac:dyDescent="0.4">
      <c r="J48" s="1" t="s">
        <v>66</v>
      </c>
      <c r="L48" s="1">
        <f>(((A_0-(1-Sigma)*Gamma*(B_0-B_1))/A_1)^(1/(1-Sigma))-1)</f>
        <v>0.23517916751843604</v>
      </c>
    </row>
  </sheetData>
  <pageMargins left="0.74791666666666667" right="0.74791666666666667" top="0.98402777777777783" bottom="0.98402777777777783" header="0.51180555555555562" footer="0.51180555555555562"/>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3984375" defaultRowHeight="12.75" x14ac:dyDescent="0.35"/>
  <sheetData/>
  <pageMargins left="0.74791666666666667" right="0.74791666666666667" top="0.98402777777777783" bottom="0.98402777777777783" header="0.51180555555555562" footer="0.51180555555555562"/>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3984375" defaultRowHeight="12.75" x14ac:dyDescent="0.35"/>
  <sheetData/>
  <pageMargins left="0.74791666666666667" right="0.74791666666666667" top="0.98402777777777783" bottom="0.98402777777777783" header="0.51180555555555562" footer="0.51180555555555562"/>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6"/>
  <sheetViews>
    <sheetView workbookViewId="0">
      <pane ySplit="5" topLeftCell="A6" activePane="bottomLeft" state="frozen"/>
      <selection pane="bottomLeft" sqref="A1:G1"/>
    </sheetView>
  </sheetViews>
  <sheetFormatPr defaultRowHeight="12.75" x14ac:dyDescent="0.35"/>
  <cols>
    <col min="1" max="1" width="30" customWidth="1"/>
    <col min="2" max="7" width="16" customWidth="1"/>
  </cols>
  <sheetData>
    <row r="1" spans="1:7" ht="13.5" x14ac:dyDescent="0.35">
      <c r="A1" s="35" t="s">
        <v>67</v>
      </c>
      <c r="B1" s="38"/>
      <c r="C1" s="38"/>
      <c r="D1" s="38"/>
      <c r="E1" s="38"/>
      <c r="F1" s="38"/>
      <c r="G1" s="38"/>
    </row>
    <row r="2" spans="1:7" ht="22.05" customHeight="1" x14ac:dyDescent="0.35">
      <c r="A2" s="39" t="s">
        <v>68</v>
      </c>
      <c r="B2" s="38"/>
      <c r="C2" s="38"/>
      <c r="D2" s="38"/>
      <c r="E2" s="38"/>
      <c r="F2" s="38"/>
      <c r="G2" s="38"/>
    </row>
    <row r="3" spans="1:7" x14ac:dyDescent="0.35">
      <c r="A3" s="38"/>
      <c r="B3" s="38"/>
      <c r="C3" s="38"/>
      <c r="D3" s="38"/>
      <c r="E3" s="38"/>
      <c r="F3" s="38"/>
      <c r="G3" s="38"/>
    </row>
    <row r="4" spans="1:7" x14ac:dyDescent="0.35">
      <c r="A4" s="38"/>
      <c r="B4" s="38"/>
      <c r="C4" s="38"/>
      <c r="D4" s="38"/>
      <c r="E4" s="38"/>
      <c r="F4" s="38"/>
      <c r="G4" s="38"/>
    </row>
    <row r="6" spans="1:7" ht="13.5" x14ac:dyDescent="0.35">
      <c r="A6" s="35" t="s">
        <v>69</v>
      </c>
      <c r="B6" s="36"/>
      <c r="C6" s="36"/>
      <c r="E6" s="35" t="s">
        <v>70</v>
      </c>
      <c r="F6" s="36"/>
      <c r="G6" s="36"/>
    </row>
    <row r="7" spans="1:7" ht="22.05" customHeight="1" x14ac:dyDescent="0.4">
      <c r="A7" s="23" t="s">
        <v>71</v>
      </c>
      <c r="B7" s="24">
        <f>Cbar</f>
        <v>5.8260869565217392</v>
      </c>
      <c r="E7" s="37" t="s">
        <v>72</v>
      </c>
      <c r="F7" s="38"/>
      <c r="G7" s="38"/>
    </row>
    <row r="8" spans="1:7" ht="22.05" customHeight="1" x14ac:dyDescent="0.4">
      <c r="A8" s="23" t="s">
        <v>73</v>
      </c>
      <c r="B8" s="24">
        <f>Lbar</f>
        <v>0.33333333333333331</v>
      </c>
      <c r="E8" s="37" t="s">
        <v>74</v>
      </c>
      <c r="F8" s="38"/>
      <c r="G8" s="38"/>
    </row>
    <row r="9" spans="1:7" ht="22.05" customHeight="1" x14ac:dyDescent="0.4">
      <c r="A9" s="23" t="s">
        <v>75</v>
      </c>
      <c r="B9" s="24">
        <f>Wbar</f>
        <v>30</v>
      </c>
      <c r="E9" s="37" t="s">
        <v>76</v>
      </c>
      <c r="F9" s="38"/>
      <c r="G9" s="38"/>
    </row>
    <row r="10" spans="1:7" ht="13.9" x14ac:dyDescent="0.4">
      <c r="A10" s="23" t="s">
        <v>77</v>
      </c>
      <c r="B10" s="25">
        <f>tau_w</f>
        <v>0.33</v>
      </c>
      <c r="E10" s="37" t="s">
        <v>78</v>
      </c>
      <c r="F10" s="38"/>
      <c r="G10" s="38"/>
    </row>
    <row r="11" spans="1:7" ht="13.9" x14ac:dyDescent="0.4">
      <c r="A11" s="23" t="s">
        <v>79</v>
      </c>
      <c r="B11" s="25">
        <f>tau_c</f>
        <v>0.15</v>
      </c>
      <c r="E11" s="37" t="s">
        <v>80</v>
      </c>
      <c r="F11" s="38"/>
      <c r="G11" s="38"/>
    </row>
    <row r="12" spans="1:7" ht="13.9" x14ac:dyDescent="0.4">
      <c r="A12" s="23" t="s">
        <v>81</v>
      </c>
      <c r="B12" s="26">
        <f>tau_w*Wbar*Lbar + tau_c*Cbar</f>
        <v>4.1739130434782608</v>
      </c>
      <c r="E12" s="37" t="s">
        <v>82</v>
      </c>
      <c r="F12" s="38"/>
      <c r="G12" s="38"/>
    </row>
    <row r="14" spans="1:7" ht="13.5" x14ac:dyDescent="0.35">
      <c r="A14" s="35" t="s">
        <v>83</v>
      </c>
      <c r="B14" s="36"/>
      <c r="C14" s="36"/>
      <c r="D14" s="36"/>
    </row>
    <row r="15" spans="1:7" ht="22.05" customHeight="1" x14ac:dyDescent="0.4">
      <c r="A15" s="27" t="s">
        <v>84</v>
      </c>
      <c r="B15" s="28">
        <f>tau_w</f>
        <v>0.33</v>
      </c>
      <c r="C15" s="29" t="s">
        <v>85</v>
      </c>
      <c r="E15" s="35" t="s">
        <v>86</v>
      </c>
      <c r="F15" s="36"/>
      <c r="G15" s="36"/>
    </row>
    <row r="16" spans="1:7" ht="22.05" customHeight="1" x14ac:dyDescent="0.4">
      <c r="A16" s="27" t="s">
        <v>87</v>
      </c>
      <c r="B16" s="30">
        <f>(B$12-B15*$B$9*$B$8)/$B$7</f>
        <v>0.15</v>
      </c>
      <c r="C16" s="29" t="s">
        <v>88</v>
      </c>
      <c r="E16" s="37" t="s">
        <v>89</v>
      </c>
      <c r="F16" s="38"/>
      <c r="G16" s="38"/>
    </row>
    <row r="17" spans="1:7" ht="22.05" customHeight="1" x14ac:dyDescent="0.4">
      <c r="A17" s="27" t="s">
        <v>90</v>
      </c>
      <c r="B17" s="31">
        <f>B16*$B$7+B15*$B$9*$B$8</f>
        <v>4.1739130434782608</v>
      </c>
      <c r="E17" s="37" t="s">
        <v>91</v>
      </c>
      <c r="F17" s="38"/>
      <c r="G17" s="38"/>
    </row>
    <row r="18" spans="1:7" ht="22.05" customHeight="1" x14ac:dyDescent="0.4">
      <c r="A18" s="27" t="s">
        <v>92</v>
      </c>
      <c r="B18" s="32">
        <f>B17-B$12</f>
        <v>0</v>
      </c>
      <c r="E18" s="37" t="s">
        <v>93</v>
      </c>
      <c r="F18" s="38"/>
      <c r="G18" s="38"/>
    </row>
    <row r="19" spans="1:7" ht="22.05" customHeight="1" x14ac:dyDescent="0.4">
      <c r="A19" s="27" t="s">
        <v>94</v>
      </c>
      <c r="B19" s="33" t="str">
        <f>IF(B16&lt;0,"NEGATIVE IMPLIED TAU_C",IF(ABS(B18)&lt;0.0000000001,"OK","CHECK"))</f>
        <v>OK</v>
      </c>
      <c r="E19" s="37" t="s">
        <v>95</v>
      </c>
      <c r="F19" s="38"/>
      <c r="G19" s="38"/>
    </row>
    <row r="22" spans="1:7" ht="22.05" customHeight="1" x14ac:dyDescent="0.35">
      <c r="A22" s="35" t="s">
        <v>96</v>
      </c>
      <c r="B22" s="36"/>
      <c r="C22" s="36"/>
      <c r="D22" s="36"/>
      <c r="E22" s="35" t="s">
        <v>97</v>
      </c>
      <c r="F22" s="36"/>
      <c r="G22" s="36"/>
    </row>
    <row r="23" spans="1:7" ht="22.05" customHeight="1" x14ac:dyDescent="0.4">
      <c r="A23" s="27" t="s">
        <v>98</v>
      </c>
      <c r="B23" s="28">
        <f>tau_c</f>
        <v>0.15</v>
      </c>
      <c r="C23" s="29" t="s">
        <v>88</v>
      </c>
      <c r="E23" s="27" t="s">
        <v>99</v>
      </c>
      <c r="F23" s="34">
        <f>B12/(B9*B8)</f>
        <v>0.41739130434782606</v>
      </c>
    </row>
    <row r="24" spans="1:7" ht="22.05" customHeight="1" x14ac:dyDescent="0.4">
      <c r="A24" s="27" t="s">
        <v>100</v>
      </c>
      <c r="B24" s="30">
        <f>(B$12-B23*$B$7)/($B$9*$B$8)</f>
        <v>0.32999999999999996</v>
      </c>
      <c r="C24" s="29" t="s">
        <v>85</v>
      </c>
      <c r="E24" s="27" t="s">
        <v>101</v>
      </c>
      <c r="F24" s="34">
        <f>B12/B7</f>
        <v>0.71641791044776115</v>
      </c>
    </row>
    <row r="25" spans="1:7" ht="22.05" customHeight="1" x14ac:dyDescent="0.4">
      <c r="A25" s="27" t="s">
        <v>90</v>
      </c>
      <c r="B25" s="31">
        <f>B23*$B$7+B24*$B$9*$B$8</f>
        <v>4.1739130434782599</v>
      </c>
      <c r="E25" s="27" t="s">
        <v>102</v>
      </c>
      <c r="F25" s="34">
        <f>0.5*B12/(B9*B8)</f>
        <v>0.20869565217391303</v>
      </c>
    </row>
    <row r="26" spans="1:7" ht="22.05" customHeight="1" x14ac:dyDescent="0.4">
      <c r="A26" s="27" t="s">
        <v>92</v>
      </c>
      <c r="B26" s="32">
        <f>B25-B$12</f>
        <v>0</v>
      </c>
      <c r="E26" s="27" t="s">
        <v>103</v>
      </c>
      <c r="F26" s="34">
        <f>0.5*B12/B7</f>
        <v>0.35820895522388058</v>
      </c>
    </row>
    <row r="27" spans="1:7" ht="22.05" customHeight="1" x14ac:dyDescent="0.4">
      <c r="A27" s="27" t="s">
        <v>94</v>
      </c>
      <c r="B27" s="33" t="str">
        <f>IF(B24&lt;0,"NEGATIVE IMPLIED TAU_W",IF(ABS(B26)&lt;0.0000000001,"OK","CHECK"))</f>
        <v>OK</v>
      </c>
    </row>
    <row r="30" spans="1:7" ht="22.05" customHeight="1" x14ac:dyDescent="0.35">
      <c r="A30" s="35" t="s">
        <v>104</v>
      </c>
      <c r="B30" s="36"/>
      <c r="C30" s="36"/>
      <c r="D30" s="36"/>
    </row>
    <row r="31" spans="1:7" ht="22.05" customHeight="1" x14ac:dyDescent="0.4">
      <c r="A31" s="27" t="s">
        <v>105</v>
      </c>
      <c r="B31" s="28">
        <f>0.5</f>
        <v>0.5</v>
      </c>
    </row>
    <row r="32" spans="1:7" ht="22.05" customHeight="1" x14ac:dyDescent="0.4">
      <c r="A32" s="27" t="s">
        <v>100</v>
      </c>
      <c r="B32" s="30">
        <f>B31*B$12/($B$9*$B$8)</f>
        <v>0.20869565217391303</v>
      </c>
      <c r="C32" s="29" t="s">
        <v>85</v>
      </c>
    </row>
    <row r="33" spans="1:3" ht="22.05" customHeight="1" x14ac:dyDescent="0.4">
      <c r="A33" s="27" t="s">
        <v>87</v>
      </c>
      <c r="B33" s="30">
        <f>(1-B31)*B$12/$B$7</f>
        <v>0.35820895522388058</v>
      </c>
      <c r="C33" s="29" t="s">
        <v>88</v>
      </c>
    </row>
    <row r="34" spans="1:3" ht="22.05" customHeight="1" x14ac:dyDescent="0.4">
      <c r="A34" s="27" t="s">
        <v>90</v>
      </c>
      <c r="B34" s="31">
        <f>B32*$B$9*$B$8+B33*$B$7</f>
        <v>4.1739130434782599</v>
      </c>
    </row>
    <row r="35" spans="1:3" ht="22.05" customHeight="1" x14ac:dyDescent="0.4">
      <c r="A35" s="27" t="s">
        <v>92</v>
      </c>
      <c r="B35" s="32">
        <f>B34-B$12</f>
        <v>0</v>
      </c>
    </row>
    <row r="36" spans="1:3" ht="22.05" customHeight="1" x14ac:dyDescent="0.4">
      <c r="A36" s="27" t="s">
        <v>94</v>
      </c>
      <c r="B36" s="33" t="str">
        <f>IF(OR(B32&lt;0,B33&lt;0,B31&lt;0,B31&gt;1),"CHECK INPUTS",IF(ABS(B35)&lt;0.0000000001,"OK","CHECK"))</f>
        <v>OK</v>
      </c>
    </row>
  </sheetData>
  <mergeCells count="19">
    <mergeCell ref="E15:G15"/>
    <mergeCell ref="E6:G6"/>
    <mergeCell ref="E11:G11"/>
    <mergeCell ref="A30:D30"/>
    <mergeCell ref="E7:G7"/>
    <mergeCell ref="E16:G16"/>
    <mergeCell ref="A1:G1"/>
    <mergeCell ref="E22:G22"/>
    <mergeCell ref="E12:G12"/>
    <mergeCell ref="E18:G18"/>
    <mergeCell ref="A6:C6"/>
    <mergeCell ref="E8:G8"/>
    <mergeCell ref="E17:G17"/>
    <mergeCell ref="A14:D14"/>
    <mergeCell ref="E10:G10"/>
    <mergeCell ref="E19:G19"/>
    <mergeCell ref="A22:D22"/>
    <mergeCell ref="A2:G4"/>
    <mergeCell ref="E9:G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27</vt:i4>
      </vt:variant>
    </vt:vector>
  </HeadingPairs>
  <TitlesOfParts>
    <vt:vector size="31" baseType="lpstr">
      <vt:lpstr>Hoja1</vt:lpstr>
      <vt:lpstr>Hoja2</vt:lpstr>
      <vt:lpstr>Hoja3</vt:lpstr>
      <vt:lpstr>Revenue Neutral SS</vt:lpstr>
      <vt:lpstr>A_0</vt:lpstr>
      <vt:lpstr>A_1</vt:lpstr>
      <vt:lpstr>B_0</vt:lpstr>
      <vt:lpstr>B_1</vt:lpstr>
      <vt:lpstr>Beta</vt:lpstr>
      <vt:lpstr>Cbar</vt:lpstr>
      <vt:lpstr>Ctilde</vt:lpstr>
      <vt:lpstr>Gamma</vt:lpstr>
      <vt:lpstr>Gbar</vt:lpstr>
      <vt:lpstr>lambda0</vt:lpstr>
      <vt:lpstr>lambda1</vt:lpstr>
      <vt:lpstr>Lbar</vt:lpstr>
      <vt:lpstr>omega</vt:lpstr>
      <vt:lpstr>Phi</vt:lpstr>
      <vt:lpstr>R_0</vt:lpstr>
      <vt:lpstr>R_N</vt:lpstr>
      <vt:lpstr>Rbar</vt:lpstr>
      <vt:lpstr>rho</vt:lpstr>
      <vt:lpstr>Sigma</vt:lpstr>
      <vt:lpstr>tau_c</vt:lpstr>
      <vt:lpstr>tau_ret</vt:lpstr>
      <vt:lpstr>tau_w</vt:lpstr>
      <vt:lpstr>W_1</vt:lpstr>
      <vt:lpstr>W0</vt:lpstr>
      <vt:lpstr>Wage</vt:lpstr>
      <vt:lpstr>Wbar</vt:lpstr>
      <vt:lpstr>xi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JoseLuis</dc:creator>
  <cp:lastModifiedBy>Paul McNelis</cp:lastModifiedBy>
  <dcterms:created xsi:type="dcterms:W3CDTF">2009-07-04T07:41:09Z</dcterms:created>
  <dcterms:modified xsi:type="dcterms:W3CDTF">2026-03-17T15:44:22Z</dcterms:modified>
</cp:coreProperties>
</file>