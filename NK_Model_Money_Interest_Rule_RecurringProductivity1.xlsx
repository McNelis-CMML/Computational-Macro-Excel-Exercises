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4B9FE15C-18D5-4ECF-BA10-FCFFCE40661A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Fixing Money" sheetId="1" r:id="rId1"/>
    <sheet name="Sheet2" sheetId="13" r:id="rId2"/>
    <sheet name="Base Prod-Interest Rate I" sheetId="10" r:id="rId3"/>
    <sheet name="Base Prod with Taylor" sheetId="12" r:id="rId4"/>
  </sheets>
  <definedNames>
    <definedName name="Alpha">'Fixing Money'!#REF!</definedName>
    <definedName name="Beta">'Fixing Money'!$B$9</definedName>
    <definedName name="Beta0_0">'Fixing Money'!$B$18</definedName>
    <definedName name="Beta0_1">'Fixing Money'!$C$18</definedName>
    <definedName name="Beta1">'Fixing Money'!$B$12</definedName>
    <definedName name="Delta">'Fixing Money'!$B$11</definedName>
    <definedName name="m_0">'Fixing Money'!$B$17</definedName>
    <definedName name="m_1">'Fixing Money'!$C$17</definedName>
    <definedName name="Mi">'Fixing Money'!$B$13</definedName>
    <definedName name="Ni">'Fixing Money'!$B$14</definedName>
    <definedName name="pbar_0">'Fixing Money'!$B$22</definedName>
    <definedName name="pbar_1">'Fixing Money'!$C$22</definedName>
    <definedName name="Psi">'Fixing Money'!$B$10</definedName>
    <definedName name="Theta">'Fixing Money'!$B$11</definedName>
    <definedName name="ybar0">'Fixing Money'!$B$23</definedName>
    <definedName name="ybar1">'Fixing Money'!$C$23</definedName>
    <definedName name="ypot_0">'Fixing Money'!$B$19</definedName>
    <definedName name="ypot_1">'Fixing Money'!$C$19</definedName>
    <definedName name="ypot0">'Fixing Money'!$B$19</definedName>
    <definedName name="ypot1">'Fixing Money'!$C$19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4" i="1"/>
  <c r="L3" i="1"/>
  <c r="E114" i="10"/>
  <c r="Q5" i="1"/>
  <c r="Q6" i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E107" i="10"/>
  <c r="Q4" i="1"/>
  <c r="Q5" i="10"/>
  <c r="Q6" i="10" s="1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4" i="10"/>
  <c r="Q5" i="12"/>
  <c r="Q6" i="12" s="1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4" i="12"/>
  <c r="S100" i="10"/>
  <c r="S99" i="10"/>
  <c r="S98" i="10"/>
  <c r="S97" i="10"/>
  <c r="S96" i="10"/>
  <c r="S95" i="10"/>
  <c r="S94" i="10"/>
  <c r="S93" i="10"/>
  <c r="S92" i="10"/>
  <c r="S91" i="10"/>
  <c r="S90" i="10"/>
  <c r="S89" i="10"/>
  <c r="S88" i="10"/>
  <c r="S87" i="10"/>
  <c r="S86" i="10"/>
  <c r="S85" i="10"/>
  <c r="S84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102" i="10" s="1"/>
  <c r="S4" i="10"/>
  <c r="I3" i="1"/>
  <c r="C75" i="13"/>
  <c r="C74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9" i="13"/>
  <c r="P5" i="1"/>
  <c r="P5" i="10" s="1"/>
  <c r="L102" i="10"/>
  <c r="H3" i="10"/>
  <c r="P6" i="1"/>
  <c r="P6" i="10" s="1"/>
  <c r="P7" i="1"/>
  <c r="P7" i="10" s="1"/>
  <c r="P8" i="1"/>
  <c r="P8" i="10" s="1"/>
  <c r="P9" i="1"/>
  <c r="P9" i="10" s="1"/>
  <c r="P10" i="1"/>
  <c r="P10" i="10" s="1"/>
  <c r="P11" i="1"/>
  <c r="P11" i="10" s="1"/>
  <c r="P12" i="1"/>
  <c r="P12" i="10" s="1"/>
  <c r="P13" i="1"/>
  <c r="P13" i="10" s="1"/>
  <c r="P14" i="1"/>
  <c r="P14" i="10" s="1"/>
  <c r="P15" i="1"/>
  <c r="P15" i="10" s="1"/>
  <c r="P16" i="1"/>
  <c r="P16" i="10" s="1"/>
  <c r="P17" i="1"/>
  <c r="P17" i="10" s="1"/>
  <c r="P18" i="1"/>
  <c r="P18" i="10" s="1"/>
  <c r="P19" i="1"/>
  <c r="P19" i="10" s="1"/>
  <c r="P20" i="1"/>
  <c r="P20" i="10" s="1"/>
  <c r="P21" i="1"/>
  <c r="P21" i="10" s="1"/>
  <c r="P22" i="1"/>
  <c r="P22" i="10" s="1"/>
  <c r="P23" i="1"/>
  <c r="P23" i="10" s="1"/>
  <c r="P24" i="1"/>
  <c r="P24" i="10" s="1"/>
  <c r="P25" i="1"/>
  <c r="P25" i="10" s="1"/>
  <c r="P26" i="1"/>
  <c r="P26" i="10" s="1"/>
  <c r="P27" i="1"/>
  <c r="P27" i="10" s="1"/>
  <c r="P28" i="1"/>
  <c r="P28" i="10" s="1"/>
  <c r="P29" i="1"/>
  <c r="P29" i="10" s="1"/>
  <c r="P30" i="1"/>
  <c r="P30" i="10" s="1"/>
  <c r="P31" i="1"/>
  <c r="P31" i="10" s="1"/>
  <c r="P32" i="1"/>
  <c r="P32" i="10" s="1"/>
  <c r="P33" i="1"/>
  <c r="P33" i="10" s="1"/>
  <c r="P34" i="1"/>
  <c r="P34" i="10" s="1"/>
  <c r="P35" i="1"/>
  <c r="P35" i="10" s="1"/>
  <c r="P36" i="1"/>
  <c r="P36" i="10" s="1"/>
  <c r="P37" i="1"/>
  <c r="P37" i="10" s="1"/>
  <c r="P38" i="1"/>
  <c r="P38" i="10" s="1"/>
  <c r="P39" i="1"/>
  <c r="P39" i="10" s="1"/>
  <c r="P40" i="1"/>
  <c r="P40" i="10" s="1"/>
  <c r="P41" i="1"/>
  <c r="P41" i="10" s="1"/>
  <c r="P42" i="1"/>
  <c r="P42" i="10" s="1"/>
  <c r="P43" i="1"/>
  <c r="P43" i="10" s="1"/>
  <c r="P44" i="1"/>
  <c r="P44" i="10" s="1"/>
  <c r="P45" i="1"/>
  <c r="P45" i="10" s="1"/>
  <c r="P46" i="1"/>
  <c r="P46" i="10" s="1"/>
  <c r="P47" i="1"/>
  <c r="P47" i="10" s="1"/>
  <c r="P48" i="1"/>
  <c r="P48" i="10" s="1"/>
  <c r="P49" i="1"/>
  <c r="P49" i="10" s="1"/>
  <c r="P50" i="1"/>
  <c r="P50" i="10" s="1"/>
  <c r="P51" i="1"/>
  <c r="P51" i="10" s="1"/>
  <c r="P52" i="1"/>
  <c r="P52" i="10" s="1"/>
  <c r="P53" i="1"/>
  <c r="P53" i="10" s="1"/>
  <c r="P54" i="1"/>
  <c r="P54" i="10" s="1"/>
  <c r="P55" i="1"/>
  <c r="P55" i="10" s="1"/>
  <c r="P56" i="1"/>
  <c r="P56" i="10" s="1"/>
  <c r="P57" i="1"/>
  <c r="P57" i="10" s="1"/>
  <c r="P58" i="1"/>
  <c r="P58" i="10" s="1"/>
  <c r="P59" i="1"/>
  <c r="P59" i="10" s="1"/>
  <c r="P60" i="1"/>
  <c r="P60" i="10" s="1"/>
  <c r="P61" i="1"/>
  <c r="P61" i="10" s="1"/>
  <c r="P62" i="1"/>
  <c r="P62" i="10" s="1"/>
  <c r="P63" i="1"/>
  <c r="P63" i="10" s="1"/>
  <c r="P64" i="1"/>
  <c r="P64" i="10" s="1"/>
  <c r="P65" i="1"/>
  <c r="P65" i="10" s="1"/>
  <c r="P66" i="1"/>
  <c r="P66" i="10" s="1"/>
  <c r="P67" i="1"/>
  <c r="P67" i="10" s="1"/>
  <c r="P68" i="1"/>
  <c r="P68" i="10" s="1"/>
  <c r="P69" i="1"/>
  <c r="P69" i="10" s="1"/>
  <c r="P70" i="1"/>
  <c r="P70" i="10" s="1"/>
  <c r="P71" i="1"/>
  <c r="P71" i="10" s="1"/>
  <c r="P72" i="1"/>
  <c r="P72" i="10" s="1"/>
  <c r="P73" i="1"/>
  <c r="P73" i="10" s="1"/>
  <c r="P74" i="1"/>
  <c r="P74" i="10" s="1"/>
  <c r="P75" i="1"/>
  <c r="P75" i="10" s="1"/>
  <c r="P76" i="1"/>
  <c r="P76" i="10" s="1"/>
  <c r="P77" i="1"/>
  <c r="P77" i="10" s="1"/>
  <c r="P78" i="1"/>
  <c r="P78" i="10" s="1"/>
  <c r="P79" i="1"/>
  <c r="P79" i="10" s="1"/>
  <c r="P80" i="1"/>
  <c r="P80" i="10" s="1"/>
  <c r="P81" i="1"/>
  <c r="P81" i="10" s="1"/>
  <c r="P82" i="1"/>
  <c r="P82" i="10" s="1"/>
  <c r="P83" i="1"/>
  <c r="P83" i="10" s="1"/>
  <c r="P84" i="1"/>
  <c r="P84" i="10" s="1"/>
  <c r="P85" i="1"/>
  <c r="P85" i="10" s="1"/>
  <c r="P86" i="1"/>
  <c r="P86" i="10" s="1"/>
  <c r="P87" i="1"/>
  <c r="P87" i="10" s="1"/>
  <c r="P88" i="1"/>
  <c r="P88" i="10" s="1"/>
  <c r="P89" i="1"/>
  <c r="P89" i="10" s="1"/>
  <c r="P90" i="1"/>
  <c r="P90" i="10" s="1"/>
  <c r="P91" i="1"/>
  <c r="P91" i="10" s="1"/>
  <c r="P92" i="1"/>
  <c r="P92" i="10" s="1"/>
  <c r="P93" i="1"/>
  <c r="P93" i="10" s="1"/>
  <c r="P94" i="1"/>
  <c r="P94" i="10" s="1"/>
  <c r="P95" i="1"/>
  <c r="P95" i="10" s="1"/>
  <c r="P96" i="1"/>
  <c r="P96" i="10" s="1"/>
  <c r="P97" i="1"/>
  <c r="P97" i="10" s="1"/>
  <c r="P98" i="1"/>
  <c r="P98" i="10" s="1"/>
  <c r="P99" i="1"/>
  <c r="P99" i="10" s="1"/>
  <c r="P100" i="1"/>
  <c r="P100" i="10" s="1"/>
  <c r="C23" i="10"/>
  <c r="B23" i="10"/>
  <c r="C27" i="12"/>
  <c r="B27" i="12"/>
  <c r="C26" i="12"/>
  <c r="B26" i="12"/>
  <c r="C23" i="12"/>
  <c r="B23" i="12"/>
  <c r="G3" i="12"/>
  <c r="M3" i="12" s="1"/>
  <c r="F3" i="12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3" i="10"/>
  <c r="C27" i="10"/>
  <c r="B27" i="10"/>
  <c r="C26" i="10"/>
  <c r="B26" i="10"/>
  <c r="G3" i="10"/>
  <c r="I3" i="10" s="1"/>
  <c r="M3" i="10" s="1"/>
  <c r="F3" i="10"/>
  <c r="K3" i="1"/>
  <c r="P55" i="12" l="1"/>
  <c r="P39" i="12"/>
  <c r="P20" i="12"/>
  <c r="P8" i="12"/>
  <c r="P54" i="12"/>
  <c r="P52" i="12"/>
  <c r="P47" i="12"/>
  <c r="P38" i="12"/>
  <c r="P36" i="12"/>
  <c r="P31" i="12"/>
  <c r="P100" i="12"/>
  <c r="P24" i="12"/>
  <c r="P88" i="12"/>
  <c r="P23" i="12"/>
  <c r="P87" i="12"/>
  <c r="P22" i="12"/>
  <c r="P84" i="12"/>
  <c r="P72" i="12"/>
  <c r="P15" i="12"/>
  <c r="P71" i="12"/>
  <c r="P68" i="12"/>
  <c r="P7" i="12"/>
  <c r="P63" i="12"/>
  <c r="P6" i="12"/>
  <c r="P99" i="12"/>
  <c r="P83" i="12"/>
  <c r="P67" i="12"/>
  <c r="P51" i="12"/>
  <c r="P35" i="12"/>
  <c r="P19" i="12"/>
  <c r="P98" i="12"/>
  <c r="P82" i="12"/>
  <c r="P66" i="12"/>
  <c r="P50" i="12"/>
  <c r="P34" i="12"/>
  <c r="P18" i="12"/>
  <c r="P97" i="12"/>
  <c r="P81" i="12"/>
  <c r="P65" i="12"/>
  <c r="P49" i="12"/>
  <c r="P33" i="12"/>
  <c r="P17" i="12"/>
  <c r="P96" i="12"/>
  <c r="P80" i="12"/>
  <c r="P64" i="12"/>
  <c r="P48" i="12"/>
  <c r="P32" i="12"/>
  <c r="P16" i="12"/>
  <c r="P95" i="12"/>
  <c r="P79" i="12"/>
  <c r="P30" i="12"/>
  <c r="P93" i="12"/>
  <c r="P77" i="12"/>
  <c r="P61" i="12"/>
  <c r="P45" i="12"/>
  <c r="P29" i="12"/>
  <c r="P13" i="12"/>
  <c r="P46" i="12"/>
  <c r="P92" i="12"/>
  <c r="P76" i="12"/>
  <c r="P60" i="12"/>
  <c r="P44" i="12"/>
  <c r="P28" i="12"/>
  <c r="P12" i="12"/>
  <c r="P62" i="12"/>
  <c r="P91" i="12"/>
  <c r="P75" i="12"/>
  <c r="P59" i="12"/>
  <c r="P43" i="12"/>
  <c r="P27" i="12"/>
  <c r="P11" i="12"/>
  <c r="P94" i="12"/>
  <c r="P78" i="12"/>
  <c r="P14" i="12"/>
  <c r="P90" i="12"/>
  <c r="P74" i="12"/>
  <c r="P58" i="12"/>
  <c r="P42" i="12"/>
  <c r="P26" i="12"/>
  <c r="P10" i="12"/>
  <c r="P89" i="12"/>
  <c r="P73" i="12"/>
  <c r="P57" i="12"/>
  <c r="P41" i="12"/>
  <c r="P25" i="12"/>
  <c r="P9" i="12"/>
  <c r="P56" i="12"/>
  <c r="P40" i="12"/>
  <c r="P86" i="12"/>
  <c r="P70" i="12"/>
  <c r="P85" i="12"/>
  <c r="P69" i="12"/>
  <c r="P53" i="12"/>
  <c r="P37" i="12"/>
  <c r="P21" i="12"/>
  <c r="P5" i="12"/>
  <c r="P4" i="12"/>
  <c r="P4" i="10"/>
  <c r="P102" i="10" s="1"/>
  <c r="J3" i="12"/>
  <c r="L4" i="12" s="1"/>
  <c r="S4" i="12" s="1"/>
  <c r="B31" i="12"/>
  <c r="B30" i="12"/>
  <c r="N3" i="12"/>
  <c r="H3" i="12"/>
  <c r="O3" i="12" s="1"/>
  <c r="G4" i="12" s="1"/>
  <c r="F4" i="12"/>
  <c r="K3" i="12"/>
  <c r="K102" i="1"/>
  <c r="B31" i="10"/>
  <c r="B30" i="10"/>
  <c r="P102" i="1"/>
  <c r="R5" i="1"/>
  <c r="I5" i="1" s="1"/>
  <c r="R4" i="1"/>
  <c r="I4" i="1" s="1"/>
  <c r="P102" i="12" l="1"/>
  <c r="R4" i="12"/>
  <c r="F4" i="10"/>
  <c r="N3" i="10"/>
  <c r="K3" i="10"/>
  <c r="J3" i="10"/>
  <c r="O3" i="10" s="1"/>
  <c r="G4" i="10" s="1"/>
  <c r="R6" i="1"/>
  <c r="I6" i="1" s="1"/>
  <c r="R5" i="12" l="1"/>
  <c r="I5" i="12" s="1"/>
  <c r="R4" i="10"/>
  <c r="I4" i="12"/>
  <c r="J4" i="12" s="1"/>
  <c r="R7" i="1"/>
  <c r="I7" i="1" s="1"/>
  <c r="R6" i="10" l="1"/>
  <c r="H6" i="10" s="1"/>
  <c r="R5" i="10"/>
  <c r="H5" i="10" s="1"/>
  <c r="H4" i="10"/>
  <c r="I4" i="10" s="1"/>
  <c r="R6" i="12"/>
  <c r="I6" i="12" s="1"/>
  <c r="R7" i="10"/>
  <c r="H7" i="10" s="1"/>
  <c r="M4" i="12"/>
  <c r="H4" i="12" s="1"/>
  <c r="O4" i="12" s="1"/>
  <c r="R8" i="1"/>
  <c r="I8" i="1" s="1"/>
  <c r="M4" i="10" l="1"/>
  <c r="R7" i="12"/>
  <c r="I7" i="12" s="1"/>
  <c r="R8" i="10"/>
  <c r="H8" i="10" s="1"/>
  <c r="K4" i="12"/>
  <c r="N4" i="12"/>
  <c r="F5" i="12"/>
  <c r="L5" i="12"/>
  <c r="S5" i="12" s="1"/>
  <c r="G5" i="12"/>
  <c r="J5" i="12" s="1"/>
  <c r="R9" i="1"/>
  <c r="I9" i="1" s="1"/>
  <c r="J4" i="10" l="1"/>
  <c r="N4" i="10"/>
  <c r="F5" i="10"/>
  <c r="K4" i="10"/>
  <c r="R8" i="12"/>
  <c r="I8" i="12" s="1"/>
  <c r="R9" i="10"/>
  <c r="H9" i="10" s="1"/>
  <c r="M5" i="12"/>
  <c r="K5" i="12" s="1"/>
  <c r="R10" i="1"/>
  <c r="I10" i="1" s="1"/>
  <c r="O4" i="10" l="1"/>
  <c r="R9" i="12"/>
  <c r="I9" i="12" s="1"/>
  <c r="R10" i="10"/>
  <c r="H10" i="10" s="1"/>
  <c r="L6" i="12"/>
  <c r="S6" i="12" s="1"/>
  <c r="N5" i="12"/>
  <c r="H5" i="12"/>
  <c r="F6" i="12"/>
  <c r="G5" i="10" l="1"/>
  <c r="R10" i="12"/>
  <c r="I10" i="12" s="1"/>
  <c r="R11" i="10"/>
  <c r="H11" i="10" s="1"/>
  <c r="O5" i="12"/>
  <c r="R11" i="1"/>
  <c r="I11" i="1" s="1"/>
  <c r="R12" i="1"/>
  <c r="I12" i="1" s="1"/>
  <c r="I5" i="10" l="1"/>
  <c r="R11" i="12"/>
  <c r="I11" i="12" s="1"/>
  <c r="R12" i="10"/>
  <c r="H12" i="10" s="1"/>
  <c r="G6" i="12"/>
  <c r="J6" i="12" s="1"/>
  <c r="R13" i="1"/>
  <c r="I13" i="1" s="1"/>
  <c r="M5" i="10" l="1"/>
  <c r="R12" i="12"/>
  <c r="I12" i="12" s="1"/>
  <c r="R13" i="10"/>
  <c r="H13" i="10" s="1"/>
  <c r="M6" i="12"/>
  <c r="K6" i="12" s="1"/>
  <c r="R14" i="1"/>
  <c r="I14" i="1" s="1"/>
  <c r="N5" i="10" l="1"/>
  <c r="F6" i="10"/>
  <c r="J5" i="10"/>
  <c r="K5" i="10"/>
  <c r="R13" i="12"/>
  <c r="I13" i="12" s="1"/>
  <c r="R14" i="10"/>
  <c r="H14" i="10" s="1"/>
  <c r="L7" i="12"/>
  <c r="S7" i="12" s="1"/>
  <c r="N6" i="12"/>
  <c r="H6" i="12"/>
  <c r="F7" i="12"/>
  <c r="R15" i="1"/>
  <c r="I15" i="1" s="1"/>
  <c r="O5" i="10" l="1"/>
  <c r="R14" i="12"/>
  <c r="I14" i="12" s="1"/>
  <c r="R15" i="10"/>
  <c r="H15" i="10" s="1"/>
  <c r="O6" i="12"/>
  <c r="R16" i="1"/>
  <c r="I16" i="1" s="1"/>
  <c r="G6" i="10" l="1"/>
  <c r="R15" i="12"/>
  <c r="I15" i="12" s="1"/>
  <c r="R16" i="10"/>
  <c r="H16" i="10" s="1"/>
  <c r="G7" i="12"/>
  <c r="J7" i="12" s="1"/>
  <c r="R17" i="1"/>
  <c r="I17" i="1" s="1"/>
  <c r="I6" i="10" l="1"/>
  <c r="R16" i="12"/>
  <c r="I16" i="12" s="1"/>
  <c r="R17" i="10"/>
  <c r="H17" i="10" s="1"/>
  <c r="M7" i="12"/>
  <c r="K7" i="12" s="1"/>
  <c r="R18" i="1"/>
  <c r="I18" i="1" s="1"/>
  <c r="M6" i="10" l="1"/>
  <c r="R17" i="12"/>
  <c r="I17" i="12" s="1"/>
  <c r="R18" i="10"/>
  <c r="H18" i="10" s="1"/>
  <c r="L8" i="12"/>
  <c r="S8" i="12" s="1"/>
  <c r="N7" i="12"/>
  <c r="H7" i="12"/>
  <c r="F8" i="12"/>
  <c r="R19" i="1"/>
  <c r="I19" i="1" s="1"/>
  <c r="F7" i="10" l="1"/>
  <c r="N6" i="10"/>
  <c r="J6" i="10"/>
  <c r="K6" i="10"/>
  <c r="R18" i="12"/>
  <c r="I18" i="12" s="1"/>
  <c r="R19" i="10"/>
  <c r="H19" i="10" s="1"/>
  <c r="O7" i="12"/>
  <c r="R20" i="1"/>
  <c r="I20" i="1" s="1"/>
  <c r="O6" i="10" l="1"/>
  <c r="R19" i="12"/>
  <c r="I19" i="12" s="1"/>
  <c r="R20" i="10"/>
  <c r="H20" i="10" s="1"/>
  <c r="G8" i="12"/>
  <c r="J8" i="12" s="1"/>
  <c r="R21" i="1"/>
  <c r="I21" i="1" s="1"/>
  <c r="G7" i="10" l="1"/>
  <c r="R20" i="12"/>
  <c r="I20" i="12" s="1"/>
  <c r="R21" i="10"/>
  <c r="H21" i="10" s="1"/>
  <c r="M8" i="12"/>
  <c r="K8" i="12" s="1"/>
  <c r="R22" i="1"/>
  <c r="I22" i="1" s="1"/>
  <c r="I7" i="10" l="1"/>
  <c r="R21" i="12"/>
  <c r="I21" i="12" s="1"/>
  <c r="R22" i="10"/>
  <c r="H22" i="10" s="1"/>
  <c r="L9" i="12"/>
  <c r="S9" i="12" s="1"/>
  <c r="H8" i="12"/>
  <c r="N8" i="12"/>
  <c r="F9" i="12"/>
  <c r="R23" i="1"/>
  <c r="I23" i="1" s="1"/>
  <c r="M7" i="10" l="1"/>
  <c r="R22" i="12"/>
  <c r="I22" i="12" s="1"/>
  <c r="R23" i="10"/>
  <c r="H23" i="10" s="1"/>
  <c r="O8" i="12"/>
  <c r="R24" i="1"/>
  <c r="I24" i="1" s="1"/>
  <c r="N7" i="10" l="1"/>
  <c r="J7" i="10"/>
  <c r="F8" i="10"/>
  <c r="K7" i="10"/>
  <c r="R23" i="12"/>
  <c r="I23" i="12" s="1"/>
  <c r="R24" i="10"/>
  <c r="H24" i="10" s="1"/>
  <c r="G9" i="12"/>
  <c r="J9" i="12" s="1"/>
  <c r="R25" i="1"/>
  <c r="I25" i="1" s="1"/>
  <c r="O7" i="10" l="1"/>
  <c r="R24" i="12"/>
  <c r="I24" i="12" s="1"/>
  <c r="R25" i="10"/>
  <c r="H25" i="10" s="1"/>
  <c r="M9" i="12"/>
  <c r="K9" i="12" s="1"/>
  <c r="R26" i="1"/>
  <c r="I26" i="1" s="1"/>
  <c r="G8" i="10" l="1"/>
  <c r="R25" i="12"/>
  <c r="I25" i="12" s="1"/>
  <c r="R26" i="10"/>
  <c r="H26" i="10" s="1"/>
  <c r="L10" i="12"/>
  <c r="S10" i="12" s="1"/>
  <c r="H9" i="12"/>
  <c r="O9" i="12" s="1"/>
  <c r="G10" i="12" s="1"/>
  <c r="J10" i="12" s="1"/>
  <c r="N9" i="12"/>
  <c r="F10" i="12"/>
  <c r="R27" i="1"/>
  <c r="I27" i="1" s="1"/>
  <c r="I8" i="10" l="1"/>
  <c r="M8" i="10" s="1"/>
  <c r="K8" i="10" s="1"/>
  <c r="R26" i="12"/>
  <c r="I26" i="12" s="1"/>
  <c r="R27" i="10"/>
  <c r="H27" i="10" s="1"/>
  <c r="M10" i="12"/>
  <c r="L11" i="12" s="1"/>
  <c r="S11" i="12" s="1"/>
  <c r="R28" i="1"/>
  <c r="I28" i="1" s="1"/>
  <c r="J8" i="10" l="1"/>
  <c r="N8" i="10"/>
  <c r="F9" i="10"/>
  <c r="R27" i="12"/>
  <c r="I27" i="12" s="1"/>
  <c r="R28" i="10"/>
  <c r="H28" i="10" s="1"/>
  <c r="N10" i="12"/>
  <c r="H10" i="12"/>
  <c r="O10" i="12" s="1"/>
  <c r="G11" i="12" s="1"/>
  <c r="J11" i="12" s="1"/>
  <c r="K10" i="12"/>
  <c r="F11" i="12"/>
  <c r="R29" i="1"/>
  <c r="I29" i="1" s="1"/>
  <c r="O8" i="10" l="1"/>
  <c r="R28" i="12"/>
  <c r="I28" i="12" s="1"/>
  <c r="R29" i="10"/>
  <c r="H29" i="10" s="1"/>
  <c r="M11" i="12"/>
  <c r="R30" i="1"/>
  <c r="I30" i="1" s="1"/>
  <c r="G9" i="10" l="1"/>
  <c r="R29" i="12"/>
  <c r="I29" i="12" s="1"/>
  <c r="R30" i="10"/>
  <c r="H30" i="10" s="1"/>
  <c r="L12" i="12"/>
  <c r="S12" i="12" s="1"/>
  <c r="H11" i="12"/>
  <c r="O11" i="12" s="1"/>
  <c r="G12" i="12" s="1"/>
  <c r="J12" i="12" s="1"/>
  <c r="N11" i="12"/>
  <c r="K11" i="12"/>
  <c r="F12" i="12"/>
  <c r="R31" i="1"/>
  <c r="I31" i="1" s="1"/>
  <c r="I9" i="10" l="1"/>
  <c r="M9" i="10" s="1"/>
  <c r="K9" i="10" s="1"/>
  <c r="R30" i="12"/>
  <c r="I30" i="12" s="1"/>
  <c r="R31" i="10"/>
  <c r="H31" i="10" s="1"/>
  <c r="M12" i="12"/>
  <c r="L13" i="12" s="1"/>
  <c r="S13" i="12" s="1"/>
  <c r="R32" i="1"/>
  <c r="I32" i="1" s="1"/>
  <c r="N9" i="10" l="1"/>
  <c r="J9" i="10"/>
  <c r="O9" i="10" s="1"/>
  <c r="G10" i="10" s="1"/>
  <c r="I10" i="10" s="1"/>
  <c r="M10" i="10" s="1"/>
  <c r="F10" i="10"/>
  <c r="R31" i="12"/>
  <c r="I31" i="12" s="1"/>
  <c r="R32" i="10"/>
  <c r="H32" i="10" s="1"/>
  <c r="H12" i="12"/>
  <c r="O12" i="12" s="1"/>
  <c r="G13" i="12" s="1"/>
  <c r="J13" i="12" s="1"/>
  <c r="N12" i="12"/>
  <c r="F13" i="12"/>
  <c r="K12" i="12"/>
  <c r="R33" i="1"/>
  <c r="I33" i="1" s="1"/>
  <c r="J10" i="10" l="1"/>
  <c r="O10" i="10" s="1"/>
  <c r="G11" i="10" s="1"/>
  <c r="I11" i="10" s="1"/>
  <c r="M11" i="10" s="1"/>
  <c r="N10" i="10"/>
  <c r="K10" i="10"/>
  <c r="F11" i="10"/>
  <c r="R32" i="12"/>
  <c r="I32" i="12" s="1"/>
  <c r="R33" i="10"/>
  <c r="H33" i="10" s="1"/>
  <c r="M13" i="12"/>
  <c r="R34" i="1"/>
  <c r="I34" i="1" s="1"/>
  <c r="K11" i="10" l="1"/>
  <c r="F12" i="10"/>
  <c r="J11" i="10"/>
  <c r="O11" i="10" s="1"/>
  <c r="G12" i="10" s="1"/>
  <c r="I12" i="10" s="1"/>
  <c r="M12" i="10" s="1"/>
  <c r="N11" i="10"/>
  <c r="R33" i="12"/>
  <c r="I33" i="12" s="1"/>
  <c r="R34" i="10"/>
  <c r="H34" i="10" s="1"/>
  <c r="L14" i="12"/>
  <c r="S14" i="12" s="1"/>
  <c r="H13" i="12"/>
  <c r="O13" i="12" s="1"/>
  <c r="G14" i="12" s="1"/>
  <c r="J14" i="12" s="1"/>
  <c r="N13" i="12"/>
  <c r="K13" i="12"/>
  <c r="F14" i="12"/>
  <c r="R35" i="1"/>
  <c r="I35" i="1" s="1"/>
  <c r="N12" i="10" l="1"/>
  <c r="J12" i="10"/>
  <c r="O12" i="10" s="1"/>
  <c r="G13" i="10" s="1"/>
  <c r="I13" i="10" s="1"/>
  <c r="M13" i="10" s="1"/>
  <c r="F13" i="10"/>
  <c r="K12" i="10"/>
  <c r="R34" i="12"/>
  <c r="I34" i="12" s="1"/>
  <c r="R35" i="10"/>
  <c r="H35" i="10" s="1"/>
  <c r="M14" i="12"/>
  <c r="K14" i="12" s="1"/>
  <c r="R36" i="1"/>
  <c r="I36" i="1" s="1"/>
  <c r="J13" i="10" l="1"/>
  <c r="O13" i="10" s="1"/>
  <c r="G14" i="10" s="1"/>
  <c r="I14" i="10" s="1"/>
  <c r="M14" i="10" s="1"/>
  <c r="N13" i="10"/>
  <c r="K13" i="10"/>
  <c r="F14" i="10"/>
  <c r="R35" i="12"/>
  <c r="I35" i="12" s="1"/>
  <c r="R36" i="10"/>
  <c r="H36" i="10" s="1"/>
  <c r="L15" i="12"/>
  <c r="S15" i="12" s="1"/>
  <c r="H14" i="12"/>
  <c r="O14" i="12" s="1"/>
  <c r="G15" i="12" s="1"/>
  <c r="J15" i="12" s="1"/>
  <c r="N14" i="12"/>
  <c r="F15" i="12"/>
  <c r="R37" i="1"/>
  <c r="I37" i="1" s="1"/>
  <c r="F15" i="10" l="1"/>
  <c r="K14" i="10"/>
  <c r="J14" i="10"/>
  <c r="O14" i="10" s="1"/>
  <c r="G15" i="10" s="1"/>
  <c r="I15" i="10" s="1"/>
  <c r="M15" i="10" s="1"/>
  <c r="N14" i="10"/>
  <c r="R36" i="12"/>
  <c r="I36" i="12" s="1"/>
  <c r="R37" i="10"/>
  <c r="H37" i="10" s="1"/>
  <c r="M15" i="12"/>
  <c r="F16" i="12" s="1"/>
  <c r="R38" i="1"/>
  <c r="I38" i="1" s="1"/>
  <c r="J15" i="10" l="1"/>
  <c r="O15" i="10" s="1"/>
  <c r="G16" i="10" s="1"/>
  <c r="I16" i="10" s="1"/>
  <c r="M16" i="10" s="1"/>
  <c r="N15" i="10"/>
  <c r="K15" i="10"/>
  <c r="F16" i="10"/>
  <c r="R37" i="12"/>
  <c r="I37" i="12" s="1"/>
  <c r="R38" i="10"/>
  <c r="H38" i="10" s="1"/>
  <c r="L16" i="12"/>
  <c r="S16" i="12" s="1"/>
  <c r="H15" i="12"/>
  <c r="O15" i="12" s="1"/>
  <c r="G16" i="12" s="1"/>
  <c r="J16" i="12" s="1"/>
  <c r="N15" i="12"/>
  <c r="K15" i="12"/>
  <c r="R39" i="1"/>
  <c r="I39" i="1" s="1"/>
  <c r="F17" i="10" l="1"/>
  <c r="K16" i="10"/>
  <c r="N16" i="10"/>
  <c r="J16" i="10"/>
  <c r="O16" i="10" s="1"/>
  <c r="G17" i="10" s="1"/>
  <c r="I17" i="10" s="1"/>
  <c r="M17" i="10" s="1"/>
  <c r="R38" i="12"/>
  <c r="I38" i="12" s="1"/>
  <c r="R39" i="10"/>
  <c r="H39" i="10" s="1"/>
  <c r="M16" i="12"/>
  <c r="L17" i="12" s="1"/>
  <c r="S17" i="12" s="1"/>
  <c r="R40" i="1"/>
  <c r="I40" i="1" s="1"/>
  <c r="J17" i="10" l="1"/>
  <c r="O17" i="10" s="1"/>
  <c r="G18" i="10" s="1"/>
  <c r="I18" i="10" s="1"/>
  <c r="M18" i="10" s="1"/>
  <c r="N17" i="10"/>
  <c r="K17" i="10"/>
  <c r="F18" i="10"/>
  <c r="R39" i="12"/>
  <c r="I39" i="12" s="1"/>
  <c r="R40" i="10"/>
  <c r="H40" i="10" s="1"/>
  <c r="H16" i="12"/>
  <c r="O16" i="12" s="1"/>
  <c r="G17" i="12" s="1"/>
  <c r="J17" i="12" s="1"/>
  <c r="N16" i="12"/>
  <c r="F17" i="12"/>
  <c r="K16" i="12"/>
  <c r="R41" i="1"/>
  <c r="I41" i="1" s="1"/>
  <c r="F19" i="10" l="1"/>
  <c r="K18" i="10"/>
  <c r="N18" i="10"/>
  <c r="J18" i="10"/>
  <c r="O18" i="10" s="1"/>
  <c r="G19" i="10" s="1"/>
  <c r="I19" i="10" s="1"/>
  <c r="M19" i="10" s="1"/>
  <c r="R40" i="12"/>
  <c r="I40" i="12" s="1"/>
  <c r="R41" i="10"/>
  <c r="H41" i="10" s="1"/>
  <c r="M17" i="12"/>
  <c r="K17" i="12" s="1"/>
  <c r="R42" i="1"/>
  <c r="I42" i="1" s="1"/>
  <c r="N19" i="10" l="1"/>
  <c r="J19" i="10"/>
  <c r="O19" i="10" s="1"/>
  <c r="G20" i="10" s="1"/>
  <c r="I20" i="10" s="1"/>
  <c r="M20" i="10" s="1"/>
  <c r="K19" i="10"/>
  <c r="F20" i="10"/>
  <c r="R41" i="12"/>
  <c r="I41" i="12" s="1"/>
  <c r="R42" i="10"/>
  <c r="H42" i="10" s="1"/>
  <c r="L18" i="12"/>
  <c r="S18" i="12" s="1"/>
  <c r="H17" i="12"/>
  <c r="O17" i="12" s="1"/>
  <c r="G18" i="12" s="1"/>
  <c r="J18" i="12" s="1"/>
  <c r="N17" i="12"/>
  <c r="F18" i="12"/>
  <c r="R43" i="1"/>
  <c r="I43" i="1" s="1"/>
  <c r="N20" i="10" l="1"/>
  <c r="J20" i="10"/>
  <c r="O20" i="10" s="1"/>
  <c r="G21" i="10" s="1"/>
  <c r="I21" i="10" s="1"/>
  <c r="M21" i="10" s="1"/>
  <c r="F21" i="10"/>
  <c r="K20" i="10"/>
  <c r="R42" i="12"/>
  <c r="I42" i="12" s="1"/>
  <c r="R43" i="10"/>
  <c r="H43" i="10" s="1"/>
  <c r="M18" i="12"/>
  <c r="F19" i="12" s="1"/>
  <c r="R44" i="1"/>
  <c r="I44" i="1" s="1"/>
  <c r="N21" i="10" l="1"/>
  <c r="J21" i="10"/>
  <c r="O21" i="10" s="1"/>
  <c r="G22" i="10" s="1"/>
  <c r="I22" i="10" s="1"/>
  <c r="M22" i="10" s="1"/>
  <c r="F22" i="10"/>
  <c r="K21" i="10"/>
  <c r="R43" i="12"/>
  <c r="I43" i="12" s="1"/>
  <c r="R44" i="10"/>
  <c r="H44" i="10" s="1"/>
  <c r="L19" i="12"/>
  <c r="S19" i="12" s="1"/>
  <c r="N18" i="12"/>
  <c r="H18" i="12"/>
  <c r="O18" i="12" s="1"/>
  <c r="G19" i="12" s="1"/>
  <c r="J19" i="12" s="1"/>
  <c r="K18" i="12"/>
  <c r="R45" i="1"/>
  <c r="I45" i="1" s="1"/>
  <c r="N22" i="10" l="1"/>
  <c r="J22" i="10"/>
  <c r="O22" i="10" s="1"/>
  <c r="G23" i="10" s="1"/>
  <c r="I23" i="10" s="1"/>
  <c r="M23" i="10" s="1"/>
  <c r="K22" i="10"/>
  <c r="F23" i="10"/>
  <c r="R44" i="12"/>
  <c r="I44" i="12" s="1"/>
  <c r="R45" i="10"/>
  <c r="H45" i="10" s="1"/>
  <c r="M19" i="12"/>
  <c r="R46" i="1"/>
  <c r="I46" i="1" s="1"/>
  <c r="J23" i="10" l="1"/>
  <c r="O23" i="10" s="1"/>
  <c r="G24" i="10" s="1"/>
  <c r="I24" i="10" s="1"/>
  <c r="M24" i="10" s="1"/>
  <c r="N23" i="10"/>
  <c r="F24" i="10"/>
  <c r="K23" i="10"/>
  <c r="R45" i="12"/>
  <c r="I45" i="12" s="1"/>
  <c r="R46" i="10"/>
  <c r="H46" i="10" s="1"/>
  <c r="L20" i="12"/>
  <c r="S20" i="12" s="1"/>
  <c r="K19" i="12"/>
  <c r="H19" i="12"/>
  <c r="O19" i="12" s="1"/>
  <c r="G20" i="12" s="1"/>
  <c r="J20" i="12" s="1"/>
  <c r="N19" i="12"/>
  <c r="F20" i="12"/>
  <c r="R47" i="1"/>
  <c r="I47" i="1" s="1"/>
  <c r="K24" i="10" l="1"/>
  <c r="F25" i="10"/>
  <c r="N24" i="10"/>
  <c r="J24" i="10"/>
  <c r="O24" i="10" s="1"/>
  <c r="G25" i="10" s="1"/>
  <c r="I25" i="10" s="1"/>
  <c r="M25" i="10" s="1"/>
  <c r="R46" i="12"/>
  <c r="I46" i="12" s="1"/>
  <c r="R47" i="10"/>
  <c r="H47" i="10" s="1"/>
  <c r="M20" i="12"/>
  <c r="R48" i="1"/>
  <c r="I48" i="1" s="1"/>
  <c r="F26" i="10" l="1"/>
  <c r="K25" i="10"/>
  <c r="J25" i="10"/>
  <c r="O25" i="10" s="1"/>
  <c r="G26" i="10" s="1"/>
  <c r="I26" i="10" s="1"/>
  <c r="M26" i="10" s="1"/>
  <c r="N25" i="10"/>
  <c r="R47" i="12"/>
  <c r="I47" i="12" s="1"/>
  <c r="R48" i="10"/>
  <c r="H48" i="10" s="1"/>
  <c r="L21" i="12"/>
  <c r="S21" i="12" s="1"/>
  <c r="N20" i="12"/>
  <c r="H20" i="12"/>
  <c r="O20" i="12" s="1"/>
  <c r="G21" i="12" s="1"/>
  <c r="J21" i="12" s="1"/>
  <c r="K20" i="12"/>
  <c r="F21" i="12"/>
  <c r="R49" i="1"/>
  <c r="I49" i="1" s="1"/>
  <c r="N26" i="10" l="1"/>
  <c r="J26" i="10"/>
  <c r="O26" i="10" s="1"/>
  <c r="G27" i="10" s="1"/>
  <c r="I27" i="10" s="1"/>
  <c r="M27" i="10" s="1"/>
  <c r="F27" i="10"/>
  <c r="K26" i="10"/>
  <c r="R48" i="12"/>
  <c r="I48" i="12" s="1"/>
  <c r="R49" i="10"/>
  <c r="H49" i="10" s="1"/>
  <c r="M21" i="12"/>
  <c r="R50" i="1"/>
  <c r="I50" i="1" s="1"/>
  <c r="F28" i="10" l="1"/>
  <c r="K27" i="10"/>
  <c r="N27" i="10"/>
  <c r="J27" i="10"/>
  <c r="O27" i="10" s="1"/>
  <c r="G28" i="10" s="1"/>
  <c r="I28" i="10" s="1"/>
  <c r="M28" i="10" s="1"/>
  <c r="R49" i="12"/>
  <c r="I49" i="12" s="1"/>
  <c r="R50" i="10"/>
  <c r="H50" i="10" s="1"/>
  <c r="L22" i="12"/>
  <c r="S22" i="12" s="1"/>
  <c r="H21" i="12"/>
  <c r="O21" i="12" s="1"/>
  <c r="G22" i="12" s="1"/>
  <c r="J22" i="12" s="1"/>
  <c r="N21" i="12"/>
  <c r="F22" i="12"/>
  <c r="K21" i="12"/>
  <c r="R51" i="1"/>
  <c r="I51" i="1" s="1"/>
  <c r="J28" i="10" l="1"/>
  <c r="O28" i="10" s="1"/>
  <c r="G29" i="10" s="1"/>
  <c r="I29" i="10" s="1"/>
  <c r="M29" i="10" s="1"/>
  <c r="N28" i="10"/>
  <c r="F29" i="10"/>
  <c r="K28" i="10"/>
  <c r="R50" i="12"/>
  <c r="I50" i="12" s="1"/>
  <c r="R51" i="10"/>
  <c r="H51" i="10" s="1"/>
  <c r="M22" i="12"/>
  <c r="F23" i="12" s="1"/>
  <c r="R52" i="1"/>
  <c r="I52" i="1" s="1"/>
  <c r="F30" i="10" l="1"/>
  <c r="K29" i="10"/>
  <c r="N29" i="10"/>
  <c r="J29" i="10"/>
  <c r="O29" i="10" s="1"/>
  <c r="G30" i="10" s="1"/>
  <c r="I30" i="10" s="1"/>
  <c r="M30" i="10" s="1"/>
  <c r="R51" i="12"/>
  <c r="I51" i="12" s="1"/>
  <c r="R52" i="10"/>
  <c r="H52" i="10" s="1"/>
  <c r="L23" i="12"/>
  <c r="S23" i="12" s="1"/>
  <c r="H22" i="12"/>
  <c r="O22" i="12" s="1"/>
  <c r="G23" i="12" s="1"/>
  <c r="J23" i="12" s="1"/>
  <c r="N22" i="12"/>
  <c r="K22" i="12"/>
  <c r="R53" i="1"/>
  <c r="I53" i="1" s="1"/>
  <c r="J30" i="10" l="1"/>
  <c r="O30" i="10" s="1"/>
  <c r="G31" i="10" s="1"/>
  <c r="I31" i="10" s="1"/>
  <c r="M31" i="10" s="1"/>
  <c r="N30" i="10"/>
  <c r="K30" i="10"/>
  <c r="F31" i="10"/>
  <c r="R52" i="12"/>
  <c r="I52" i="12" s="1"/>
  <c r="R53" i="10"/>
  <c r="H53" i="10" s="1"/>
  <c r="M23" i="12"/>
  <c r="K23" i="12" s="1"/>
  <c r="R54" i="1"/>
  <c r="I54" i="1" s="1"/>
  <c r="F32" i="10" l="1"/>
  <c r="K31" i="10"/>
  <c r="N31" i="10"/>
  <c r="J31" i="10"/>
  <c r="O31" i="10" s="1"/>
  <c r="G32" i="10" s="1"/>
  <c r="I32" i="10" s="1"/>
  <c r="M32" i="10" s="1"/>
  <c r="R53" i="12"/>
  <c r="I53" i="12" s="1"/>
  <c r="R54" i="10"/>
  <c r="H54" i="10" s="1"/>
  <c r="L24" i="12"/>
  <c r="S24" i="12" s="1"/>
  <c r="H23" i="12"/>
  <c r="O23" i="12" s="1"/>
  <c r="G24" i="12" s="1"/>
  <c r="J24" i="12" s="1"/>
  <c r="N23" i="12"/>
  <c r="F24" i="12"/>
  <c r="R55" i="1"/>
  <c r="I55" i="1" s="1"/>
  <c r="N32" i="10" l="1"/>
  <c r="J32" i="10"/>
  <c r="O32" i="10" s="1"/>
  <c r="G33" i="10" s="1"/>
  <c r="I33" i="10" s="1"/>
  <c r="M33" i="10" s="1"/>
  <c r="F33" i="10"/>
  <c r="K32" i="10"/>
  <c r="R54" i="12"/>
  <c r="I54" i="12" s="1"/>
  <c r="R55" i="10"/>
  <c r="H55" i="10" s="1"/>
  <c r="M24" i="12"/>
  <c r="K24" i="12" s="1"/>
  <c r="R56" i="1"/>
  <c r="I56" i="1" s="1"/>
  <c r="J33" i="10" l="1"/>
  <c r="O33" i="10" s="1"/>
  <c r="G34" i="10" s="1"/>
  <c r="I34" i="10" s="1"/>
  <c r="M34" i="10" s="1"/>
  <c r="N33" i="10"/>
  <c r="F34" i="10"/>
  <c r="K33" i="10"/>
  <c r="R55" i="12"/>
  <c r="I55" i="12" s="1"/>
  <c r="R56" i="10"/>
  <c r="H56" i="10" s="1"/>
  <c r="L25" i="12"/>
  <c r="S25" i="12" s="1"/>
  <c r="N24" i="12"/>
  <c r="H24" i="12"/>
  <c r="O24" i="12" s="1"/>
  <c r="G25" i="12" s="1"/>
  <c r="J25" i="12" s="1"/>
  <c r="F25" i="12"/>
  <c r="R57" i="1"/>
  <c r="I57" i="1" s="1"/>
  <c r="F35" i="10" l="1"/>
  <c r="K34" i="10"/>
  <c r="N34" i="10"/>
  <c r="J34" i="10"/>
  <c r="O34" i="10" s="1"/>
  <c r="G35" i="10" s="1"/>
  <c r="I35" i="10" s="1"/>
  <c r="M35" i="10" s="1"/>
  <c r="R56" i="12"/>
  <c r="I56" i="12" s="1"/>
  <c r="R57" i="10"/>
  <c r="H57" i="10" s="1"/>
  <c r="M25" i="12"/>
  <c r="F26" i="12" s="1"/>
  <c r="R58" i="1"/>
  <c r="I58" i="1" s="1"/>
  <c r="N35" i="10" l="1"/>
  <c r="J35" i="10"/>
  <c r="O35" i="10" s="1"/>
  <c r="G36" i="10" s="1"/>
  <c r="I36" i="10" s="1"/>
  <c r="M36" i="10" s="1"/>
  <c r="F36" i="10"/>
  <c r="K35" i="10"/>
  <c r="R57" i="12"/>
  <c r="I57" i="12" s="1"/>
  <c r="R58" i="10"/>
  <c r="H58" i="10" s="1"/>
  <c r="L26" i="12"/>
  <c r="S26" i="12" s="1"/>
  <c r="H25" i="12"/>
  <c r="O25" i="12" s="1"/>
  <c r="G26" i="12" s="1"/>
  <c r="J26" i="12" s="1"/>
  <c r="N25" i="12"/>
  <c r="K25" i="12"/>
  <c r="R59" i="1"/>
  <c r="I59" i="1" s="1"/>
  <c r="J36" i="10" l="1"/>
  <c r="O36" i="10" s="1"/>
  <c r="G37" i="10" s="1"/>
  <c r="I37" i="10" s="1"/>
  <c r="M37" i="10" s="1"/>
  <c r="N36" i="10"/>
  <c r="F37" i="10"/>
  <c r="K36" i="10"/>
  <c r="R58" i="12"/>
  <c r="I58" i="12" s="1"/>
  <c r="R59" i="10"/>
  <c r="H59" i="10" s="1"/>
  <c r="M26" i="12"/>
  <c r="L27" i="12" s="1"/>
  <c r="S27" i="12" s="1"/>
  <c r="R60" i="1"/>
  <c r="I60" i="1" s="1"/>
  <c r="F38" i="10" l="1"/>
  <c r="K37" i="10"/>
  <c r="J37" i="10"/>
  <c r="O37" i="10" s="1"/>
  <c r="G38" i="10" s="1"/>
  <c r="I38" i="10" s="1"/>
  <c r="M38" i="10" s="1"/>
  <c r="N37" i="10"/>
  <c r="R59" i="12"/>
  <c r="I59" i="12" s="1"/>
  <c r="R60" i="10"/>
  <c r="H60" i="10" s="1"/>
  <c r="K26" i="12"/>
  <c r="H26" i="12"/>
  <c r="O26" i="12" s="1"/>
  <c r="G27" i="12" s="1"/>
  <c r="J27" i="12" s="1"/>
  <c r="N26" i="12"/>
  <c r="F27" i="12"/>
  <c r="R61" i="1"/>
  <c r="I61" i="1" s="1"/>
  <c r="N38" i="10" l="1"/>
  <c r="J38" i="10"/>
  <c r="O38" i="10" s="1"/>
  <c r="G39" i="10" s="1"/>
  <c r="I39" i="10" s="1"/>
  <c r="M39" i="10" s="1"/>
  <c r="K38" i="10"/>
  <c r="F39" i="10"/>
  <c r="R60" i="12"/>
  <c r="I60" i="12" s="1"/>
  <c r="R61" i="10"/>
  <c r="H61" i="10" s="1"/>
  <c r="M27" i="12"/>
  <c r="F28" i="12" s="1"/>
  <c r="R62" i="1"/>
  <c r="I62" i="1" s="1"/>
  <c r="N39" i="10" l="1"/>
  <c r="J39" i="10"/>
  <c r="O39" i="10" s="1"/>
  <c r="G40" i="10" s="1"/>
  <c r="I40" i="10" s="1"/>
  <c r="M40" i="10" s="1"/>
  <c r="K39" i="10"/>
  <c r="F40" i="10"/>
  <c r="R61" i="12"/>
  <c r="I61" i="12" s="1"/>
  <c r="R62" i="10"/>
  <c r="H62" i="10" s="1"/>
  <c r="L28" i="12"/>
  <c r="S28" i="12" s="1"/>
  <c r="H27" i="12"/>
  <c r="O27" i="12" s="1"/>
  <c r="G28" i="12" s="1"/>
  <c r="J28" i="12" s="1"/>
  <c r="N27" i="12"/>
  <c r="K27" i="12"/>
  <c r="R63" i="1"/>
  <c r="I63" i="1" s="1"/>
  <c r="N40" i="10" l="1"/>
  <c r="J40" i="10"/>
  <c r="O40" i="10" s="1"/>
  <c r="G41" i="10" s="1"/>
  <c r="I41" i="10" s="1"/>
  <c r="M41" i="10" s="1"/>
  <c r="K40" i="10"/>
  <c r="F41" i="10"/>
  <c r="R62" i="12"/>
  <c r="I62" i="12" s="1"/>
  <c r="R63" i="10"/>
  <c r="H63" i="10" s="1"/>
  <c r="M28" i="12"/>
  <c r="L29" i="12" s="1"/>
  <c r="S29" i="12" s="1"/>
  <c r="R64" i="1"/>
  <c r="I64" i="1" s="1"/>
  <c r="N41" i="10" l="1"/>
  <c r="J41" i="10"/>
  <c r="O41" i="10" s="1"/>
  <c r="G42" i="10" s="1"/>
  <c r="I42" i="10" s="1"/>
  <c r="M42" i="10" s="1"/>
  <c r="F42" i="10"/>
  <c r="K41" i="10"/>
  <c r="R63" i="12"/>
  <c r="I63" i="12" s="1"/>
  <c r="R64" i="10"/>
  <c r="H64" i="10" s="1"/>
  <c r="H28" i="12"/>
  <c r="O28" i="12" s="1"/>
  <c r="G29" i="12" s="1"/>
  <c r="J29" i="12" s="1"/>
  <c r="N28" i="12"/>
  <c r="F29" i="12"/>
  <c r="K28" i="12"/>
  <c r="R65" i="1"/>
  <c r="I65" i="1" s="1"/>
  <c r="K42" i="10" l="1"/>
  <c r="F43" i="10"/>
  <c r="N42" i="10"/>
  <c r="J42" i="10"/>
  <c r="O42" i="10" s="1"/>
  <c r="G43" i="10" s="1"/>
  <c r="I43" i="10" s="1"/>
  <c r="M43" i="10" s="1"/>
  <c r="R64" i="12"/>
  <c r="I64" i="12" s="1"/>
  <c r="R65" i="10"/>
  <c r="H65" i="10" s="1"/>
  <c r="M29" i="12"/>
  <c r="L30" i="12" s="1"/>
  <c r="S30" i="12" s="1"/>
  <c r="R66" i="1"/>
  <c r="I66" i="1" s="1"/>
  <c r="N43" i="10" l="1"/>
  <c r="J43" i="10"/>
  <c r="O43" i="10" s="1"/>
  <c r="G44" i="10" s="1"/>
  <c r="I44" i="10" s="1"/>
  <c r="M44" i="10" s="1"/>
  <c r="F44" i="10"/>
  <c r="K43" i="10"/>
  <c r="R65" i="12"/>
  <c r="I65" i="12" s="1"/>
  <c r="R66" i="10"/>
  <c r="H66" i="10" s="1"/>
  <c r="H29" i="12"/>
  <c r="O29" i="12" s="1"/>
  <c r="G30" i="12" s="1"/>
  <c r="J30" i="12" s="1"/>
  <c r="N29" i="12"/>
  <c r="F30" i="12"/>
  <c r="K29" i="12"/>
  <c r="R67" i="1"/>
  <c r="I67" i="1" s="1"/>
  <c r="J44" i="10" l="1"/>
  <c r="O44" i="10" s="1"/>
  <c r="G45" i="10" s="1"/>
  <c r="I45" i="10" s="1"/>
  <c r="M45" i="10" s="1"/>
  <c r="N44" i="10"/>
  <c r="F45" i="10"/>
  <c r="K44" i="10"/>
  <c r="R66" i="12"/>
  <c r="I66" i="12" s="1"/>
  <c r="R67" i="10"/>
  <c r="H67" i="10" s="1"/>
  <c r="M30" i="12"/>
  <c r="L31" i="12" s="1"/>
  <c r="S31" i="12" s="1"/>
  <c r="R68" i="1"/>
  <c r="I68" i="1" s="1"/>
  <c r="F46" i="10" l="1"/>
  <c r="K45" i="10"/>
  <c r="N45" i="10"/>
  <c r="J45" i="10"/>
  <c r="O45" i="10" s="1"/>
  <c r="G46" i="10" s="1"/>
  <c r="I46" i="10" s="1"/>
  <c r="M46" i="10" s="1"/>
  <c r="R67" i="12"/>
  <c r="I67" i="12" s="1"/>
  <c r="R68" i="10"/>
  <c r="H68" i="10" s="1"/>
  <c r="N30" i="12"/>
  <c r="H30" i="12"/>
  <c r="O30" i="12" s="1"/>
  <c r="G31" i="12" s="1"/>
  <c r="J31" i="12" s="1"/>
  <c r="F31" i="12"/>
  <c r="K30" i="12"/>
  <c r="R69" i="1"/>
  <c r="I69" i="1" s="1"/>
  <c r="J46" i="10" l="1"/>
  <c r="O46" i="10" s="1"/>
  <c r="G47" i="10" s="1"/>
  <c r="I47" i="10" s="1"/>
  <c r="M47" i="10" s="1"/>
  <c r="N46" i="10"/>
  <c r="F47" i="10"/>
  <c r="K46" i="10"/>
  <c r="R68" i="12"/>
  <c r="I68" i="12" s="1"/>
  <c r="R69" i="10"/>
  <c r="H69" i="10" s="1"/>
  <c r="M31" i="12"/>
  <c r="K31" i="12" s="1"/>
  <c r="R70" i="1"/>
  <c r="I70" i="1" s="1"/>
  <c r="F48" i="10" l="1"/>
  <c r="K47" i="10"/>
  <c r="N47" i="10"/>
  <c r="J47" i="10"/>
  <c r="O47" i="10" s="1"/>
  <c r="G48" i="10" s="1"/>
  <c r="I48" i="10" s="1"/>
  <c r="M48" i="10" s="1"/>
  <c r="R69" i="12"/>
  <c r="I69" i="12" s="1"/>
  <c r="R70" i="10"/>
  <c r="H70" i="10" s="1"/>
  <c r="L32" i="12"/>
  <c r="S32" i="12" s="1"/>
  <c r="N31" i="12"/>
  <c r="H31" i="12"/>
  <c r="O31" i="12" s="1"/>
  <c r="G32" i="12" s="1"/>
  <c r="J32" i="12" s="1"/>
  <c r="F32" i="12"/>
  <c r="R71" i="1"/>
  <c r="I71" i="1" s="1"/>
  <c r="N48" i="10" l="1"/>
  <c r="J48" i="10"/>
  <c r="O48" i="10" s="1"/>
  <c r="G49" i="10" s="1"/>
  <c r="I49" i="10" s="1"/>
  <c r="M49" i="10" s="1"/>
  <c r="F49" i="10"/>
  <c r="K48" i="10"/>
  <c r="R70" i="12"/>
  <c r="I70" i="12" s="1"/>
  <c r="R71" i="10"/>
  <c r="H71" i="10" s="1"/>
  <c r="M32" i="12"/>
  <c r="F33" i="12" s="1"/>
  <c r="R72" i="1"/>
  <c r="I72" i="1" s="1"/>
  <c r="N49" i="10" l="1"/>
  <c r="J49" i="10"/>
  <c r="O49" i="10" s="1"/>
  <c r="G50" i="10" s="1"/>
  <c r="I50" i="10" s="1"/>
  <c r="M50" i="10" s="1"/>
  <c r="F50" i="10"/>
  <c r="K49" i="10"/>
  <c r="R71" i="12"/>
  <c r="I71" i="12" s="1"/>
  <c r="R72" i="10"/>
  <c r="H72" i="10" s="1"/>
  <c r="K32" i="12"/>
  <c r="L33" i="12"/>
  <c r="S33" i="12" s="1"/>
  <c r="H32" i="12"/>
  <c r="O32" i="12" s="1"/>
  <c r="G33" i="12" s="1"/>
  <c r="J33" i="12" s="1"/>
  <c r="N32" i="12"/>
  <c r="R73" i="1"/>
  <c r="I73" i="1" s="1"/>
  <c r="J50" i="10" l="1"/>
  <c r="O50" i="10" s="1"/>
  <c r="G51" i="10" s="1"/>
  <c r="I51" i="10" s="1"/>
  <c r="M51" i="10" s="1"/>
  <c r="N50" i="10"/>
  <c r="F51" i="10"/>
  <c r="K50" i="10"/>
  <c r="R72" i="12"/>
  <c r="I72" i="12" s="1"/>
  <c r="R73" i="10"/>
  <c r="H73" i="10" s="1"/>
  <c r="M33" i="12"/>
  <c r="K33" i="12" s="1"/>
  <c r="R74" i="1"/>
  <c r="I74" i="1" s="1"/>
  <c r="F52" i="10" l="1"/>
  <c r="K51" i="10"/>
  <c r="J51" i="10"/>
  <c r="O51" i="10" s="1"/>
  <c r="G52" i="10" s="1"/>
  <c r="I52" i="10" s="1"/>
  <c r="M52" i="10" s="1"/>
  <c r="N51" i="10"/>
  <c r="R73" i="12"/>
  <c r="I73" i="12" s="1"/>
  <c r="R74" i="10"/>
  <c r="H74" i="10" s="1"/>
  <c r="L34" i="12"/>
  <c r="S34" i="12" s="1"/>
  <c r="H33" i="12"/>
  <c r="O33" i="12" s="1"/>
  <c r="G34" i="12" s="1"/>
  <c r="J34" i="12" s="1"/>
  <c r="N33" i="12"/>
  <c r="F34" i="12"/>
  <c r="R75" i="1"/>
  <c r="I75" i="1" s="1"/>
  <c r="J52" i="10" l="1"/>
  <c r="O52" i="10" s="1"/>
  <c r="G53" i="10" s="1"/>
  <c r="I53" i="10" s="1"/>
  <c r="M53" i="10" s="1"/>
  <c r="N52" i="10"/>
  <c r="F53" i="10"/>
  <c r="K52" i="10"/>
  <c r="R74" i="12"/>
  <c r="I74" i="12" s="1"/>
  <c r="R75" i="10"/>
  <c r="H75" i="10" s="1"/>
  <c r="M34" i="12"/>
  <c r="L35" i="12" s="1"/>
  <c r="S35" i="12" s="1"/>
  <c r="R76" i="1"/>
  <c r="I76" i="1" s="1"/>
  <c r="K53" i="10" l="1"/>
  <c r="F54" i="10"/>
  <c r="N53" i="10"/>
  <c r="J53" i="10"/>
  <c r="O53" i="10" s="1"/>
  <c r="G54" i="10" s="1"/>
  <c r="I54" i="10" s="1"/>
  <c r="M54" i="10" s="1"/>
  <c r="R75" i="12"/>
  <c r="I75" i="12" s="1"/>
  <c r="R76" i="10"/>
  <c r="H76" i="10" s="1"/>
  <c r="N34" i="12"/>
  <c r="H34" i="12"/>
  <c r="O34" i="12" s="1"/>
  <c r="G35" i="12" s="1"/>
  <c r="J35" i="12" s="1"/>
  <c r="K34" i="12"/>
  <c r="F35" i="12"/>
  <c r="R77" i="1"/>
  <c r="I77" i="1" s="1"/>
  <c r="F55" i="10" l="1"/>
  <c r="K54" i="10"/>
  <c r="N54" i="10"/>
  <c r="J54" i="10"/>
  <c r="O54" i="10" s="1"/>
  <c r="G55" i="10" s="1"/>
  <c r="I55" i="10" s="1"/>
  <c r="M55" i="10" s="1"/>
  <c r="R76" i="12"/>
  <c r="I76" i="12" s="1"/>
  <c r="R77" i="10"/>
  <c r="H77" i="10" s="1"/>
  <c r="M35" i="12"/>
  <c r="R78" i="1"/>
  <c r="I78" i="1" s="1"/>
  <c r="J55" i="10" l="1"/>
  <c r="O55" i="10" s="1"/>
  <c r="G56" i="10" s="1"/>
  <c r="I56" i="10" s="1"/>
  <c r="M56" i="10" s="1"/>
  <c r="N55" i="10"/>
  <c r="K55" i="10"/>
  <c r="F56" i="10"/>
  <c r="R77" i="12"/>
  <c r="I77" i="12" s="1"/>
  <c r="R78" i="10"/>
  <c r="H78" i="10" s="1"/>
  <c r="L36" i="12"/>
  <c r="S36" i="12" s="1"/>
  <c r="N35" i="12"/>
  <c r="H35" i="12"/>
  <c r="O35" i="12" s="1"/>
  <c r="G36" i="12" s="1"/>
  <c r="J36" i="12" s="1"/>
  <c r="K35" i="12"/>
  <c r="F36" i="12"/>
  <c r="R79" i="1"/>
  <c r="I79" i="1" s="1"/>
  <c r="F57" i="10" l="1"/>
  <c r="K56" i="10"/>
  <c r="J56" i="10"/>
  <c r="O56" i="10" s="1"/>
  <c r="G57" i="10" s="1"/>
  <c r="I57" i="10" s="1"/>
  <c r="M57" i="10" s="1"/>
  <c r="N56" i="10"/>
  <c r="R78" i="12"/>
  <c r="I78" i="12" s="1"/>
  <c r="R79" i="10"/>
  <c r="H79" i="10" s="1"/>
  <c r="M36" i="12"/>
  <c r="F37" i="12" s="1"/>
  <c r="R80" i="1"/>
  <c r="I80" i="1" s="1"/>
  <c r="N57" i="10" l="1"/>
  <c r="J57" i="10"/>
  <c r="O57" i="10" s="1"/>
  <c r="G58" i="10" s="1"/>
  <c r="I58" i="10" s="1"/>
  <c r="M58" i="10" s="1"/>
  <c r="F58" i="10"/>
  <c r="K57" i="10"/>
  <c r="R79" i="12"/>
  <c r="I79" i="12" s="1"/>
  <c r="R80" i="10"/>
  <c r="H80" i="10" s="1"/>
  <c r="L37" i="12"/>
  <c r="S37" i="12" s="1"/>
  <c r="H36" i="12"/>
  <c r="O36" i="12" s="1"/>
  <c r="G37" i="12" s="1"/>
  <c r="J37" i="12" s="1"/>
  <c r="N36" i="12"/>
  <c r="K36" i="12"/>
  <c r="R81" i="1"/>
  <c r="I81" i="1" s="1"/>
  <c r="F59" i="10" l="1"/>
  <c r="K58" i="10"/>
  <c r="N58" i="10"/>
  <c r="J58" i="10"/>
  <c r="O58" i="10" s="1"/>
  <c r="G59" i="10" s="1"/>
  <c r="I59" i="10" s="1"/>
  <c r="M59" i="10" s="1"/>
  <c r="R80" i="12"/>
  <c r="I80" i="12" s="1"/>
  <c r="R81" i="10"/>
  <c r="H81" i="10" s="1"/>
  <c r="M37" i="12"/>
  <c r="L38" i="12" s="1"/>
  <c r="S38" i="12" s="1"/>
  <c r="R82" i="1"/>
  <c r="I82" i="1" s="1"/>
  <c r="N59" i="10" l="1"/>
  <c r="J59" i="10"/>
  <c r="O59" i="10" s="1"/>
  <c r="G60" i="10" s="1"/>
  <c r="I60" i="10" s="1"/>
  <c r="M60" i="10" s="1"/>
  <c r="K59" i="10"/>
  <c r="F60" i="10"/>
  <c r="R81" i="12"/>
  <c r="I81" i="12" s="1"/>
  <c r="R82" i="10"/>
  <c r="H82" i="10" s="1"/>
  <c r="K37" i="12"/>
  <c r="N37" i="12"/>
  <c r="H37" i="12"/>
  <c r="O37" i="12" s="1"/>
  <c r="G38" i="12" s="1"/>
  <c r="J38" i="12" s="1"/>
  <c r="F38" i="12"/>
  <c r="R83" i="1"/>
  <c r="I83" i="1" s="1"/>
  <c r="N60" i="10" l="1"/>
  <c r="J60" i="10"/>
  <c r="O60" i="10" s="1"/>
  <c r="G61" i="10" s="1"/>
  <c r="I61" i="10" s="1"/>
  <c r="M61" i="10" s="1"/>
  <c r="K60" i="10"/>
  <c r="F61" i="10"/>
  <c r="R82" i="12"/>
  <c r="I82" i="12" s="1"/>
  <c r="R83" i="10"/>
  <c r="H83" i="10" s="1"/>
  <c r="M38" i="12"/>
  <c r="K38" i="12" s="1"/>
  <c r="R84" i="1"/>
  <c r="I84" i="1" s="1"/>
  <c r="N61" i="10" l="1"/>
  <c r="J61" i="10"/>
  <c r="O61" i="10" s="1"/>
  <c r="G62" i="10" s="1"/>
  <c r="I62" i="10" s="1"/>
  <c r="M62" i="10" s="1"/>
  <c r="K61" i="10"/>
  <c r="F62" i="10"/>
  <c r="R83" i="12"/>
  <c r="I83" i="12" s="1"/>
  <c r="R84" i="10"/>
  <c r="H84" i="10" s="1"/>
  <c r="L39" i="12"/>
  <c r="S39" i="12" s="1"/>
  <c r="H38" i="12"/>
  <c r="O38" i="12" s="1"/>
  <c r="G39" i="12" s="1"/>
  <c r="J39" i="12" s="1"/>
  <c r="N38" i="12"/>
  <c r="F39" i="12"/>
  <c r="R85" i="1"/>
  <c r="I85" i="1" s="1"/>
  <c r="N62" i="10" l="1"/>
  <c r="J62" i="10"/>
  <c r="O62" i="10" s="1"/>
  <c r="G63" i="10" s="1"/>
  <c r="I63" i="10" s="1"/>
  <c r="M63" i="10" s="1"/>
  <c r="K62" i="10"/>
  <c r="F63" i="10"/>
  <c r="R84" i="12"/>
  <c r="I84" i="12" s="1"/>
  <c r="R85" i="10"/>
  <c r="H85" i="10" s="1"/>
  <c r="M39" i="12"/>
  <c r="L40" i="12" s="1"/>
  <c r="S40" i="12" s="1"/>
  <c r="R86" i="1"/>
  <c r="I86" i="1" s="1"/>
  <c r="J63" i="10" l="1"/>
  <c r="O63" i="10" s="1"/>
  <c r="G64" i="10" s="1"/>
  <c r="I64" i="10" s="1"/>
  <c r="M64" i="10" s="1"/>
  <c r="N63" i="10"/>
  <c r="K63" i="10"/>
  <c r="F64" i="10"/>
  <c r="R85" i="12"/>
  <c r="I85" i="12" s="1"/>
  <c r="R86" i="10"/>
  <c r="H86" i="10" s="1"/>
  <c r="H39" i="12"/>
  <c r="O39" i="12" s="1"/>
  <c r="G40" i="12" s="1"/>
  <c r="J40" i="12" s="1"/>
  <c r="N39" i="12"/>
  <c r="F40" i="12"/>
  <c r="K39" i="12"/>
  <c r="R87" i="1"/>
  <c r="I87" i="1" s="1"/>
  <c r="F65" i="10" l="1"/>
  <c r="K64" i="10"/>
  <c r="J64" i="10"/>
  <c r="O64" i="10" s="1"/>
  <c r="G65" i="10" s="1"/>
  <c r="I65" i="10" s="1"/>
  <c r="M65" i="10" s="1"/>
  <c r="N64" i="10"/>
  <c r="R86" i="12"/>
  <c r="I86" i="12" s="1"/>
  <c r="R87" i="10"/>
  <c r="H87" i="10" s="1"/>
  <c r="M40" i="12"/>
  <c r="L41" i="12" s="1"/>
  <c r="S41" i="12" s="1"/>
  <c r="R88" i="1"/>
  <c r="I88" i="1" s="1"/>
  <c r="N65" i="10" l="1"/>
  <c r="J65" i="10"/>
  <c r="O65" i="10" s="1"/>
  <c r="G66" i="10" s="1"/>
  <c r="I66" i="10" s="1"/>
  <c r="M66" i="10" s="1"/>
  <c r="K65" i="10"/>
  <c r="F66" i="10"/>
  <c r="R87" i="12"/>
  <c r="I87" i="12" s="1"/>
  <c r="R88" i="10"/>
  <c r="H88" i="10" s="1"/>
  <c r="N40" i="12"/>
  <c r="H40" i="12"/>
  <c r="O40" i="12" s="1"/>
  <c r="G41" i="12" s="1"/>
  <c r="J41" i="12" s="1"/>
  <c r="F41" i="12"/>
  <c r="K40" i="12"/>
  <c r="R89" i="1"/>
  <c r="I89" i="1" s="1"/>
  <c r="N66" i="10" l="1"/>
  <c r="J66" i="10"/>
  <c r="O66" i="10" s="1"/>
  <c r="G67" i="10" s="1"/>
  <c r="I67" i="10" s="1"/>
  <c r="M67" i="10" s="1"/>
  <c r="K66" i="10"/>
  <c r="F67" i="10"/>
  <c r="R88" i="12"/>
  <c r="I88" i="12" s="1"/>
  <c r="R89" i="10"/>
  <c r="H89" i="10" s="1"/>
  <c r="M41" i="12"/>
  <c r="K41" i="12" s="1"/>
  <c r="R90" i="1"/>
  <c r="I90" i="1" s="1"/>
  <c r="N67" i="10" l="1"/>
  <c r="J67" i="10"/>
  <c r="O67" i="10" s="1"/>
  <c r="G68" i="10" s="1"/>
  <c r="I68" i="10" s="1"/>
  <c r="M68" i="10" s="1"/>
  <c r="K67" i="10"/>
  <c r="F68" i="10"/>
  <c r="R89" i="12"/>
  <c r="I89" i="12" s="1"/>
  <c r="R90" i="10"/>
  <c r="H90" i="10" s="1"/>
  <c r="L42" i="12"/>
  <c r="S42" i="12" s="1"/>
  <c r="H41" i="12"/>
  <c r="O41" i="12" s="1"/>
  <c r="G42" i="12" s="1"/>
  <c r="J42" i="12" s="1"/>
  <c r="N41" i="12"/>
  <c r="F42" i="12"/>
  <c r="R91" i="1"/>
  <c r="I91" i="1" s="1"/>
  <c r="N68" i="10" l="1"/>
  <c r="J68" i="10"/>
  <c r="O68" i="10" s="1"/>
  <c r="G69" i="10" s="1"/>
  <c r="I69" i="10" s="1"/>
  <c r="M69" i="10" s="1"/>
  <c r="F69" i="10"/>
  <c r="K68" i="10"/>
  <c r="R90" i="12"/>
  <c r="I90" i="12" s="1"/>
  <c r="R91" i="10"/>
  <c r="H91" i="10" s="1"/>
  <c r="M42" i="12"/>
  <c r="L43" i="12" s="1"/>
  <c r="S43" i="12" s="1"/>
  <c r="R92" i="1"/>
  <c r="I92" i="1" s="1"/>
  <c r="N69" i="10" l="1"/>
  <c r="J69" i="10"/>
  <c r="O69" i="10" s="1"/>
  <c r="G70" i="10" s="1"/>
  <c r="I70" i="10" s="1"/>
  <c r="M70" i="10" s="1"/>
  <c r="F70" i="10"/>
  <c r="K69" i="10"/>
  <c r="R91" i="12"/>
  <c r="I91" i="12" s="1"/>
  <c r="R92" i="10"/>
  <c r="H92" i="10" s="1"/>
  <c r="H42" i="12"/>
  <c r="O42" i="12" s="1"/>
  <c r="G43" i="12" s="1"/>
  <c r="J43" i="12" s="1"/>
  <c r="N42" i="12"/>
  <c r="F43" i="12"/>
  <c r="K42" i="12"/>
  <c r="R93" i="1"/>
  <c r="I93" i="1" s="1"/>
  <c r="J70" i="10" l="1"/>
  <c r="O70" i="10" s="1"/>
  <c r="G71" i="10" s="1"/>
  <c r="I71" i="10" s="1"/>
  <c r="M71" i="10" s="1"/>
  <c r="N70" i="10"/>
  <c r="F71" i="10"/>
  <c r="K70" i="10"/>
  <c r="R92" i="12"/>
  <c r="I92" i="12" s="1"/>
  <c r="R93" i="10"/>
  <c r="H93" i="10" s="1"/>
  <c r="M43" i="12"/>
  <c r="L44" i="12" s="1"/>
  <c r="S44" i="12" s="1"/>
  <c r="R94" i="1"/>
  <c r="I94" i="1" s="1"/>
  <c r="K71" i="10" l="1"/>
  <c r="F72" i="10"/>
  <c r="N71" i="10"/>
  <c r="J71" i="10"/>
  <c r="O71" i="10" s="1"/>
  <c r="G72" i="10" s="1"/>
  <c r="I72" i="10" s="1"/>
  <c r="M72" i="10" s="1"/>
  <c r="R93" i="12"/>
  <c r="I93" i="12" s="1"/>
  <c r="R94" i="10"/>
  <c r="H94" i="10" s="1"/>
  <c r="H43" i="12"/>
  <c r="O43" i="12" s="1"/>
  <c r="G44" i="12" s="1"/>
  <c r="J44" i="12" s="1"/>
  <c r="N43" i="12"/>
  <c r="F44" i="12"/>
  <c r="K43" i="12"/>
  <c r="R95" i="1"/>
  <c r="I95" i="1" s="1"/>
  <c r="N72" i="10" l="1"/>
  <c r="J72" i="10"/>
  <c r="O72" i="10" s="1"/>
  <c r="G73" i="10" s="1"/>
  <c r="I73" i="10" s="1"/>
  <c r="M73" i="10" s="1"/>
  <c r="K72" i="10"/>
  <c r="F73" i="10"/>
  <c r="R94" i="12"/>
  <c r="I94" i="12" s="1"/>
  <c r="R95" i="10"/>
  <c r="H95" i="10" s="1"/>
  <c r="M44" i="12"/>
  <c r="L45" i="12" s="1"/>
  <c r="S45" i="12" s="1"/>
  <c r="R96" i="1"/>
  <c r="I96" i="1" s="1"/>
  <c r="K73" i="10" l="1"/>
  <c r="F74" i="10"/>
  <c r="N73" i="10"/>
  <c r="J73" i="10"/>
  <c r="O73" i="10" s="1"/>
  <c r="G74" i="10" s="1"/>
  <c r="I74" i="10" s="1"/>
  <c r="M74" i="10" s="1"/>
  <c r="R95" i="12"/>
  <c r="I95" i="12" s="1"/>
  <c r="R96" i="10"/>
  <c r="H96" i="10" s="1"/>
  <c r="N44" i="12"/>
  <c r="H44" i="12"/>
  <c r="O44" i="12" s="1"/>
  <c r="G45" i="12" s="1"/>
  <c r="J45" i="12" s="1"/>
  <c r="K44" i="12"/>
  <c r="F45" i="12"/>
  <c r="R97" i="1"/>
  <c r="I97" i="1" s="1"/>
  <c r="F75" i="10" l="1"/>
  <c r="K74" i="10"/>
  <c r="N74" i="10"/>
  <c r="J74" i="10"/>
  <c r="O74" i="10" s="1"/>
  <c r="G75" i="10" s="1"/>
  <c r="I75" i="10" s="1"/>
  <c r="M75" i="10" s="1"/>
  <c r="R96" i="12"/>
  <c r="I96" i="12" s="1"/>
  <c r="R97" i="10"/>
  <c r="H97" i="10" s="1"/>
  <c r="M45" i="12"/>
  <c r="K45" i="12" s="1"/>
  <c r="R98" i="1"/>
  <c r="I98" i="1" s="1"/>
  <c r="N75" i="10" l="1"/>
  <c r="J75" i="10"/>
  <c r="O75" i="10" s="1"/>
  <c r="G76" i="10" s="1"/>
  <c r="I76" i="10" s="1"/>
  <c r="M76" i="10" s="1"/>
  <c r="F76" i="10"/>
  <c r="K75" i="10"/>
  <c r="R97" i="12"/>
  <c r="I97" i="12" s="1"/>
  <c r="R98" i="10"/>
  <c r="H98" i="10" s="1"/>
  <c r="L46" i="12"/>
  <c r="S46" i="12" s="1"/>
  <c r="N45" i="12"/>
  <c r="H45" i="12"/>
  <c r="O45" i="12" s="1"/>
  <c r="G46" i="12" s="1"/>
  <c r="J46" i="12" s="1"/>
  <c r="F46" i="12"/>
  <c r="Q102" i="1"/>
  <c r="R99" i="1"/>
  <c r="I99" i="1" s="1"/>
  <c r="N76" i="10" l="1"/>
  <c r="J76" i="10"/>
  <c r="O76" i="10" s="1"/>
  <c r="G77" i="10" s="1"/>
  <c r="I77" i="10" s="1"/>
  <c r="M77" i="10" s="1"/>
  <c r="F77" i="10"/>
  <c r="K76" i="10"/>
  <c r="R98" i="12"/>
  <c r="I98" i="12" s="1"/>
  <c r="R99" i="10"/>
  <c r="H99" i="10" s="1"/>
  <c r="M46" i="12"/>
  <c r="F47" i="12" s="1"/>
  <c r="R100" i="1"/>
  <c r="I100" i="1" s="1"/>
  <c r="R100" i="10" l="1"/>
  <c r="Q102" i="10"/>
  <c r="N77" i="10"/>
  <c r="J77" i="10"/>
  <c r="O77" i="10" s="1"/>
  <c r="G78" i="10" s="1"/>
  <c r="I78" i="10" s="1"/>
  <c r="M78" i="10" s="1"/>
  <c r="K77" i="10"/>
  <c r="F78" i="10"/>
  <c r="R100" i="12"/>
  <c r="R99" i="12"/>
  <c r="I99" i="12" s="1"/>
  <c r="R102" i="1"/>
  <c r="I102" i="1"/>
  <c r="L47" i="12"/>
  <c r="S47" i="12" s="1"/>
  <c r="N46" i="12"/>
  <c r="H46" i="12"/>
  <c r="O46" i="12" s="1"/>
  <c r="G47" i="12" s="1"/>
  <c r="J47" i="12" s="1"/>
  <c r="K46" i="12"/>
  <c r="F3" i="1"/>
  <c r="G3" i="1"/>
  <c r="J3" i="1" s="1"/>
  <c r="M3" i="1" s="1"/>
  <c r="H3" i="1" l="1"/>
  <c r="K78" i="10"/>
  <c r="F79" i="10"/>
  <c r="N78" i="10"/>
  <c r="J78" i="10"/>
  <c r="O78" i="10" s="1"/>
  <c r="G79" i="10" s="1"/>
  <c r="I79" i="10" s="1"/>
  <c r="M79" i="10" s="1"/>
  <c r="H100" i="10"/>
  <c r="H102" i="10" s="1"/>
  <c r="R102" i="10"/>
  <c r="M47" i="12"/>
  <c r="L48" i="12" s="1"/>
  <c r="S48" i="12" s="1"/>
  <c r="Q102" i="12"/>
  <c r="N3" i="1"/>
  <c r="K79" i="10" l="1"/>
  <c r="F80" i="10"/>
  <c r="J79" i="10"/>
  <c r="O79" i="10" s="1"/>
  <c r="G80" i="10" s="1"/>
  <c r="I80" i="10" s="1"/>
  <c r="M80" i="10" s="1"/>
  <c r="N79" i="10"/>
  <c r="R102" i="12"/>
  <c r="I100" i="12"/>
  <c r="I102" i="12" s="1"/>
  <c r="N47" i="12"/>
  <c r="H47" i="12"/>
  <c r="O47" i="12" s="1"/>
  <c r="G48" i="12" s="1"/>
  <c r="J48" i="12" s="1"/>
  <c r="F48" i="12"/>
  <c r="K47" i="12"/>
  <c r="C23" i="1"/>
  <c r="B23" i="1"/>
  <c r="B27" i="1"/>
  <c r="B26" i="1"/>
  <c r="C27" i="1"/>
  <c r="C26" i="1"/>
  <c r="F81" i="10" l="1"/>
  <c r="K80" i="10"/>
  <c r="N80" i="10"/>
  <c r="J80" i="10"/>
  <c r="O80" i="10" s="1"/>
  <c r="G81" i="10" s="1"/>
  <c r="I81" i="10" s="1"/>
  <c r="M81" i="10" s="1"/>
  <c r="C22" i="10"/>
  <c r="C22" i="12"/>
  <c r="B22" i="10"/>
  <c r="B22" i="12"/>
  <c r="M48" i="12"/>
  <c r="K48" i="12" s="1"/>
  <c r="B22" i="1"/>
  <c r="C22" i="1"/>
  <c r="B31" i="1"/>
  <c r="B30" i="1"/>
  <c r="F4" i="1"/>
  <c r="O3" i="1"/>
  <c r="G4" i="1" s="1"/>
  <c r="L4" i="1" s="1"/>
  <c r="S4" i="1" l="1"/>
  <c r="N81" i="10"/>
  <c r="J81" i="10"/>
  <c r="O81" i="10" s="1"/>
  <c r="G82" i="10" s="1"/>
  <c r="I82" i="10" s="1"/>
  <c r="M82" i="10" s="1"/>
  <c r="K81" i="10"/>
  <c r="F82" i="10"/>
  <c r="M4" i="1"/>
  <c r="J4" i="1"/>
  <c r="L49" i="12"/>
  <c r="S49" i="12" s="1"/>
  <c r="H48" i="12"/>
  <c r="O48" i="12" s="1"/>
  <c r="G49" i="12" s="1"/>
  <c r="J49" i="12" s="1"/>
  <c r="N48" i="12"/>
  <c r="F49" i="12"/>
  <c r="H4" i="1" l="1"/>
  <c r="O4" i="1" s="1"/>
  <c r="F5" i="1"/>
  <c r="F83" i="10"/>
  <c r="K82" i="10"/>
  <c r="N82" i="10"/>
  <c r="J82" i="10"/>
  <c r="O82" i="10" s="1"/>
  <c r="G83" i="10" s="1"/>
  <c r="I83" i="10" s="1"/>
  <c r="M83" i="10" s="1"/>
  <c r="N4" i="1"/>
  <c r="M49" i="12"/>
  <c r="F50" i="12" s="1"/>
  <c r="N83" i="10" l="1"/>
  <c r="J83" i="10"/>
  <c r="O83" i="10" s="1"/>
  <c r="G84" i="10" s="1"/>
  <c r="I84" i="10" s="1"/>
  <c r="M84" i="10" s="1"/>
  <c r="F84" i="10"/>
  <c r="K83" i="10"/>
  <c r="L50" i="12"/>
  <c r="S50" i="12" s="1"/>
  <c r="H49" i="12"/>
  <c r="O49" i="12" s="1"/>
  <c r="G50" i="12" s="1"/>
  <c r="J50" i="12" s="1"/>
  <c r="N49" i="12"/>
  <c r="K49" i="12"/>
  <c r="G5" i="1"/>
  <c r="L5" i="1" l="1"/>
  <c r="S5" i="1" s="1"/>
  <c r="J5" i="1"/>
  <c r="N84" i="10"/>
  <c r="J84" i="10"/>
  <c r="O84" i="10" s="1"/>
  <c r="G85" i="10" s="1"/>
  <c r="I85" i="10" s="1"/>
  <c r="M85" i="10" s="1"/>
  <c r="K84" i="10"/>
  <c r="F85" i="10"/>
  <c r="M5" i="1"/>
  <c r="M50" i="12"/>
  <c r="H5" i="1" l="1"/>
  <c r="F86" i="10"/>
  <c r="K85" i="10"/>
  <c r="J85" i="10"/>
  <c r="O85" i="10" s="1"/>
  <c r="G86" i="10" s="1"/>
  <c r="I86" i="10" s="1"/>
  <c r="M86" i="10" s="1"/>
  <c r="N85" i="10"/>
  <c r="N5" i="1"/>
  <c r="L51" i="12"/>
  <c r="S51" i="12" s="1"/>
  <c r="H50" i="12"/>
  <c r="O50" i="12" s="1"/>
  <c r="G51" i="12" s="1"/>
  <c r="J51" i="12" s="1"/>
  <c r="N50" i="12"/>
  <c r="F51" i="12"/>
  <c r="K50" i="12"/>
  <c r="F6" i="1"/>
  <c r="J86" i="10" l="1"/>
  <c r="O86" i="10" s="1"/>
  <c r="G87" i="10" s="1"/>
  <c r="I87" i="10" s="1"/>
  <c r="M87" i="10" s="1"/>
  <c r="N86" i="10"/>
  <c r="F87" i="10"/>
  <c r="K86" i="10"/>
  <c r="M51" i="12"/>
  <c r="K51" i="12" s="1"/>
  <c r="O5" i="1"/>
  <c r="G6" i="1" s="1"/>
  <c r="L6" i="1" l="1"/>
  <c r="S6" i="1" s="1"/>
  <c r="F88" i="10"/>
  <c r="K87" i="10"/>
  <c r="N87" i="10"/>
  <c r="J87" i="10"/>
  <c r="O87" i="10" s="1"/>
  <c r="G88" i="10" s="1"/>
  <c r="I88" i="10" s="1"/>
  <c r="M88" i="10" s="1"/>
  <c r="M6" i="1"/>
  <c r="J6" i="1"/>
  <c r="L52" i="12"/>
  <c r="S52" i="12" s="1"/>
  <c r="N51" i="12"/>
  <c r="H51" i="12"/>
  <c r="O51" i="12" s="1"/>
  <c r="G52" i="12" s="1"/>
  <c r="J52" i="12" s="1"/>
  <c r="F52" i="12"/>
  <c r="H6" i="1" l="1"/>
  <c r="O6" i="1" s="1"/>
  <c r="N88" i="10"/>
  <c r="J88" i="10"/>
  <c r="O88" i="10" s="1"/>
  <c r="G89" i="10" s="1"/>
  <c r="I89" i="10" s="1"/>
  <c r="M89" i="10" s="1"/>
  <c r="F89" i="10"/>
  <c r="K88" i="10"/>
  <c r="M52" i="12"/>
  <c r="F53" i="12" s="1"/>
  <c r="N6" i="1"/>
  <c r="F7" i="1"/>
  <c r="F90" i="10" l="1"/>
  <c r="K89" i="10"/>
  <c r="J89" i="10"/>
  <c r="O89" i="10" s="1"/>
  <c r="G90" i="10" s="1"/>
  <c r="I90" i="10" s="1"/>
  <c r="M90" i="10" s="1"/>
  <c r="N89" i="10"/>
  <c r="L53" i="12"/>
  <c r="S53" i="12" s="1"/>
  <c r="H52" i="12"/>
  <c r="O52" i="12" s="1"/>
  <c r="G53" i="12" s="1"/>
  <c r="J53" i="12" s="1"/>
  <c r="N52" i="12"/>
  <c r="K52" i="12"/>
  <c r="G7" i="1"/>
  <c r="L7" i="1" l="1"/>
  <c r="S7" i="1" s="1"/>
  <c r="N90" i="10"/>
  <c r="J90" i="10"/>
  <c r="O90" i="10" s="1"/>
  <c r="G91" i="10" s="1"/>
  <c r="I91" i="10" s="1"/>
  <c r="M91" i="10" s="1"/>
  <c r="F91" i="10"/>
  <c r="K90" i="10"/>
  <c r="M7" i="1"/>
  <c r="J7" i="1"/>
  <c r="M53" i="12"/>
  <c r="K53" i="12" s="1"/>
  <c r="H7" i="1" l="1"/>
  <c r="N91" i="10"/>
  <c r="J91" i="10"/>
  <c r="O91" i="10" s="1"/>
  <c r="G92" i="10" s="1"/>
  <c r="I92" i="10" s="1"/>
  <c r="M92" i="10" s="1"/>
  <c r="K91" i="10"/>
  <c r="F92" i="10"/>
  <c r="O7" i="1"/>
  <c r="L54" i="12"/>
  <c r="S54" i="12" s="1"/>
  <c r="N7" i="1"/>
  <c r="N53" i="12"/>
  <c r="H53" i="12"/>
  <c r="O53" i="12" s="1"/>
  <c r="G54" i="12" s="1"/>
  <c r="J54" i="12" s="1"/>
  <c r="F54" i="12"/>
  <c r="F8" i="1"/>
  <c r="F93" i="10" l="1"/>
  <c r="K92" i="10"/>
  <c r="N92" i="10"/>
  <c r="J92" i="10"/>
  <c r="O92" i="10" s="1"/>
  <c r="G93" i="10" s="1"/>
  <c r="I93" i="10" s="1"/>
  <c r="M93" i="10" s="1"/>
  <c r="M54" i="12"/>
  <c r="L55" i="12" s="1"/>
  <c r="S55" i="12" s="1"/>
  <c r="G8" i="1"/>
  <c r="L8" i="1" l="1"/>
  <c r="S8" i="1" s="1"/>
  <c r="N93" i="10"/>
  <c r="J93" i="10"/>
  <c r="O93" i="10" s="1"/>
  <c r="G94" i="10" s="1"/>
  <c r="I94" i="10" s="1"/>
  <c r="M94" i="10" s="1"/>
  <c r="K93" i="10"/>
  <c r="F94" i="10"/>
  <c r="M8" i="1"/>
  <c r="H8" i="1" s="1"/>
  <c r="J8" i="1"/>
  <c r="N54" i="12"/>
  <c r="H54" i="12"/>
  <c r="O54" i="12" s="1"/>
  <c r="G55" i="12" s="1"/>
  <c r="J55" i="12" s="1"/>
  <c r="K54" i="12"/>
  <c r="F55" i="12"/>
  <c r="F9" i="1" l="1"/>
  <c r="O8" i="1"/>
  <c r="G9" i="1" s="1"/>
  <c r="N94" i="10"/>
  <c r="J94" i="10"/>
  <c r="O94" i="10" s="1"/>
  <c r="G95" i="10" s="1"/>
  <c r="I95" i="10" s="1"/>
  <c r="M95" i="10" s="1"/>
  <c r="F95" i="10"/>
  <c r="K94" i="10"/>
  <c r="N8" i="1"/>
  <c r="M55" i="12"/>
  <c r="F56" i="12" s="1"/>
  <c r="L9" i="1" l="1"/>
  <c r="S9" i="1" s="1"/>
  <c r="J95" i="10"/>
  <c r="O95" i="10" s="1"/>
  <c r="G96" i="10" s="1"/>
  <c r="I96" i="10" s="1"/>
  <c r="M96" i="10" s="1"/>
  <c r="N95" i="10"/>
  <c r="F96" i="10"/>
  <c r="K95" i="10"/>
  <c r="M9" i="1"/>
  <c r="J9" i="1"/>
  <c r="L56" i="12"/>
  <c r="S56" i="12" s="1"/>
  <c r="N55" i="12"/>
  <c r="H55" i="12"/>
  <c r="O55" i="12" s="1"/>
  <c r="G56" i="12" s="1"/>
  <c r="J56" i="12" s="1"/>
  <c r="K55" i="12"/>
  <c r="H9" i="1" l="1"/>
  <c r="O9" i="1" s="1"/>
  <c r="G10" i="1" s="1"/>
  <c r="J10" i="1" s="1"/>
  <c r="F10" i="1"/>
  <c r="F97" i="10"/>
  <c r="K96" i="10"/>
  <c r="N96" i="10"/>
  <c r="J96" i="10"/>
  <c r="O96" i="10" s="1"/>
  <c r="G97" i="10" s="1"/>
  <c r="I97" i="10" s="1"/>
  <c r="M97" i="10" s="1"/>
  <c r="N9" i="1"/>
  <c r="M56" i="12"/>
  <c r="K56" i="12" s="1"/>
  <c r="L10" i="1" l="1"/>
  <c r="S10" i="1" s="1"/>
  <c r="M10" i="1"/>
  <c r="N97" i="10"/>
  <c r="J97" i="10"/>
  <c r="O97" i="10" s="1"/>
  <c r="G98" i="10" s="1"/>
  <c r="I98" i="10" s="1"/>
  <c r="M98" i="10" s="1"/>
  <c r="F98" i="10"/>
  <c r="K97" i="10"/>
  <c r="L57" i="12"/>
  <c r="S57" i="12" s="1"/>
  <c r="N56" i="12"/>
  <c r="H56" i="12"/>
  <c r="O56" i="12" s="1"/>
  <c r="G57" i="12" s="1"/>
  <c r="J57" i="12" s="1"/>
  <c r="F57" i="12"/>
  <c r="H10" i="1" l="1"/>
  <c r="O10" i="1" s="1"/>
  <c r="G11" i="1" s="1"/>
  <c r="N10" i="1"/>
  <c r="F11" i="1"/>
  <c r="L11" i="1" s="1"/>
  <c r="N98" i="10"/>
  <c r="J98" i="10"/>
  <c r="O98" i="10" s="1"/>
  <c r="G99" i="10" s="1"/>
  <c r="I99" i="10" s="1"/>
  <c r="M99" i="10" s="1"/>
  <c r="K98" i="10"/>
  <c r="F99" i="10"/>
  <c r="M57" i="12"/>
  <c r="L58" i="12" s="1"/>
  <c r="S58" i="12" s="1"/>
  <c r="S11" i="1" l="1"/>
  <c r="M11" i="1"/>
  <c r="J11" i="1"/>
  <c r="N99" i="10"/>
  <c r="J99" i="10"/>
  <c r="O99" i="10" s="1"/>
  <c r="G100" i="10" s="1"/>
  <c r="K99" i="10"/>
  <c r="F100" i="10"/>
  <c r="H57" i="12"/>
  <c r="O57" i="12" s="1"/>
  <c r="G58" i="12" s="1"/>
  <c r="J58" i="12" s="1"/>
  <c r="N57" i="12"/>
  <c r="K57" i="12"/>
  <c r="F58" i="12"/>
  <c r="H11" i="1" l="1"/>
  <c r="O11" i="1" s="1"/>
  <c r="G12" i="1" s="1"/>
  <c r="N11" i="1"/>
  <c r="F12" i="1"/>
  <c r="L12" i="1" s="1"/>
  <c r="G102" i="10"/>
  <c r="I100" i="10"/>
  <c r="F102" i="10"/>
  <c r="M58" i="12"/>
  <c r="L59" i="12" s="1"/>
  <c r="S59" i="12" s="1"/>
  <c r="S12" i="1" l="1"/>
  <c r="J12" i="1"/>
  <c r="M12" i="1"/>
  <c r="I102" i="10"/>
  <c r="M100" i="10"/>
  <c r="N58" i="12"/>
  <c r="H58" i="12"/>
  <c r="O58" i="12" s="1"/>
  <c r="G59" i="12" s="1"/>
  <c r="J59" i="12" s="1"/>
  <c r="F59" i="12"/>
  <c r="K58" i="12"/>
  <c r="H12" i="1" l="1"/>
  <c r="O12" i="1" s="1"/>
  <c r="G13" i="1" s="1"/>
  <c r="N12" i="1"/>
  <c r="F13" i="1"/>
  <c r="M102" i="10"/>
  <c r="J100" i="10"/>
  <c r="N100" i="10"/>
  <c r="N102" i="10" s="1"/>
  <c r="K100" i="10"/>
  <c r="K102" i="10" s="1"/>
  <c r="M59" i="12"/>
  <c r="K59" i="12" s="1"/>
  <c r="L13" i="1" l="1"/>
  <c r="S13" i="1" s="1"/>
  <c r="M13" i="1"/>
  <c r="J13" i="1"/>
  <c r="J102" i="10"/>
  <c r="O100" i="10"/>
  <c r="O102" i="10" s="1"/>
  <c r="L60" i="12"/>
  <c r="S60" i="12" s="1"/>
  <c r="F60" i="12"/>
  <c r="N59" i="12"/>
  <c r="H59" i="12"/>
  <c r="O59" i="12" s="1"/>
  <c r="G60" i="12" s="1"/>
  <c r="J60" i="12" s="1"/>
  <c r="H13" i="1" l="1"/>
  <c r="O13" i="1" s="1"/>
  <c r="G14" i="1" s="1"/>
  <c r="F14" i="1"/>
  <c r="L14" i="1" s="1"/>
  <c r="N13" i="1"/>
  <c r="M60" i="12"/>
  <c r="F61" i="12" s="1"/>
  <c r="S14" i="1" l="1"/>
  <c r="M14" i="1"/>
  <c r="J14" i="1"/>
  <c r="L61" i="12"/>
  <c r="S61" i="12" s="1"/>
  <c r="K60" i="12"/>
  <c r="H60" i="12"/>
  <c r="O60" i="12" s="1"/>
  <c r="G61" i="12" s="1"/>
  <c r="J61" i="12" s="1"/>
  <c r="N60" i="12"/>
  <c r="H14" i="1" l="1"/>
  <c r="O14" i="1" s="1"/>
  <c r="G15" i="1" s="1"/>
  <c r="F15" i="1"/>
  <c r="L15" i="1" s="1"/>
  <c r="N14" i="1"/>
  <c r="M61" i="12"/>
  <c r="K61" i="12" s="1"/>
  <c r="S15" i="1" l="1"/>
  <c r="M15" i="1"/>
  <c r="J15" i="1"/>
  <c r="L62" i="12"/>
  <c r="S62" i="12" s="1"/>
  <c r="N61" i="12"/>
  <c r="H61" i="12"/>
  <c r="O61" i="12" s="1"/>
  <c r="G62" i="12" s="1"/>
  <c r="J62" i="12" s="1"/>
  <c r="F62" i="12"/>
  <c r="H15" i="1" l="1"/>
  <c r="O15" i="1" s="1"/>
  <c r="G16" i="1" s="1"/>
  <c r="N15" i="1"/>
  <c r="F16" i="1"/>
  <c r="M62" i="12"/>
  <c r="L63" i="12" s="1"/>
  <c r="S63" i="12" s="1"/>
  <c r="L16" i="1" l="1"/>
  <c r="S16" i="1" s="1"/>
  <c r="M16" i="1"/>
  <c r="J16" i="1"/>
  <c r="N62" i="12"/>
  <c r="H62" i="12"/>
  <c r="O62" i="12" s="1"/>
  <c r="G63" i="12" s="1"/>
  <c r="J63" i="12" s="1"/>
  <c r="F63" i="12"/>
  <c r="K62" i="12"/>
  <c r="H16" i="1" l="1"/>
  <c r="O16" i="1" s="1"/>
  <c r="G17" i="1" s="1"/>
  <c r="N16" i="1"/>
  <c r="F17" i="1"/>
  <c r="L17" i="1" s="1"/>
  <c r="M63" i="12"/>
  <c r="L64" i="12" s="1"/>
  <c r="S64" i="12" s="1"/>
  <c r="S17" i="1" l="1"/>
  <c r="M17" i="1"/>
  <c r="J17" i="1"/>
  <c r="N63" i="12"/>
  <c r="H63" i="12"/>
  <c r="O63" i="12" s="1"/>
  <c r="G64" i="12" s="1"/>
  <c r="J64" i="12" s="1"/>
  <c r="K63" i="12"/>
  <c r="F64" i="12"/>
  <c r="H17" i="1" l="1"/>
  <c r="O17" i="1" s="1"/>
  <c r="G18" i="1" s="1"/>
  <c r="F18" i="1"/>
  <c r="L18" i="1" s="1"/>
  <c r="N17" i="1"/>
  <c r="M64" i="12"/>
  <c r="L65" i="12" s="1"/>
  <c r="S65" i="12" s="1"/>
  <c r="S18" i="1" l="1"/>
  <c r="M18" i="1"/>
  <c r="J18" i="1"/>
  <c r="H64" i="12"/>
  <c r="O64" i="12" s="1"/>
  <c r="G65" i="12" s="1"/>
  <c r="J65" i="12" s="1"/>
  <c r="N64" i="12"/>
  <c r="F65" i="12"/>
  <c r="K64" i="12"/>
  <c r="H18" i="1" l="1"/>
  <c r="O18" i="1" s="1"/>
  <c r="G19" i="1" s="1"/>
  <c r="N18" i="1"/>
  <c r="F19" i="1"/>
  <c r="M65" i="12"/>
  <c r="F66" i="12" s="1"/>
  <c r="L19" i="1" l="1"/>
  <c r="S19" i="1" s="1"/>
  <c r="M19" i="1"/>
  <c r="J19" i="1"/>
  <c r="L66" i="12"/>
  <c r="S66" i="12" s="1"/>
  <c r="K65" i="12"/>
  <c r="H65" i="12"/>
  <c r="O65" i="12" s="1"/>
  <c r="G66" i="12" s="1"/>
  <c r="J66" i="12" s="1"/>
  <c r="N65" i="12"/>
  <c r="H19" i="1" l="1"/>
  <c r="O19" i="1" s="1"/>
  <c r="G20" i="1" s="1"/>
  <c r="F20" i="1"/>
  <c r="N19" i="1"/>
  <c r="M66" i="12"/>
  <c r="K66" i="12" s="1"/>
  <c r="L20" i="1" l="1"/>
  <c r="S20" i="1" s="1"/>
  <c r="J20" i="1"/>
  <c r="M20" i="1"/>
  <c r="L67" i="12"/>
  <c r="S67" i="12" s="1"/>
  <c r="H66" i="12"/>
  <c r="O66" i="12" s="1"/>
  <c r="G67" i="12" s="1"/>
  <c r="J67" i="12" s="1"/>
  <c r="N66" i="12"/>
  <c r="F67" i="12"/>
  <c r="H20" i="1" l="1"/>
  <c r="O20" i="1" s="1"/>
  <c r="G21" i="1" s="1"/>
  <c r="F21" i="1"/>
  <c r="N20" i="1"/>
  <c r="M67" i="12"/>
  <c r="L68" i="12" s="1"/>
  <c r="S68" i="12" s="1"/>
  <c r="L21" i="1" l="1"/>
  <c r="S21" i="1" s="1"/>
  <c r="M21" i="1"/>
  <c r="J21" i="1"/>
  <c r="N67" i="12"/>
  <c r="H67" i="12"/>
  <c r="O67" i="12" s="1"/>
  <c r="G68" i="12" s="1"/>
  <c r="J68" i="12" s="1"/>
  <c r="K67" i="12"/>
  <c r="F68" i="12"/>
  <c r="H21" i="1" l="1"/>
  <c r="O21" i="1" s="1"/>
  <c r="G22" i="1" s="1"/>
  <c r="N21" i="1"/>
  <c r="F22" i="1"/>
  <c r="M68" i="12"/>
  <c r="F69" i="12" s="1"/>
  <c r="L22" i="1" l="1"/>
  <c r="S22" i="1" s="1"/>
  <c r="M22" i="1"/>
  <c r="J22" i="1"/>
  <c r="L69" i="12"/>
  <c r="S69" i="12" s="1"/>
  <c r="H68" i="12"/>
  <c r="O68" i="12" s="1"/>
  <c r="G69" i="12" s="1"/>
  <c r="J69" i="12" s="1"/>
  <c r="N68" i="12"/>
  <c r="K68" i="12"/>
  <c r="H22" i="1" l="1"/>
  <c r="O22" i="1" s="1"/>
  <c r="G23" i="1" s="1"/>
  <c r="F23" i="1"/>
  <c r="N22" i="1"/>
  <c r="M69" i="12"/>
  <c r="L70" i="12" s="1"/>
  <c r="S70" i="12" s="1"/>
  <c r="L23" i="1" l="1"/>
  <c r="S23" i="1" s="1"/>
  <c r="J23" i="1"/>
  <c r="M23" i="1"/>
  <c r="N69" i="12"/>
  <c r="H69" i="12"/>
  <c r="O69" i="12" s="1"/>
  <c r="G70" i="12" s="1"/>
  <c r="J70" i="12" s="1"/>
  <c r="F70" i="12"/>
  <c r="K69" i="12"/>
  <c r="H23" i="1" l="1"/>
  <c r="O23" i="1" s="1"/>
  <c r="G24" i="1" s="1"/>
  <c r="F24" i="1"/>
  <c r="N23" i="1"/>
  <c r="M70" i="12"/>
  <c r="L71" i="12" s="1"/>
  <c r="S71" i="12" s="1"/>
  <c r="L24" i="1" l="1"/>
  <c r="S24" i="1" s="1"/>
  <c r="M24" i="1"/>
  <c r="J24" i="1"/>
  <c r="H70" i="12"/>
  <c r="O70" i="12" s="1"/>
  <c r="G71" i="12" s="1"/>
  <c r="J71" i="12" s="1"/>
  <c r="N70" i="12"/>
  <c r="F71" i="12"/>
  <c r="K70" i="12"/>
  <c r="H24" i="1" l="1"/>
  <c r="O24" i="1" s="1"/>
  <c r="G25" i="1" s="1"/>
  <c r="N24" i="1"/>
  <c r="F25" i="1"/>
  <c r="M71" i="12"/>
  <c r="F72" i="12" s="1"/>
  <c r="L25" i="1" l="1"/>
  <c r="S25" i="1" s="1"/>
  <c r="M25" i="1"/>
  <c r="J25" i="1"/>
  <c r="L72" i="12"/>
  <c r="S72" i="12" s="1"/>
  <c r="N71" i="12"/>
  <c r="H71" i="12"/>
  <c r="O71" i="12" s="1"/>
  <c r="G72" i="12" s="1"/>
  <c r="J72" i="12" s="1"/>
  <c r="K71" i="12"/>
  <c r="H25" i="1" l="1"/>
  <c r="O25" i="1" s="1"/>
  <c r="G26" i="1" s="1"/>
  <c r="F26" i="1"/>
  <c r="L26" i="1" s="1"/>
  <c r="N25" i="1"/>
  <c r="M72" i="12"/>
  <c r="K72" i="12" s="1"/>
  <c r="S26" i="1" l="1"/>
  <c r="J26" i="1"/>
  <c r="M26" i="1"/>
  <c r="L73" i="12"/>
  <c r="S73" i="12" s="1"/>
  <c r="N72" i="12"/>
  <c r="H72" i="12"/>
  <c r="O72" i="12" s="1"/>
  <c r="G73" i="12" s="1"/>
  <c r="J73" i="12" s="1"/>
  <c r="F73" i="12"/>
  <c r="H26" i="1" l="1"/>
  <c r="O26" i="1" s="1"/>
  <c r="G27" i="1" s="1"/>
  <c r="F27" i="1"/>
  <c r="L27" i="1" s="1"/>
  <c r="N26" i="1"/>
  <c r="M73" i="12"/>
  <c r="L74" i="12" s="1"/>
  <c r="S74" i="12" s="1"/>
  <c r="S27" i="1" l="1"/>
  <c r="M27" i="1"/>
  <c r="J27" i="1"/>
  <c r="H73" i="12"/>
  <c r="O73" i="12" s="1"/>
  <c r="G74" i="12" s="1"/>
  <c r="J74" i="12" s="1"/>
  <c r="N73" i="12"/>
  <c r="K73" i="12"/>
  <c r="F74" i="12"/>
  <c r="H27" i="1" l="1"/>
  <c r="O27" i="1" s="1"/>
  <c r="G28" i="1" s="1"/>
  <c r="N27" i="1"/>
  <c r="F28" i="1"/>
  <c r="M74" i="12"/>
  <c r="F75" i="12" s="1"/>
  <c r="L28" i="1" l="1"/>
  <c r="S28" i="1" s="1"/>
  <c r="J28" i="1"/>
  <c r="M28" i="1"/>
  <c r="L75" i="12"/>
  <c r="S75" i="12" s="1"/>
  <c r="H74" i="12"/>
  <c r="O74" i="12" s="1"/>
  <c r="G75" i="12" s="1"/>
  <c r="J75" i="12" s="1"/>
  <c r="N74" i="12"/>
  <c r="K74" i="12"/>
  <c r="H28" i="1" l="1"/>
  <c r="O28" i="1" s="1"/>
  <c r="G29" i="1" s="1"/>
  <c r="F29" i="1"/>
  <c r="L29" i="1" s="1"/>
  <c r="N28" i="1"/>
  <c r="M75" i="12"/>
  <c r="K75" i="12" s="1"/>
  <c r="S29" i="1" l="1"/>
  <c r="M29" i="1"/>
  <c r="J29" i="1"/>
  <c r="L76" i="12"/>
  <c r="S76" i="12" s="1"/>
  <c r="H75" i="12"/>
  <c r="O75" i="12" s="1"/>
  <c r="G76" i="12" s="1"/>
  <c r="J76" i="12" s="1"/>
  <c r="N75" i="12"/>
  <c r="F76" i="12"/>
  <c r="H29" i="1" l="1"/>
  <c r="O29" i="1" s="1"/>
  <c r="G30" i="1" s="1"/>
  <c r="F30" i="1"/>
  <c r="N29" i="1"/>
  <c r="M76" i="12"/>
  <c r="L77" i="12" s="1"/>
  <c r="S77" i="12" s="1"/>
  <c r="L30" i="1" l="1"/>
  <c r="S30" i="1" s="1"/>
  <c r="M30" i="1"/>
  <c r="J30" i="1"/>
  <c r="H76" i="12"/>
  <c r="O76" i="12" s="1"/>
  <c r="G77" i="12" s="1"/>
  <c r="J77" i="12" s="1"/>
  <c r="N76" i="12"/>
  <c r="K76" i="12"/>
  <c r="F77" i="12"/>
  <c r="H30" i="1" l="1"/>
  <c r="O30" i="1" s="1"/>
  <c r="G31" i="1" s="1"/>
  <c r="N30" i="1"/>
  <c r="F31" i="1"/>
  <c r="M77" i="12"/>
  <c r="K77" i="12" s="1"/>
  <c r="L31" i="1" l="1"/>
  <c r="S31" i="1" s="1"/>
  <c r="J31" i="1"/>
  <c r="M31" i="1"/>
  <c r="L78" i="12"/>
  <c r="S78" i="12" s="1"/>
  <c r="H77" i="12"/>
  <c r="O77" i="12" s="1"/>
  <c r="G78" i="12" s="1"/>
  <c r="J78" i="12" s="1"/>
  <c r="N77" i="12"/>
  <c r="F78" i="12"/>
  <c r="H31" i="1" l="1"/>
  <c r="O31" i="1" s="1"/>
  <c r="G32" i="1" s="1"/>
  <c r="F32" i="1"/>
  <c r="L32" i="1" s="1"/>
  <c r="N31" i="1"/>
  <c r="M78" i="12"/>
  <c r="F79" i="12" s="1"/>
  <c r="S32" i="1" l="1"/>
  <c r="M32" i="1"/>
  <c r="J32" i="1"/>
  <c r="L79" i="12"/>
  <c r="S79" i="12" s="1"/>
  <c r="N78" i="12"/>
  <c r="H78" i="12"/>
  <c r="O78" i="12" s="1"/>
  <c r="G79" i="12" s="1"/>
  <c r="J79" i="12" s="1"/>
  <c r="K78" i="12"/>
  <c r="H32" i="1" l="1"/>
  <c r="F33" i="1"/>
  <c r="N32" i="1"/>
  <c r="O32" i="1"/>
  <c r="G33" i="1" s="1"/>
  <c r="M79" i="12"/>
  <c r="K79" i="12" s="1"/>
  <c r="L33" i="1" l="1"/>
  <c r="S33" i="1" s="1"/>
  <c r="M33" i="1"/>
  <c r="J33" i="1"/>
  <c r="L80" i="12"/>
  <c r="S80" i="12" s="1"/>
  <c r="N79" i="12"/>
  <c r="H79" i="12"/>
  <c r="O79" i="12" s="1"/>
  <c r="G80" i="12" s="1"/>
  <c r="J80" i="12" s="1"/>
  <c r="F80" i="12"/>
  <c r="H33" i="1" l="1"/>
  <c r="O33" i="1" s="1"/>
  <c r="G34" i="1" s="1"/>
  <c r="N33" i="1"/>
  <c r="F34" i="1"/>
  <c r="L34" i="1" s="1"/>
  <c r="M80" i="12"/>
  <c r="K80" i="12" s="1"/>
  <c r="S34" i="1" l="1"/>
  <c r="J34" i="1"/>
  <c r="M34" i="1"/>
  <c r="F35" i="1" s="1"/>
  <c r="L81" i="12"/>
  <c r="S81" i="12" s="1"/>
  <c r="H80" i="12"/>
  <c r="O80" i="12" s="1"/>
  <c r="G81" i="12" s="1"/>
  <c r="J81" i="12" s="1"/>
  <c r="N80" i="12"/>
  <c r="F81" i="12"/>
  <c r="H34" i="1" l="1"/>
  <c r="O34" i="1" s="1"/>
  <c r="G35" i="1" s="1"/>
  <c r="N34" i="1"/>
  <c r="M81" i="12"/>
  <c r="K81" i="12" s="1"/>
  <c r="L35" i="1" l="1"/>
  <c r="S35" i="1" s="1"/>
  <c r="J35" i="1"/>
  <c r="M35" i="1"/>
  <c r="F36" i="1" s="1"/>
  <c r="L82" i="12"/>
  <c r="S82" i="12" s="1"/>
  <c r="F82" i="12"/>
  <c r="H81" i="12"/>
  <c r="O81" i="12" s="1"/>
  <c r="G82" i="12" s="1"/>
  <c r="J82" i="12" s="1"/>
  <c r="N81" i="12"/>
  <c r="H35" i="1" l="1"/>
  <c r="O35" i="1" s="1"/>
  <c r="G36" i="1" s="1"/>
  <c r="N35" i="1"/>
  <c r="M82" i="12"/>
  <c r="L83" i="12" s="1"/>
  <c r="S83" i="12" s="1"/>
  <c r="L36" i="1" l="1"/>
  <c r="S36" i="1" s="1"/>
  <c r="M36" i="1"/>
  <c r="F37" i="1" s="1"/>
  <c r="J36" i="1"/>
  <c r="H82" i="12"/>
  <c r="O82" i="12" s="1"/>
  <c r="G83" i="12" s="1"/>
  <c r="J83" i="12" s="1"/>
  <c r="N82" i="12"/>
  <c r="F83" i="12"/>
  <c r="K82" i="12"/>
  <c r="H36" i="1" l="1"/>
  <c r="O36" i="1" s="1"/>
  <c r="G37" i="1" s="1"/>
  <c r="N36" i="1"/>
  <c r="M83" i="12"/>
  <c r="L84" i="12" s="1"/>
  <c r="S84" i="12" s="1"/>
  <c r="L37" i="1" l="1"/>
  <c r="S37" i="1" s="1"/>
  <c r="J37" i="1"/>
  <c r="M37" i="1"/>
  <c r="F38" i="1" s="1"/>
  <c r="N83" i="12"/>
  <c r="H83" i="12"/>
  <c r="O83" i="12" s="1"/>
  <c r="G84" i="12" s="1"/>
  <c r="J84" i="12" s="1"/>
  <c r="K83" i="12"/>
  <c r="F84" i="12"/>
  <c r="H37" i="1" l="1"/>
  <c r="O37" i="1" s="1"/>
  <c r="G38" i="1" s="1"/>
  <c r="N37" i="1"/>
  <c r="M84" i="12"/>
  <c r="F85" i="12" s="1"/>
  <c r="L38" i="1" l="1"/>
  <c r="S38" i="1" s="1"/>
  <c r="M38" i="1"/>
  <c r="F39" i="1" s="1"/>
  <c r="J38" i="1"/>
  <c r="L85" i="12"/>
  <c r="S85" i="12" s="1"/>
  <c r="H84" i="12"/>
  <c r="O84" i="12" s="1"/>
  <c r="G85" i="12" s="1"/>
  <c r="J85" i="12" s="1"/>
  <c r="N84" i="12"/>
  <c r="K84" i="12"/>
  <c r="H38" i="1" l="1"/>
  <c r="O38" i="1" s="1"/>
  <c r="G39" i="1" s="1"/>
  <c r="N38" i="1"/>
  <c r="M85" i="12"/>
  <c r="K85" i="12" s="1"/>
  <c r="L39" i="1" l="1"/>
  <c r="S39" i="1" s="1"/>
  <c r="M39" i="1"/>
  <c r="F40" i="1" s="1"/>
  <c r="J39" i="1"/>
  <c r="L86" i="12"/>
  <c r="S86" i="12" s="1"/>
  <c r="N85" i="12"/>
  <c r="H85" i="12"/>
  <c r="O85" i="12" s="1"/>
  <c r="G86" i="12" s="1"/>
  <c r="J86" i="12" s="1"/>
  <c r="F86" i="12"/>
  <c r="H39" i="1" l="1"/>
  <c r="O39" i="1" s="1"/>
  <c r="G40" i="1" s="1"/>
  <c r="N39" i="1"/>
  <c r="M86" i="12"/>
  <c r="L87" i="12" s="1"/>
  <c r="S87" i="12" s="1"/>
  <c r="L40" i="1" l="1"/>
  <c r="S40" i="1" s="1"/>
  <c r="M40" i="1"/>
  <c r="F41" i="1" s="1"/>
  <c r="J40" i="1"/>
  <c r="H86" i="12"/>
  <c r="O86" i="12" s="1"/>
  <c r="G87" i="12" s="1"/>
  <c r="J87" i="12" s="1"/>
  <c r="N86" i="12"/>
  <c r="K86" i="12"/>
  <c r="F87" i="12"/>
  <c r="H40" i="1" l="1"/>
  <c r="N40" i="1"/>
  <c r="O40" i="1"/>
  <c r="G41" i="1" s="1"/>
  <c r="M87" i="12"/>
  <c r="L88" i="12" s="1"/>
  <c r="S88" i="12" s="1"/>
  <c r="L41" i="1" l="1"/>
  <c r="S41" i="1" s="1"/>
  <c r="J41" i="1"/>
  <c r="M41" i="1"/>
  <c r="F42" i="1" s="1"/>
  <c r="N87" i="12"/>
  <c r="H87" i="12"/>
  <c r="O87" i="12" s="1"/>
  <c r="G88" i="12" s="1"/>
  <c r="J88" i="12" s="1"/>
  <c r="F88" i="12"/>
  <c r="K87" i="12"/>
  <c r="H41" i="1" l="1"/>
  <c r="O41" i="1" s="1"/>
  <c r="G42" i="1" s="1"/>
  <c r="N41" i="1"/>
  <c r="M88" i="12"/>
  <c r="F89" i="12" s="1"/>
  <c r="L42" i="1" l="1"/>
  <c r="S42" i="1" s="1"/>
  <c r="J42" i="1"/>
  <c r="M42" i="1"/>
  <c r="F43" i="1" s="1"/>
  <c r="L89" i="12"/>
  <c r="S89" i="12" s="1"/>
  <c r="N88" i="12"/>
  <c r="H88" i="12"/>
  <c r="O88" i="12" s="1"/>
  <c r="G89" i="12" s="1"/>
  <c r="J89" i="12" s="1"/>
  <c r="K88" i="12"/>
  <c r="H42" i="1" l="1"/>
  <c r="O42" i="1" s="1"/>
  <c r="G43" i="1" s="1"/>
  <c r="N42" i="1"/>
  <c r="M89" i="12"/>
  <c r="K89" i="12" s="1"/>
  <c r="L43" i="1" l="1"/>
  <c r="S43" i="1" s="1"/>
  <c r="J43" i="1"/>
  <c r="M43" i="1"/>
  <c r="F44" i="1" s="1"/>
  <c r="L90" i="12"/>
  <c r="S90" i="12" s="1"/>
  <c r="H89" i="12"/>
  <c r="O89" i="12" s="1"/>
  <c r="G90" i="12" s="1"/>
  <c r="J90" i="12" s="1"/>
  <c r="N89" i="12"/>
  <c r="F90" i="12"/>
  <c r="H43" i="1" l="1"/>
  <c r="O43" i="1" s="1"/>
  <c r="G44" i="1" s="1"/>
  <c r="N43" i="1"/>
  <c r="M90" i="12"/>
  <c r="L91" i="12" s="1"/>
  <c r="S91" i="12" s="1"/>
  <c r="L44" i="1" l="1"/>
  <c r="S44" i="1" s="1"/>
  <c r="J44" i="1"/>
  <c r="M44" i="1"/>
  <c r="F45" i="1" s="1"/>
  <c r="N90" i="12"/>
  <c r="H90" i="12"/>
  <c r="O90" i="12" s="1"/>
  <c r="G91" i="12" s="1"/>
  <c r="J91" i="12" s="1"/>
  <c r="F91" i="12"/>
  <c r="K90" i="12"/>
  <c r="H44" i="1" l="1"/>
  <c r="O44" i="1" s="1"/>
  <c r="G45" i="1" s="1"/>
  <c r="N44" i="1"/>
  <c r="M91" i="12"/>
  <c r="F92" i="12" s="1"/>
  <c r="L45" i="1" l="1"/>
  <c r="S45" i="1" s="1"/>
  <c r="J45" i="1"/>
  <c r="M45" i="1"/>
  <c r="F46" i="1" s="1"/>
  <c r="L92" i="12"/>
  <c r="S92" i="12" s="1"/>
  <c r="H91" i="12"/>
  <c r="O91" i="12" s="1"/>
  <c r="G92" i="12" s="1"/>
  <c r="J92" i="12" s="1"/>
  <c r="N91" i="12"/>
  <c r="K91" i="12"/>
  <c r="H45" i="1" l="1"/>
  <c r="O45" i="1" s="1"/>
  <c r="G46" i="1" s="1"/>
  <c r="N45" i="1"/>
  <c r="M92" i="12"/>
  <c r="K92" i="12" s="1"/>
  <c r="L46" i="1" l="1"/>
  <c r="S46" i="1" s="1"/>
  <c r="J46" i="1"/>
  <c r="M46" i="1"/>
  <c r="F47" i="1" s="1"/>
  <c r="L93" i="12"/>
  <c r="S93" i="12" s="1"/>
  <c r="H92" i="12"/>
  <c r="O92" i="12" s="1"/>
  <c r="G93" i="12" s="1"/>
  <c r="J93" i="12" s="1"/>
  <c r="N92" i="12"/>
  <c r="F93" i="12"/>
  <c r="H46" i="1" l="1"/>
  <c r="O46" i="1" s="1"/>
  <c r="G47" i="1" s="1"/>
  <c r="N46" i="1"/>
  <c r="M93" i="12"/>
  <c r="K93" i="12" s="1"/>
  <c r="L47" i="1" l="1"/>
  <c r="S47" i="1" s="1"/>
  <c r="J47" i="1"/>
  <c r="M47" i="1"/>
  <c r="F48" i="1" s="1"/>
  <c r="L94" i="12"/>
  <c r="S94" i="12" s="1"/>
  <c r="N93" i="12"/>
  <c r="H93" i="12"/>
  <c r="O93" i="12" s="1"/>
  <c r="G94" i="12" s="1"/>
  <c r="J94" i="12" s="1"/>
  <c r="F94" i="12"/>
  <c r="H47" i="1" l="1"/>
  <c r="O47" i="1" s="1"/>
  <c r="G48" i="1" s="1"/>
  <c r="N47" i="1"/>
  <c r="M94" i="12"/>
  <c r="L95" i="12" s="1"/>
  <c r="S95" i="12" s="1"/>
  <c r="L48" i="1" l="1"/>
  <c r="S48" i="1" s="1"/>
  <c r="J48" i="1"/>
  <c r="M48" i="1"/>
  <c r="F49" i="1" s="1"/>
  <c r="N94" i="12"/>
  <c r="H94" i="12"/>
  <c r="O94" i="12" s="1"/>
  <c r="G95" i="12" s="1"/>
  <c r="J95" i="12" s="1"/>
  <c r="F95" i="12"/>
  <c r="K94" i="12"/>
  <c r="H48" i="1" l="1"/>
  <c r="O48" i="1" s="1"/>
  <c r="G49" i="1" s="1"/>
  <c r="N48" i="1"/>
  <c r="M95" i="12"/>
  <c r="L96" i="12" s="1"/>
  <c r="S96" i="12" s="1"/>
  <c r="L49" i="1" l="1"/>
  <c r="S49" i="1" s="1"/>
  <c r="M49" i="1"/>
  <c r="F50" i="1" s="1"/>
  <c r="J49" i="1"/>
  <c r="N95" i="12"/>
  <c r="H95" i="12"/>
  <c r="O95" i="12" s="1"/>
  <c r="G96" i="12" s="1"/>
  <c r="J96" i="12" s="1"/>
  <c r="K95" i="12"/>
  <c r="F96" i="12"/>
  <c r="H49" i="1" l="1"/>
  <c r="O49" i="1" s="1"/>
  <c r="G50" i="1" s="1"/>
  <c r="N49" i="1"/>
  <c r="M96" i="12"/>
  <c r="F97" i="12" s="1"/>
  <c r="L50" i="1" l="1"/>
  <c r="S50" i="1" s="1"/>
  <c r="M50" i="1"/>
  <c r="F51" i="1" s="1"/>
  <c r="J50" i="1"/>
  <c r="L97" i="12"/>
  <c r="S97" i="12" s="1"/>
  <c r="H96" i="12"/>
  <c r="O96" i="12" s="1"/>
  <c r="G97" i="12" s="1"/>
  <c r="J97" i="12" s="1"/>
  <c r="N96" i="12"/>
  <c r="K96" i="12"/>
  <c r="H50" i="1" l="1"/>
  <c r="O50" i="1" s="1"/>
  <c r="G51" i="1" s="1"/>
  <c r="N50" i="1"/>
  <c r="M97" i="12"/>
  <c r="K97" i="12" s="1"/>
  <c r="L51" i="1" l="1"/>
  <c r="S51" i="1" s="1"/>
  <c r="M51" i="1"/>
  <c r="F52" i="1" s="1"/>
  <c r="J51" i="1"/>
  <c r="L98" i="12"/>
  <c r="S98" i="12" s="1"/>
  <c r="H97" i="12"/>
  <c r="O97" i="12" s="1"/>
  <c r="G98" i="12" s="1"/>
  <c r="J98" i="12" s="1"/>
  <c r="N97" i="12"/>
  <c r="F98" i="12"/>
  <c r="H51" i="1" l="1"/>
  <c r="O51" i="1" s="1"/>
  <c r="G52" i="1" s="1"/>
  <c r="N51" i="1"/>
  <c r="M98" i="12"/>
  <c r="L99" i="12" s="1"/>
  <c r="S99" i="12" s="1"/>
  <c r="L52" i="1" l="1"/>
  <c r="S52" i="1" s="1"/>
  <c r="J52" i="1"/>
  <c r="M52" i="1"/>
  <c r="F53" i="1" s="1"/>
  <c r="H98" i="12"/>
  <c r="O98" i="12" s="1"/>
  <c r="G99" i="12" s="1"/>
  <c r="J99" i="12" s="1"/>
  <c r="N98" i="12"/>
  <c r="K98" i="12"/>
  <c r="F99" i="12"/>
  <c r="H52" i="1" l="1"/>
  <c r="O52" i="1" s="1"/>
  <c r="G53" i="1" s="1"/>
  <c r="N52" i="1"/>
  <c r="M99" i="12"/>
  <c r="L100" i="12" s="1"/>
  <c r="L53" i="1" l="1"/>
  <c r="S53" i="1" s="1"/>
  <c r="L102" i="12"/>
  <c r="S100" i="12"/>
  <c r="M53" i="1"/>
  <c r="F54" i="1" s="1"/>
  <c r="J53" i="1"/>
  <c r="N99" i="12"/>
  <c r="H99" i="12"/>
  <c r="O99" i="12" s="1"/>
  <c r="G100" i="12" s="1"/>
  <c r="J100" i="12" s="1"/>
  <c r="K99" i="12"/>
  <c r="F100" i="12"/>
  <c r="S102" i="12" l="1"/>
  <c r="H53" i="1"/>
  <c r="O53" i="1" s="1"/>
  <c r="G54" i="1" s="1"/>
  <c r="N53" i="1"/>
  <c r="J102" i="12"/>
  <c r="M100" i="12"/>
  <c r="K100" i="12" s="1"/>
  <c r="K102" i="12" s="1"/>
  <c r="G102" i="12"/>
  <c r="F102" i="12"/>
  <c r="L54" i="1" l="1"/>
  <c r="S54" i="1" s="1"/>
  <c r="J54" i="1"/>
  <c r="M54" i="1"/>
  <c r="F55" i="1" s="1"/>
  <c r="H100" i="12"/>
  <c r="N100" i="12"/>
  <c r="N102" i="12" s="1"/>
  <c r="M102" i="12"/>
  <c r="E107" i="12" l="1"/>
  <c r="H54" i="1"/>
  <c r="O54" i="1" s="1"/>
  <c r="G55" i="1" s="1"/>
  <c r="N54" i="1"/>
  <c r="O100" i="12"/>
  <c r="O102" i="12" s="1"/>
  <c r="H102" i="12"/>
  <c r="L55" i="1" l="1"/>
  <c r="S55" i="1" s="1"/>
  <c r="M55" i="1"/>
  <c r="F56" i="1" s="1"/>
  <c r="J55" i="1"/>
  <c r="H55" i="1" l="1"/>
  <c r="O55" i="1" s="1"/>
  <c r="G56" i="1" s="1"/>
  <c r="N55" i="1"/>
  <c r="L56" i="1" l="1"/>
  <c r="S56" i="1" s="1"/>
  <c r="M56" i="1"/>
  <c r="F57" i="1" s="1"/>
  <c r="J56" i="1"/>
  <c r="H56" i="1" l="1"/>
  <c r="O56" i="1" s="1"/>
  <c r="G57" i="1" s="1"/>
  <c r="N56" i="1"/>
  <c r="L57" i="1" l="1"/>
  <c r="S57" i="1" s="1"/>
  <c r="J57" i="1"/>
  <c r="M57" i="1"/>
  <c r="F58" i="1" s="1"/>
  <c r="H57" i="1" l="1"/>
  <c r="O57" i="1" s="1"/>
  <c r="G58" i="1" s="1"/>
  <c r="N57" i="1"/>
  <c r="L58" i="1" l="1"/>
  <c r="S58" i="1" s="1"/>
  <c r="M58" i="1"/>
  <c r="F59" i="1" s="1"/>
  <c r="J58" i="1"/>
  <c r="H58" i="1" l="1"/>
  <c r="O58" i="1" s="1"/>
  <c r="G59" i="1" s="1"/>
  <c r="N58" i="1"/>
  <c r="L59" i="1" l="1"/>
  <c r="S59" i="1" s="1"/>
  <c r="M59" i="1"/>
  <c r="F60" i="1" s="1"/>
  <c r="J59" i="1"/>
  <c r="H59" i="1" l="1"/>
  <c r="O59" i="1" s="1"/>
  <c r="G60" i="1" s="1"/>
  <c r="N59" i="1"/>
  <c r="L60" i="1" l="1"/>
  <c r="S60" i="1" s="1"/>
  <c r="M60" i="1"/>
  <c r="F61" i="1" s="1"/>
  <c r="J60" i="1"/>
  <c r="H60" i="1" l="1"/>
  <c r="O60" i="1" s="1"/>
  <c r="G61" i="1" s="1"/>
  <c r="N60" i="1"/>
  <c r="L61" i="1" l="1"/>
  <c r="S61" i="1" s="1"/>
  <c r="M61" i="1"/>
  <c r="F62" i="1" s="1"/>
  <c r="J61" i="1"/>
  <c r="H61" i="1" l="1"/>
  <c r="O61" i="1" s="1"/>
  <c r="G62" i="1" s="1"/>
  <c r="N61" i="1"/>
  <c r="L62" i="1" l="1"/>
  <c r="S62" i="1" s="1"/>
  <c r="M62" i="1"/>
  <c r="F63" i="1" s="1"/>
  <c r="J62" i="1"/>
  <c r="H62" i="1" l="1"/>
  <c r="O62" i="1" s="1"/>
  <c r="G63" i="1" s="1"/>
  <c r="N62" i="1"/>
  <c r="L63" i="1" l="1"/>
  <c r="S63" i="1" s="1"/>
  <c r="J63" i="1"/>
  <c r="M63" i="1"/>
  <c r="F64" i="1" s="1"/>
  <c r="H63" i="1" l="1"/>
  <c r="O63" i="1" s="1"/>
  <c r="G64" i="1" s="1"/>
  <c r="N63" i="1"/>
  <c r="L64" i="1" l="1"/>
  <c r="S64" i="1" s="1"/>
  <c r="J64" i="1"/>
  <c r="M64" i="1"/>
  <c r="F65" i="1" s="1"/>
  <c r="H64" i="1" l="1"/>
  <c r="O64" i="1" s="1"/>
  <c r="G65" i="1" s="1"/>
  <c r="N64" i="1"/>
  <c r="L65" i="1" l="1"/>
  <c r="S65" i="1" s="1"/>
  <c r="J65" i="1"/>
  <c r="M65" i="1"/>
  <c r="F66" i="1" s="1"/>
  <c r="H65" i="1" l="1"/>
  <c r="O65" i="1" s="1"/>
  <c r="G66" i="1" s="1"/>
  <c r="N65" i="1"/>
  <c r="L66" i="1" l="1"/>
  <c r="S66" i="1" s="1"/>
  <c r="J66" i="1"/>
  <c r="M66" i="1"/>
  <c r="F67" i="1" s="1"/>
  <c r="H66" i="1" l="1"/>
  <c r="O66" i="1" s="1"/>
  <c r="G67" i="1" s="1"/>
  <c r="N66" i="1"/>
  <c r="L67" i="1" l="1"/>
  <c r="S67" i="1" s="1"/>
  <c r="J67" i="1"/>
  <c r="M67" i="1"/>
  <c r="F68" i="1" s="1"/>
  <c r="H67" i="1" l="1"/>
  <c r="O67" i="1" s="1"/>
  <c r="G68" i="1" s="1"/>
  <c r="N67" i="1"/>
  <c r="L68" i="1" l="1"/>
  <c r="S68" i="1" s="1"/>
  <c r="J68" i="1"/>
  <c r="M68" i="1"/>
  <c r="F69" i="1" s="1"/>
  <c r="H68" i="1" l="1"/>
  <c r="O68" i="1" s="1"/>
  <c r="G69" i="1" s="1"/>
  <c r="N68" i="1"/>
  <c r="L69" i="1" l="1"/>
  <c r="S69" i="1" s="1"/>
  <c r="M69" i="1"/>
  <c r="F70" i="1" s="1"/>
  <c r="J69" i="1"/>
  <c r="H69" i="1" l="1"/>
  <c r="O69" i="1" s="1"/>
  <c r="G70" i="1" s="1"/>
  <c r="N69" i="1"/>
  <c r="L70" i="1" l="1"/>
  <c r="S70" i="1" s="1"/>
  <c r="M70" i="1"/>
  <c r="F71" i="1" s="1"/>
  <c r="J70" i="1"/>
  <c r="H70" i="1" l="1"/>
  <c r="O70" i="1" s="1"/>
  <c r="G71" i="1" s="1"/>
  <c r="N70" i="1"/>
  <c r="L71" i="1" l="1"/>
  <c r="S71" i="1" s="1"/>
  <c r="J71" i="1"/>
  <c r="M71" i="1"/>
  <c r="F72" i="1" s="1"/>
  <c r="H71" i="1" l="1"/>
  <c r="O71" i="1" s="1"/>
  <c r="G72" i="1" s="1"/>
  <c r="N71" i="1"/>
  <c r="L72" i="1" l="1"/>
  <c r="S72" i="1" s="1"/>
  <c r="J72" i="1"/>
  <c r="M72" i="1"/>
  <c r="F73" i="1" s="1"/>
  <c r="H72" i="1" l="1"/>
  <c r="O72" i="1" s="1"/>
  <c r="G73" i="1" s="1"/>
  <c r="N72" i="1"/>
  <c r="L73" i="1" l="1"/>
  <c r="S73" i="1" s="1"/>
  <c r="J73" i="1"/>
  <c r="M73" i="1"/>
  <c r="F74" i="1" s="1"/>
  <c r="H73" i="1" l="1"/>
  <c r="O73" i="1" s="1"/>
  <c r="G74" i="1" s="1"/>
  <c r="N73" i="1"/>
  <c r="L74" i="1" l="1"/>
  <c r="S74" i="1" s="1"/>
  <c r="J74" i="1"/>
  <c r="M74" i="1"/>
  <c r="F75" i="1" s="1"/>
  <c r="H74" i="1" l="1"/>
  <c r="O74" i="1" s="1"/>
  <c r="G75" i="1" s="1"/>
  <c r="N74" i="1"/>
  <c r="L75" i="1" l="1"/>
  <c r="S75" i="1" s="1"/>
  <c r="M75" i="1"/>
  <c r="F76" i="1" s="1"/>
  <c r="J75" i="1"/>
  <c r="H75" i="1" l="1"/>
  <c r="O75" i="1" s="1"/>
  <c r="G76" i="1" s="1"/>
  <c r="N75" i="1"/>
  <c r="L76" i="1" l="1"/>
  <c r="S76" i="1" s="1"/>
  <c r="J76" i="1"/>
  <c r="M76" i="1"/>
  <c r="F77" i="1" s="1"/>
  <c r="H76" i="1" l="1"/>
  <c r="O76" i="1" s="1"/>
  <c r="G77" i="1" s="1"/>
  <c r="N76" i="1"/>
  <c r="L77" i="1" l="1"/>
  <c r="S77" i="1" s="1"/>
  <c r="J77" i="1"/>
  <c r="M77" i="1"/>
  <c r="F78" i="1" s="1"/>
  <c r="H77" i="1" l="1"/>
  <c r="O77" i="1" s="1"/>
  <c r="G78" i="1" s="1"/>
  <c r="N77" i="1"/>
  <c r="L78" i="1" l="1"/>
  <c r="S78" i="1" s="1"/>
  <c r="J78" i="1"/>
  <c r="M78" i="1"/>
  <c r="F79" i="1" s="1"/>
  <c r="H78" i="1" l="1"/>
  <c r="O78" i="1" s="1"/>
  <c r="G79" i="1" s="1"/>
  <c r="N78" i="1"/>
  <c r="L79" i="1" l="1"/>
  <c r="S79" i="1" s="1"/>
  <c r="J79" i="1"/>
  <c r="M79" i="1"/>
  <c r="F80" i="1" s="1"/>
  <c r="H79" i="1" l="1"/>
  <c r="O79" i="1" s="1"/>
  <c r="G80" i="1" s="1"/>
  <c r="N79" i="1"/>
  <c r="L80" i="1" l="1"/>
  <c r="S80" i="1" s="1"/>
  <c r="J80" i="1"/>
  <c r="M80" i="1"/>
  <c r="F81" i="1" s="1"/>
  <c r="H80" i="1" l="1"/>
  <c r="O80" i="1" s="1"/>
  <c r="G81" i="1" s="1"/>
  <c r="N80" i="1"/>
  <c r="L81" i="1" l="1"/>
  <c r="S81" i="1" s="1"/>
  <c r="J81" i="1"/>
  <c r="M81" i="1"/>
  <c r="F82" i="1" s="1"/>
  <c r="H81" i="1" l="1"/>
  <c r="O81" i="1" s="1"/>
  <c r="G82" i="1" s="1"/>
  <c r="N81" i="1"/>
  <c r="L82" i="1" l="1"/>
  <c r="S82" i="1" s="1"/>
  <c r="J82" i="1"/>
  <c r="M82" i="1"/>
  <c r="F83" i="1" s="1"/>
  <c r="H82" i="1" l="1"/>
  <c r="O82" i="1" s="1"/>
  <c r="G83" i="1" s="1"/>
  <c r="N82" i="1"/>
  <c r="L83" i="1" l="1"/>
  <c r="S83" i="1" s="1"/>
  <c r="J83" i="1"/>
  <c r="M83" i="1"/>
  <c r="F84" i="1" s="1"/>
  <c r="H83" i="1" l="1"/>
  <c r="O83" i="1" s="1"/>
  <c r="G84" i="1" s="1"/>
  <c r="N83" i="1"/>
  <c r="L84" i="1" l="1"/>
  <c r="S84" i="1" s="1"/>
  <c r="J84" i="1"/>
  <c r="M84" i="1"/>
  <c r="F85" i="1" s="1"/>
  <c r="H84" i="1" l="1"/>
  <c r="O84" i="1" s="1"/>
  <c r="G85" i="1" s="1"/>
  <c r="N84" i="1"/>
  <c r="L85" i="1" l="1"/>
  <c r="S85" i="1" s="1"/>
  <c r="M85" i="1"/>
  <c r="F86" i="1" s="1"/>
  <c r="J85" i="1"/>
  <c r="H85" i="1" l="1"/>
  <c r="O85" i="1" s="1"/>
  <c r="G86" i="1" s="1"/>
  <c r="L86" i="1" s="1"/>
  <c r="N85" i="1"/>
  <c r="S86" i="1" l="1"/>
  <c r="J86" i="1"/>
  <c r="M86" i="1"/>
  <c r="F87" i="1" s="1"/>
  <c r="H86" i="1" l="1"/>
  <c r="O86" i="1" s="1"/>
  <c r="G87" i="1" s="1"/>
  <c r="N86" i="1"/>
  <c r="L87" i="1" l="1"/>
  <c r="S87" i="1" s="1"/>
  <c r="J87" i="1"/>
  <c r="M87" i="1"/>
  <c r="F88" i="1" s="1"/>
  <c r="H87" i="1" l="1"/>
  <c r="O87" i="1" s="1"/>
  <c r="G88" i="1" s="1"/>
  <c r="L88" i="1" s="1"/>
  <c r="N87" i="1"/>
  <c r="S88" i="1" l="1"/>
  <c r="M88" i="1"/>
  <c r="F89" i="1" s="1"/>
  <c r="J88" i="1"/>
  <c r="H88" i="1" l="1"/>
  <c r="O88" i="1" s="1"/>
  <c r="G89" i="1" s="1"/>
  <c r="N88" i="1"/>
  <c r="L89" i="1" l="1"/>
  <c r="S89" i="1" s="1"/>
  <c r="J89" i="1"/>
  <c r="M89" i="1"/>
  <c r="F90" i="1" s="1"/>
  <c r="H89" i="1" l="1"/>
  <c r="O89" i="1" s="1"/>
  <c r="G90" i="1" s="1"/>
  <c r="N89" i="1"/>
  <c r="L90" i="1" l="1"/>
  <c r="S90" i="1" s="1"/>
  <c r="M90" i="1"/>
  <c r="F91" i="1" s="1"/>
  <c r="J90" i="1"/>
  <c r="H90" i="1" l="1"/>
  <c r="N90" i="1"/>
  <c r="O90" i="1"/>
  <c r="G91" i="1" s="1"/>
  <c r="L91" i="1" l="1"/>
  <c r="S91" i="1" s="1"/>
  <c r="J91" i="1"/>
  <c r="M91" i="1"/>
  <c r="F92" i="1" s="1"/>
  <c r="H91" i="1" l="1"/>
  <c r="O91" i="1" s="1"/>
  <c r="G92" i="1" s="1"/>
  <c r="N91" i="1"/>
  <c r="L92" i="1" l="1"/>
  <c r="S92" i="1" s="1"/>
  <c r="J92" i="1"/>
  <c r="M92" i="1"/>
  <c r="F93" i="1" s="1"/>
  <c r="H92" i="1" l="1"/>
  <c r="O92" i="1" s="1"/>
  <c r="G93" i="1" s="1"/>
  <c r="N92" i="1"/>
  <c r="L93" i="1" l="1"/>
  <c r="S93" i="1" s="1"/>
  <c r="M93" i="1"/>
  <c r="J93" i="1"/>
  <c r="H93" i="1" l="1"/>
  <c r="F94" i="1"/>
  <c r="N93" i="1"/>
  <c r="O93" i="1" l="1"/>
  <c r="G94" i="1" s="1"/>
  <c r="L94" i="1" l="1"/>
  <c r="S94" i="1" s="1"/>
  <c r="M94" i="1"/>
  <c r="H94" i="1" s="1"/>
  <c r="J94" i="1"/>
  <c r="F95" i="1" l="1"/>
  <c r="N94" i="1"/>
  <c r="O94" i="1" l="1"/>
  <c r="G95" i="1" s="1"/>
  <c r="L95" i="1" l="1"/>
  <c r="S95" i="1" s="1"/>
  <c r="M95" i="1"/>
  <c r="J95" i="1"/>
  <c r="H95" i="1" l="1"/>
  <c r="F96" i="1"/>
  <c r="N95" i="1"/>
  <c r="O95" i="1" l="1"/>
  <c r="G96" i="1" s="1"/>
  <c r="L96" i="1" l="1"/>
  <c r="S96" i="1" s="1"/>
  <c r="J96" i="1"/>
  <c r="M96" i="1"/>
  <c r="H96" i="1" l="1"/>
  <c r="F97" i="1"/>
  <c r="N96" i="1"/>
  <c r="O96" i="1" l="1"/>
  <c r="G97" i="1" s="1"/>
  <c r="L97" i="1" l="1"/>
  <c r="S97" i="1" s="1"/>
  <c r="M97" i="1"/>
  <c r="J97" i="1"/>
  <c r="H97" i="1" l="1"/>
  <c r="F98" i="1"/>
  <c r="N97" i="1"/>
  <c r="O97" i="1" l="1"/>
  <c r="G98" i="1" s="1"/>
  <c r="L98" i="1" l="1"/>
  <c r="S98" i="1" s="1"/>
  <c r="M98" i="1"/>
  <c r="F99" i="1" s="1"/>
  <c r="J98" i="1"/>
  <c r="H98" i="1" l="1"/>
  <c r="O98" i="1" s="1"/>
  <c r="G99" i="1" s="1"/>
  <c r="N98" i="1"/>
  <c r="L99" i="1" l="1"/>
  <c r="S99" i="1" s="1"/>
  <c r="J99" i="1"/>
  <c r="M99" i="1"/>
  <c r="F100" i="1" s="1"/>
  <c r="H99" i="1" l="1"/>
  <c r="O99" i="1" s="1"/>
  <c r="G100" i="1" s="1"/>
  <c r="N99" i="1"/>
  <c r="F102" i="1"/>
  <c r="L100" i="1" l="1"/>
  <c r="S100" i="1" s="1"/>
  <c r="S102" i="1" s="1"/>
  <c r="L102" i="1"/>
  <c r="J100" i="1"/>
  <c r="J102" i="1" s="1"/>
  <c r="M100" i="1"/>
  <c r="M102" i="1" s="1"/>
  <c r="G102" i="1"/>
  <c r="H100" i="1" l="1"/>
  <c r="N100" i="1"/>
  <c r="N102" i="1" s="1"/>
  <c r="E107" i="1" s="1"/>
  <c r="O100" i="1" l="1"/>
  <c r="O102" i="1" s="1"/>
  <c r="H102" i="1"/>
</calcChain>
</file>

<file path=xl/sharedStrings.xml><?xml version="1.0" encoding="utf-8"?>
<sst xmlns="http://schemas.openxmlformats.org/spreadsheetml/2006/main" count="258" uniqueCount="86">
  <si>
    <t xml:space="preserve"> </t>
  </si>
  <si>
    <t>Psi</t>
  </si>
  <si>
    <t>Theta</t>
  </si>
  <si>
    <t>Beta1</t>
  </si>
  <si>
    <t>p</t>
  </si>
  <si>
    <t>y</t>
  </si>
  <si>
    <t>Ni</t>
  </si>
  <si>
    <t>yd</t>
  </si>
  <si>
    <t>i</t>
  </si>
  <si>
    <t>Mi</t>
  </si>
  <si>
    <t>Time</t>
  </si>
  <si>
    <t>Endogenous variables</t>
  </si>
  <si>
    <t>p: Price level</t>
  </si>
  <si>
    <t>y: Output</t>
  </si>
  <si>
    <t>yd: Aggregate demand</t>
  </si>
  <si>
    <t>i: Nominal interest rate</t>
  </si>
  <si>
    <t>∆p: Inflation</t>
  </si>
  <si>
    <t>∆y: Output growth</t>
  </si>
  <si>
    <t>Change over time</t>
  </si>
  <si>
    <t>Parameters</t>
  </si>
  <si>
    <t>Exogenous variables</t>
  </si>
  <si>
    <t>Initial value</t>
  </si>
  <si>
    <t>Final value</t>
  </si>
  <si>
    <t>m: Money</t>
  </si>
  <si>
    <t>Beta0: Government spending</t>
  </si>
  <si>
    <t>Steady State</t>
  </si>
  <si>
    <t>Initial SS</t>
  </si>
  <si>
    <t>Final SS</t>
  </si>
  <si>
    <t>Steady state for p</t>
  </si>
  <si>
    <t>Steady state for y</t>
  </si>
  <si>
    <t>Eigenvalues</t>
  </si>
  <si>
    <t>Real</t>
  </si>
  <si>
    <t>Imaginary</t>
  </si>
  <si>
    <t>Stability condition</t>
  </si>
  <si>
    <t>Ypot: Potential output</t>
  </si>
  <si>
    <t>epsilon</t>
  </si>
  <si>
    <t>z</t>
  </si>
  <si>
    <t>Z</t>
  </si>
  <si>
    <t>m</t>
  </si>
  <si>
    <t>EXERCISE 2: Dynamic IS-LM model with a Recurring Productivity Shock and Money Instrument</t>
  </si>
  <si>
    <t>Rho_z</t>
  </si>
  <si>
    <t>Std Dev z</t>
  </si>
  <si>
    <t>Std Dev</t>
  </si>
  <si>
    <r>
      <t>λ</t>
    </r>
    <r>
      <rPr>
        <vertAlign val="subscript"/>
        <sz val="10"/>
        <rFont val="Arial"/>
        <family val="1"/>
      </rPr>
      <t>1</t>
    </r>
  </si>
  <si>
    <r>
      <t>λ</t>
    </r>
    <r>
      <rPr>
        <vertAlign val="subscript"/>
        <sz val="10"/>
        <rFont val="Arial"/>
        <family val="1"/>
      </rPr>
      <t>2</t>
    </r>
  </si>
  <si>
    <r>
      <t>Modulus (1+λ</t>
    </r>
    <r>
      <rPr>
        <vertAlign val="subscript"/>
        <sz val="10"/>
        <rFont val="Arial"/>
        <family val="1"/>
      </rPr>
      <t>1</t>
    </r>
    <r>
      <rPr>
        <sz val="10"/>
        <rFont val="Arial"/>
        <family val="1"/>
      </rPr>
      <t>)</t>
    </r>
  </si>
  <si>
    <r>
      <t>Modulus (1+λ</t>
    </r>
    <r>
      <rPr>
        <vertAlign val="subscript"/>
        <sz val="10"/>
        <rFont val="Arial"/>
        <family val="1"/>
      </rPr>
      <t>2</t>
    </r>
    <r>
      <rPr>
        <sz val="10"/>
        <rFont val="Arial"/>
        <family val="1"/>
      </rPr>
      <t>)</t>
    </r>
  </si>
  <si>
    <t>∆p</t>
  </si>
  <si>
    <t>∆y</t>
  </si>
  <si>
    <t>λ1</t>
  </si>
  <si>
    <t>λ2</t>
  </si>
  <si>
    <t>Modulus (1+λ1)</t>
  </si>
  <si>
    <t>Modulus (1+λ2)</t>
  </si>
  <si>
    <t>Real i</t>
  </si>
  <si>
    <t>EXERCISE 2: Dynamic IS-LM model with a Recurring Productivity Shock and Fixed Interest Rate</t>
  </si>
  <si>
    <t>rho_i</t>
  </si>
  <si>
    <t>rho_pi</t>
  </si>
  <si>
    <t>Taylor Coefficient</t>
  </si>
  <si>
    <t>Prod shock</t>
  </si>
  <si>
    <t>yn</t>
  </si>
  <si>
    <t>GAP</t>
  </si>
  <si>
    <t>rho-y</t>
  </si>
  <si>
    <t>EXERCISE 2: Dynamic IS-LM model with a Recurring Productivity Shock:  Fixing Money and Adjusting Interest Rates</t>
  </si>
  <si>
    <t>Gap</t>
  </si>
  <si>
    <t>Loss  Function</t>
  </si>
  <si>
    <t>lambda_inf</t>
  </si>
  <si>
    <t>lambda_gdp</t>
  </si>
  <si>
    <t>gap</t>
  </si>
  <si>
    <t>rho_z</t>
  </si>
  <si>
    <t>sigma_z</t>
  </si>
  <si>
    <t>RTFPNAUSA632NRUG</t>
  </si>
  <si>
    <t>lin</t>
  </si>
  <si>
    <t>Index 2017=1, Not Seasonally Adjusted</t>
  </si>
  <si>
    <t>a</t>
  </si>
  <si>
    <t>Annual</t>
  </si>
  <si>
    <t>1954-01-01 to 2019-01-01</t>
  </si>
  <si>
    <t>Total Factor Productivity at Constant National Prices for United States</t>
  </si>
  <si>
    <t>University of Groningen, University of California, Davis</t>
  </si>
  <si>
    <t>value</t>
  </si>
  <si>
    <t>lambda_i</t>
  </si>
  <si>
    <t>lambda_realint</t>
  </si>
  <si>
    <t>∆i</t>
  </si>
  <si>
    <t>fixed ep</t>
  </si>
  <si>
    <t>TFP</t>
  </si>
  <si>
    <t>Base loss</t>
  </si>
  <si>
    <t>$loss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</si>
</sst>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vertAlign val="subscript"/>
      <sz val="10"/>
      <name val="Arial"/>
      <family val="1"/>
    </font>
    <font>
      <sz val="10"/>
      <name val="Arial"/>
      <family val="1"/>
    </font>
    <font>
      <sz val="6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0" fontId="7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Output</a:t>
            </a:r>
          </a:p>
        </c:rich>
      </c:tx>
      <c:layout>
        <c:manualLayout>
          <c:xMode val="edge"/>
          <c:yMode val="edge"/>
          <c:x val="0.43431496062992125"/>
          <c:y val="4.18729212222772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60154097343796"/>
          <c:y val="0.24774883757758648"/>
          <c:w val="0.77165552118069525"/>
          <c:h val="0.4684705292376180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dPt>
            <c:idx val="25"/>
            <c:bubble3D val="0"/>
            <c:spPr>
              <a:ln w="254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E7-49AE-9D13-5154CD52136E}"/>
              </c:ext>
            </c:extLst>
          </c:dPt>
          <c:cat>
            <c:numRef>
              <c:f>'Fixing Money'!$E$3:$E$32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'Fixing Money'!$G$3:$G$32</c:f>
              <c:numCache>
                <c:formatCode>General</c:formatCode>
                <c:ptCount val="30"/>
                <c:pt idx="0">
                  <c:v>2000</c:v>
                </c:pt>
                <c:pt idx="1">
                  <c:v>2000.0000000000002</c:v>
                </c:pt>
                <c:pt idx="2">
                  <c:v>2001.0000000000002</c:v>
                </c:pt>
                <c:pt idx="3">
                  <c:v>2002.4211454605827</c:v>
                </c:pt>
                <c:pt idx="4">
                  <c:v>2003.9474409675208</c:v>
                </c:pt>
                <c:pt idx="5">
                  <c:v>2005.5288487714656</c:v>
                </c:pt>
                <c:pt idx="6">
                  <c:v>2007.0808155049237</c:v>
                </c:pt>
                <c:pt idx="7">
                  <c:v>2008.6704835133851</c:v>
                </c:pt>
                <c:pt idx="8">
                  <c:v>2010.2067241022467</c:v>
                </c:pt>
                <c:pt idx="9">
                  <c:v>2011.7451703252659</c:v>
                </c:pt>
                <c:pt idx="10">
                  <c:v>2013.3827642082474</c:v>
                </c:pt>
                <c:pt idx="11">
                  <c:v>2015.1387817183404</c:v>
                </c:pt>
                <c:pt idx="12">
                  <c:v>2016.8889155022571</c:v>
                </c:pt>
                <c:pt idx="13">
                  <c:v>2018.5750393897806</c:v>
                </c:pt>
                <c:pt idx="14">
                  <c:v>2020.0911446411224</c:v>
                </c:pt>
                <c:pt idx="15">
                  <c:v>2021.7219612188101</c:v>
                </c:pt>
                <c:pt idx="16">
                  <c:v>2023.2781651780967</c:v>
                </c:pt>
                <c:pt idx="17">
                  <c:v>2024.7866216107727</c:v>
                </c:pt>
                <c:pt idx="18">
                  <c:v>2026.2766762879462</c:v>
                </c:pt>
                <c:pt idx="19">
                  <c:v>2027.7263174520301</c:v>
                </c:pt>
                <c:pt idx="20">
                  <c:v>2029.2498022440118</c:v>
                </c:pt>
                <c:pt idx="21">
                  <c:v>2030.7939764370728</c:v>
                </c:pt>
                <c:pt idx="22">
                  <c:v>2032.4459383339272</c:v>
                </c:pt>
                <c:pt idx="23">
                  <c:v>2034.0644540426504</c:v>
                </c:pt>
                <c:pt idx="24">
                  <c:v>2035.6394229442412</c:v>
                </c:pt>
                <c:pt idx="25">
                  <c:v>2037.2196730759674</c:v>
                </c:pt>
                <c:pt idx="26">
                  <c:v>2038.6669303959302</c:v>
                </c:pt>
                <c:pt idx="27">
                  <c:v>2040.0420614131508</c:v>
                </c:pt>
                <c:pt idx="28">
                  <c:v>2041.4216708245333</c:v>
                </c:pt>
                <c:pt idx="29">
                  <c:v>2042.797451625602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E7-49AE-9D13-5154CD521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236400"/>
        <c:axId val="291234720"/>
      </c:lineChart>
      <c:catAx>
        <c:axId val="29123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51971404890178208"/>
              <c:y val="0.85978031271472954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123472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123472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123640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Aggregate demand</a:t>
            </a:r>
          </a:p>
        </c:rich>
      </c:tx>
      <c:layout>
        <c:manualLayout>
          <c:xMode val="edge"/>
          <c:yMode val="edge"/>
          <c:x val="0.31413660825553302"/>
          <c:y val="3.66304780084307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75109770370574"/>
          <c:y val="0.22727311529091199"/>
          <c:w val="0.77862788900457469"/>
          <c:h val="0.5244764199021045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'Fixing Money'!$E$3:$E$32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'Fixing Money'!$H$3:$H$32</c:f>
              <c:numCache>
                <c:formatCode>General</c:formatCode>
                <c:ptCount val="30"/>
                <c:pt idx="0">
                  <c:v>2000.0000000000014</c:v>
                </c:pt>
                <c:pt idx="1">
                  <c:v>2009.9999999999995</c:v>
                </c:pt>
                <c:pt idx="2">
                  <c:v>2015.2114546058247</c:v>
                </c:pt>
                <c:pt idx="3">
                  <c:v>2017.6841005299641</c:v>
                </c:pt>
                <c:pt idx="4">
                  <c:v>2019.7615190069698</c:v>
                </c:pt>
                <c:pt idx="5">
                  <c:v>2021.0485161060478</c:v>
                </c:pt>
                <c:pt idx="6">
                  <c:v>2022.9774955895377</c:v>
                </c:pt>
                <c:pt idx="7">
                  <c:v>2024.0328894020015</c:v>
                </c:pt>
                <c:pt idx="8">
                  <c:v>2025.59118633244</c:v>
                </c:pt>
                <c:pt idx="9">
                  <c:v>2028.1211091550801</c:v>
                </c:pt>
                <c:pt idx="10">
                  <c:v>2030.9429393091762</c:v>
                </c:pt>
                <c:pt idx="11">
                  <c:v>2032.6401195575068</c:v>
                </c:pt>
                <c:pt idx="12">
                  <c:v>2033.7501543774929</c:v>
                </c:pt>
                <c:pt idx="13">
                  <c:v>2033.7360919031976</c:v>
                </c:pt>
                <c:pt idx="14">
                  <c:v>2036.3993104179983</c:v>
                </c:pt>
                <c:pt idx="15">
                  <c:v>2037.2840008116777</c:v>
                </c:pt>
                <c:pt idx="16">
                  <c:v>2038.3627295048559</c:v>
                </c:pt>
                <c:pt idx="17">
                  <c:v>2039.6871683825068</c:v>
                </c:pt>
                <c:pt idx="18">
                  <c:v>2040.7730879287856</c:v>
                </c:pt>
                <c:pt idx="19">
                  <c:v>2042.961165371848</c:v>
                </c:pt>
                <c:pt idx="20">
                  <c:v>2044.6915441746225</c:v>
                </c:pt>
                <c:pt idx="21">
                  <c:v>2047.3135954056161</c:v>
                </c:pt>
                <c:pt idx="22">
                  <c:v>2048.6310954211599</c:v>
                </c:pt>
                <c:pt idx="23">
                  <c:v>2049.8141430585592</c:v>
                </c:pt>
                <c:pt idx="24">
                  <c:v>2051.441924261504</c:v>
                </c:pt>
                <c:pt idx="25">
                  <c:v>2051.6922462755947</c:v>
                </c:pt>
                <c:pt idx="26">
                  <c:v>2052.4182405681358</c:v>
                </c:pt>
                <c:pt idx="27">
                  <c:v>2053.8381555269752</c:v>
                </c:pt>
                <c:pt idx="28">
                  <c:v>2055.1794788352204</c:v>
                </c:pt>
                <c:pt idx="29">
                  <c:v>2057.8277574424096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5-4A4F-B9E4-5D2F4A175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933248"/>
        <c:axId val="292385680"/>
      </c:lineChart>
      <c:catAx>
        <c:axId val="29093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50785382596406226"/>
              <c:y val="0.86080887616320678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23856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238568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0933248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Nominal  interest rate</a:t>
            </a:r>
          </a:p>
        </c:rich>
      </c:tx>
      <c:layout>
        <c:manualLayout>
          <c:xMode val="edge"/>
          <c:yMode val="edge"/>
          <c:x val="0.33837082271986813"/>
          <c:y val="3.67650841460613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35354806423952"/>
          <c:y val="0.24663731133800304"/>
          <c:w val="0.83582292595354757"/>
          <c:h val="0.4708530489180057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'Fixing Money'!$E$3:$E$32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'Fixing Money'!$L$3:$L$32</c:f>
              <c:numCache>
                <c:formatCode>General</c:formatCode>
                <c:ptCount val="30"/>
                <c:pt idx="0">
                  <c:v>1.9999999999999716</c:v>
                </c:pt>
                <c:pt idx="1">
                  <c:v>1.8000000000000114</c:v>
                </c:pt>
                <c:pt idx="2">
                  <c:v>1.7000000000000171</c:v>
                </c:pt>
                <c:pt idx="3">
                  <c:v>1.6505727302913158</c:v>
                </c:pt>
                <c:pt idx="4">
                  <c:v>1.6117117627663333</c:v>
                </c:pt>
                <c:pt idx="5">
                  <c:v>1.5837368289722633</c:v>
                </c:pt>
                <c:pt idx="6">
                  <c:v>1.5483478045045445</c:v>
                </c:pt>
                <c:pt idx="7">
                  <c:v>1.5231100379412794</c:v>
                </c:pt>
                <c:pt idx="8">
                  <c:v>1.4842697487900693</c:v>
                </c:pt>
                <c:pt idx="9">
                  <c:v>1.4303013219697505</c:v>
                </c:pt>
                <c:pt idx="10">
                  <c:v>1.3795077204106008</c:v>
                </c:pt>
                <c:pt idx="11">
                  <c:v>1.35184248460817</c:v>
                </c:pt>
                <c:pt idx="12">
                  <c:v>1.3361456145164539</c:v>
                </c:pt>
                <c:pt idx="13">
                  <c:v>1.3270554074014456</c:v>
                </c:pt>
                <c:pt idx="14">
                  <c:v>1.2822204234664412</c:v>
                </c:pt>
                <c:pt idx="15">
                  <c:v>1.2657153448880365</c:v>
                </c:pt>
                <c:pt idx="16">
                  <c:v>1.244126463059871</c:v>
                </c:pt>
                <c:pt idx="17">
                  <c:v>1.2177342126414885</c:v>
                </c:pt>
                <c:pt idx="18">
                  <c:v>1.1896948409420816</c:v>
                </c:pt>
                <c:pt idx="19">
                  <c:v>1.1449721563860749</c:v>
                </c:pt>
                <c:pt idx="20">
                  <c:v>1.1057115632303294</c:v>
                </c:pt>
                <c:pt idx="21">
                  <c:v>1.0592138759819818</c:v>
                </c:pt>
                <c:pt idx="22">
                  <c:v>1.0353816338560478</c:v>
                </c:pt>
                <c:pt idx="23">
                  <c:v>1.0132402892868697</c:v>
                </c:pt>
                <c:pt idx="24">
                  <c:v>0.98978348036206398</c:v>
                </c:pt>
                <c:pt idx="25">
                  <c:v>0.98505242471898669</c:v>
                </c:pt>
                <c:pt idx="26">
                  <c:v>0.96757285717703212</c:v>
                </c:pt>
                <c:pt idx="27">
                  <c:v>0.93696129597861955</c:v>
                </c:pt>
                <c:pt idx="28">
                  <c:v>0.90237105015313546</c:v>
                </c:pt>
                <c:pt idx="29">
                  <c:v>0.85187038397509696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2-41F3-B92C-82DCE374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555520"/>
        <c:axId val="859556080"/>
      </c:lineChart>
      <c:catAx>
        <c:axId val="85955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48041771966833058"/>
              <c:y val="0.8602942813966435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9556080"/>
        <c:crossesAt val="0"/>
        <c:auto val="1"/>
        <c:lblAlgn val="ctr"/>
        <c:lblOffset val="100"/>
        <c:tickLblSkip val="4"/>
        <c:tickMarkSkip val="1"/>
        <c:noMultiLvlLbl val="0"/>
      </c:catAx>
      <c:valAx>
        <c:axId val="8595560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955552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Price level</a:t>
            </a:r>
          </a:p>
        </c:rich>
      </c:tx>
      <c:layout>
        <c:manualLayout>
          <c:xMode val="edge"/>
          <c:yMode val="edge"/>
          <c:x val="0.58759904605498348"/>
          <c:y val="5.15923054116196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75109770370574"/>
          <c:y val="0.22727311529091199"/>
          <c:w val="0.77862788900457469"/>
          <c:h val="0.5244764199021045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'Fixing Money'!$E$3:$E$32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'Fixing Money'!$F$3:$F$32</c:f>
              <c:numCache>
                <c:formatCode>General</c:formatCode>
                <c:ptCount val="30"/>
                <c:pt idx="0">
                  <c:v>0.99999999999998579</c:v>
                </c:pt>
                <c:pt idx="1">
                  <c:v>0.99999999999998579</c:v>
                </c:pt>
                <c:pt idx="2">
                  <c:v>0.99999999999998579</c:v>
                </c:pt>
                <c:pt idx="3">
                  <c:v>1.0042290921164974</c:v>
                </c:pt>
                <c:pt idx="4">
                  <c:v>1.008483833007094</c:v>
                </c:pt>
                <c:pt idx="5">
                  <c:v>1.0154259759128235</c:v>
                </c:pt>
                <c:pt idx="6">
                  <c:v>1.0201331270060425</c:v>
                </c:pt>
                <c:pt idx="7">
                  <c:v>1.0280308433013416</c:v>
                </c:pt>
                <c:pt idx="8">
                  <c:v>1.0317986692826495</c:v>
                </c:pt>
                <c:pt idx="9">
                  <c:v>1.0278921447215195</c:v>
                </c:pt>
                <c:pt idx="10">
                  <c:v>1.0206156497928716</c:v>
                </c:pt>
                <c:pt idx="11">
                  <c:v>1.018982156386997</c:v>
                </c:pt>
                <c:pt idx="12">
                  <c:v>1.0236270321453036</c:v>
                </c:pt>
                <c:pt idx="13">
                  <c:v>1.0347757342116133</c:v>
                </c:pt>
                <c:pt idx="14">
                  <c:v>1.036552979677009</c:v>
                </c:pt>
                <c:pt idx="15">
                  <c:v>1.0467596115034159</c:v>
                </c:pt>
                <c:pt idx="16">
                  <c:v>1.0581549726250095</c:v>
                </c:pt>
                <c:pt idx="17">
                  <c:v>1.0695360257819972</c:v>
                </c:pt>
                <c:pt idx="18">
                  <c:v>1.0810136060736211</c:v>
                </c:pt>
                <c:pt idx="19">
                  <c:v>1.0861702055914129</c:v>
                </c:pt>
                <c:pt idx="20">
                  <c:v>1.0903656694144472</c:v>
                </c:pt>
                <c:pt idx="21">
                  <c:v>1.089908116137227</c:v>
                </c:pt>
                <c:pt idx="22">
                  <c:v>1.0953939002315314</c:v>
                </c:pt>
                <c:pt idx="23">
                  <c:v>1.1033974425107789</c:v>
                </c:pt>
                <c:pt idx="24">
                  <c:v>1.1129205929688322</c:v>
                </c:pt>
                <c:pt idx="25">
                  <c:v>1.1315425585609784</c:v>
                </c:pt>
                <c:pt idx="26">
                  <c:v>1.1504399087918593</c:v>
                </c:pt>
                <c:pt idx="27">
                  <c:v>1.1663775773316112</c:v>
                </c:pt>
                <c:pt idx="28">
                  <c:v>1.1801019838497389</c:v>
                </c:pt>
                <c:pt idx="29">
                  <c:v>1.1860626107072794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8-4EE0-9421-E8D0C5BFE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558320"/>
        <c:axId val="859558880"/>
      </c:lineChart>
      <c:catAx>
        <c:axId val="85955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50785382596406226"/>
              <c:y val="0.86080887616320678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95588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595588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955832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'Fixing Money'!$M$2</c:f>
              <c:strCache>
                <c:ptCount val="1"/>
                <c:pt idx="0">
                  <c:v>∆p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'Fixing Money'!$M$3:$M$49</c:f>
              <c:numCache>
                <c:formatCode>General</c:formatCode>
                <c:ptCount val="47"/>
                <c:pt idx="0">
                  <c:v>0</c:v>
                </c:pt>
                <c:pt idx="1">
                  <c:v>2.2204460492503129E-17</c:v>
                </c:pt>
                <c:pt idx="2">
                  <c:v>4.229092116511601E-3</c:v>
                </c:pt>
                <c:pt idx="3">
                  <c:v>4.2547408905966684E-3</c:v>
                </c:pt>
                <c:pt idx="4">
                  <c:v>6.9421429057295349E-3</c:v>
                </c:pt>
                <c:pt idx="5">
                  <c:v>4.707151093219078E-3</c:v>
                </c:pt>
                <c:pt idx="6">
                  <c:v>7.8977162952990863E-3</c:v>
                </c:pt>
                <c:pt idx="7">
                  <c:v>3.7678259813078326E-3</c:v>
                </c:pt>
                <c:pt idx="8">
                  <c:v>-3.9065245611300502E-3</c:v>
                </c:pt>
                <c:pt idx="9">
                  <c:v>-7.2764949286478579E-3</c:v>
                </c:pt>
                <c:pt idx="10">
                  <c:v>-1.6334934058745327E-3</c:v>
                </c:pt>
                <c:pt idx="11">
                  <c:v>4.644875758306524E-3</c:v>
                </c:pt>
                <c:pt idx="12">
                  <c:v>1.1148702066309761E-2</c:v>
                </c:pt>
                <c:pt idx="13">
                  <c:v>1.7772454653956172E-3</c:v>
                </c:pt>
                <c:pt idx="14">
                  <c:v>1.0206631826406925E-2</c:v>
                </c:pt>
                <c:pt idx="15">
                  <c:v>1.1395361121593461E-2</c:v>
                </c:pt>
                <c:pt idx="16">
                  <c:v>1.1381053156987755E-2</c:v>
                </c:pt>
                <c:pt idx="17">
                  <c:v>1.1477580291623921E-2</c:v>
                </c:pt>
                <c:pt idx="18">
                  <c:v>5.1565995177916962E-3</c:v>
                </c:pt>
                <c:pt idx="19">
                  <c:v>4.1954638230344288E-3</c:v>
                </c:pt>
                <c:pt idx="20">
                  <c:v>-4.575532772201671E-4</c:v>
                </c:pt>
                <c:pt idx="21">
                  <c:v>5.4857840943042871E-3</c:v>
                </c:pt>
                <c:pt idx="22">
                  <c:v>8.003542279247591E-3</c:v>
                </c:pt>
                <c:pt idx="23">
                  <c:v>9.5231504580532231E-3</c:v>
                </c:pt>
                <c:pt idx="24">
                  <c:v>1.8621965592146301E-2</c:v>
                </c:pt>
                <c:pt idx="25">
                  <c:v>1.8897350230880836E-2</c:v>
                </c:pt>
                <c:pt idx="26">
                  <c:v>1.5937668539751905E-2</c:v>
                </c:pt>
                <c:pt idx="27">
                  <c:v>1.3724406518127575E-2</c:v>
                </c:pt>
                <c:pt idx="28">
                  <c:v>5.9606268575405422E-3</c:v>
                </c:pt>
                <c:pt idx="29">
                  <c:v>8.4255328232878957E-3</c:v>
                </c:pt>
                <c:pt idx="30">
                  <c:v>6.3576557414151413E-3</c:v>
                </c:pt>
                <c:pt idx="31">
                  <c:v>4.6550896713107789E-3</c:v>
                </c:pt>
                <c:pt idx="32">
                  <c:v>1.4470709710391581E-2</c:v>
                </c:pt>
                <c:pt idx="33">
                  <c:v>1.7013064434433046E-2</c:v>
                </c:pt>
                <c:pt idx="34">
                  <c:v>1.3495716975078087E-2</c:v>
                </c:pt>
                <c:pt idx="35">
                  <c:v>2.1867224487491406E-2</c:v>
                </c:pt>
                <c:pt idx="36">
                  <c:v>1.7816186942008677E-2</c:v>
                </c:pt>
                <c:pt idx="37">
                  <c:v>2.294210589320007E-2</c:v>
                </c:pt>
                <c:pt idx="38">
                  <c:v>2.3536160304170998E-2</c:v>
                </c:pt>
                <c:pt idx="39">
                  <c:v>1.7920520063626853E-2</c:v>
                </c:pt>
                <c:pt idx="40">
                  <c:v>5.5651080350559859E-3</c:v>
                </c:pt>
                <c:pt idx="41">
                  <c:v>-1.6973582874501422E-3</c:v>
                </c:pt>
                <c:pt idx="42">
                  <c:v>-6.4163490738896201E-3</c:v>
                </c:pt>
                <c:pt idx="43">
                  <c:v>-4.2670090847539838E-3</c:v>
                </c:pt>
                <c:pt idx="44">
                  <c:v>-3.0918805130918923E-3</c:v>
                </c:pt>
                <c:pt idx="45">
                  <c:v>-1.2651709711234558E-2</c:v>
                </c:pt>
                <c:pt idx="46">
                  <c:v>-1.2407816408365482E-2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F-4162-A710-C8FE83F34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112880"/>
        <c:axId val="1289108080"/>
      </c:lineChart>
      <c:catAx>
        <c:axId val="128911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08080"/>
        <c:crosses val="autoZero"/>
        <c:auto val="1"/>
        <c:lblAlgn val="ctr"/>
        <c:lblOffset val="100"/>
        <c:noMultiLvlLbl val="0"/>
      </c:catAx>
      <c:valAx>
        <c:axId val="12891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1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'Fixing Money'!$L$2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'Fixing Money'!$L$3:$L$101</c:f>
              <c:numCache>
                <c:formatCode>General</c:formatCode>
                <c:ptCount val="99"/>
                <c:pt idx="0">
                  <c:v>1.9999999999999716</c:v>
                </c:pt>
                <c:pt idx="1">
                  <c:v>1.8000000000000114</c:v>
                </c:pt>
                <c:pt idx="2">
                  <c:v>1.7000000000000171</c:v>
                </c:pt>
                <c:pt idx="3">
                  <c:v>1.6505727302913158</c:v>
                </c:pt>
                <c:pt idx="4">
                  <c:v>1.6117117627663333</c:v>
                </c:pt>
                <c:pt idx="5">
                  <c:v>1.5837368289722633</c:v>
                </c:pt>
                <c:pt idx="6">
                  <c:v>1.5483478045045445</c:v>
                </c:pt>
                <c:pt idx="7">
                  <c:v>1.5231100379412794</c:v>
                </c:pt>
                <c:pt idx="8">
                  <c:v>1.4842697487900693</c:v>
                </c:pt>
                <c:pt idx="9">
                  <c:v>1.4303013219697505</c:v>
                </c:pt>
                <c:pt idx="10">
                  <c:v>1.3795077204106008</c:v>
                </c:pt>
                <c:pt idx="11">
                  <c:v>1.35184248460817</c:v>
                </c:pt>
                <c:pt idx="12">
                  <c:v>1.3361456145164539</c:v>
                </c:pt>
                <c:pt idx="13">
                  <c:v>1.3270554074014456</c:v>
                </c:pt>
                <c:pt idx="14">
                  <c:v>1.2822204234664412</c:v>
                </c:pt>
                <c:pt idx="15">
                  <c:v>1.2657153448880365</c:v>
                </c:pt>
                <c:pt idx="16">
                  <c:v>1.244126463059871</c:v>
                </c:pt>
                <c:pt idx="17">
                  <c:v>1.2177342126414885</c:v>
                </c:pt>
                <c:pt idx="18">
                  <c:v>1.1896948409420816</c:v>
                </c:pt>
                <c:pt idx="19">
                  <c:v>1.1449721563860749</c:v>
                </c:pt>
                <c:pt idx="20">
                  <c:v>1.1057115632303294</c:v>
                </c:pt>
                <c:pt idx="21">
                  <c:v>1.0592138759819818</c:v>
                </c:pt>
                <c:pt idx="22">
                  <c:v>1.0353816338560478</c:v>
                </c:pt>
                <c:pt idx="23">
                  <c:v>1.0132402892868697</c:v>
                </c:pt>
                <c:pt idx="24">
                  <c:v>0.98978348036206398</c:v>
                </c:pt>
                <c:pt idx="25">
                  <c:v>0.98505242471898669</c:v>
                </c:pt>
                <c:pt idx="26">
                  <c:v>0.96757285717703212</c:v>
                </c:pt>
                <c:pt idx="27">
                  <c:v>0.93696129597861955</c:v>
                </c:pt>
                <c:pt idx="28">
                  <c:v>0.90237105015313546</c:v>
                </c:pt>
                <c:pt idx="29">
                  <c:v>0.85187038397509696</c:v>
                </c:pt>
                <c:pt idx="30">
                  <c:v>0.81902450778974867</c:v>
                </c:pt>
                <c:pt idx="31">
                  <c:v>0.78240157117562603</c:v>
                </c:pt>
                <c:pt idx="32">
                  <c:v>0.74476751250293205</c:v>
                </c:pt>
                <c:pt idx="33">
                  <c:v>0.73518395706585693</c:v>
                </c:pt>
                <c:pt idx="34">
                  <c:v>0.7206005636432451</c:v>
                </c:pt>
                <c:pt idx="35">
                  <c:v>0.68937645051266827</c:v>
                </c:pt>
                <c:pt idx="36">
                  <c:v>0.6805147174364663</c:v>
                </c:pt>
                <c:pt idx="37">
                  <c:v>0.65121587523984203</c:v>
                </c:pt>
                <c:pt idx="38">
                  <c:v>0.63587437312747852</c:v>
                </c:pt>
                <c:pt idx="39">
                  <c:v>0.61581132948867889</c:v>
                </c:pt>
                <c:pt idx="40">
                  <c:v>0.57845424349261521</c:v>
                </c:pt>
                <c:pt idx="41">
                  <c:v>0.51620698303545964</c:v>
                </c:pt>
                <c:pt idx="42">
                  <c:v>0.45426493465333806</c:v>
                </c:pt>
                <c:pt idx="43">
                  <c:v>0.39735116667694115</c:v>
                </c:pt>
                <c:pt idx="44">
                  <c:v>0.35867573964441135</c:v>
                </c:pt>
                <c:pt idx="45">
                  <c:v>0.32528998844361467</c:v>
                </c:pt>
                <c:pt idx="46">
                  <c:v>0.26741773886533338</c:v>
                </c:pt>
                <c:pt idx="47">
                  <c:v>0.22234823034895612</c:v>
                </c:pt>
                <c:pt idx="48">
                  <c:v>0.17749872163003033</c:v>
                </c:pt>
                <c:pt idx="49">
                  <c:v>0.1485679492305394</c:v>
                </c:pt>
                <c:pt idx="50">
                  <c:v>0.10517052857991871</c:v>
                </c:pt>
                <c:pt idx="51">
                  <c:v>5.45963788795234E-2</c:v>
                </c:pt>
                <c:pt idx="52">
                  <c:v>1.5846812875111027E-2</c:v>
                </c:pt>
                <c:pt idx="53">
                  <c:v>6.554609501364439E-3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2-40A8-93C9-042F3BBD1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741520"/>
        <c:axId val="1232263552"/>
      </c:lineChart>
      <c:catAx>
        <c:axId val="162474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63552"/>
        <c:crosses val="autoZero"/>
        <c:auto val="1"/>
        <c:lblAlgn val="ctr"/>
        <c:lblOffset val="100"/>
        <c:noMultiLvlLbl val="0"/>
      </c:catAx>
      <c:valAx>
        <c:axId val="123226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4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Sheet2!$I$8</c:f>
              <c:strCache>
                <c:ptCount val="1"/>
                <c:pt idx="0">
                  <c:v>TFP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Sheet2!$H$9:$H$73</c:f>
              <c:numCache>
                <c:formatCode>m/d/yyyy</c:formatCode>
                <c:ptCount val="65"/>
                <c:pt idx="0">
                  <c:v>20090</c:v>
                </c:pt>
                <c:pt idx="1">
                  <c:v>20455</c:v>
                </c:pt>
                <c:pt idx="2">
                  <c:v>20821</c:v>
                </c:pt>
                <c:pt idx="3">
                  <c:v>21186</c:v>
                </c:pt>
                <c:pt idx="4">
                  <c:v>21551</c:v>
                </c:pt>
                <c:pt idx="5">
                  <c:v>21916</c:v>
                </c:pt>
                <c:pt idx="6">
                  <c:v>22282</c:v>
                </c:pt>
                <c:pt idx="7">
                  <c:v>22647</c:v>
                </c:pt>
                <c:pt idx="8">
                  <c:v>23012</c:v>
                </c:pt>
                <c:pt idx="9">
                  <c:v>23377</c:v>
                </c:pt>
                <c:pt idx="10">
                  <c:v>23743</c:v>
                </c:pt>
                <c:pt idx="11">
                  <c:v>24108</c:v>
                </c:pt>
                <c:pt idx="12">
                  <c:v>24473</c:v>
                </c:pt>
                <c:pt idx="13">
                  <c:v>24838</c:v>
                </c:pt>
                <c:pt idx="14">
                  <c:v>25204</c:v>
                </c:pt>
                <c:pt idx="15">
                  <c:v>25569</c:v>
                </c:pt>
                <c:pt idx="16">
                  <c:v>25934</c:v>
                </c:pt>
                <c:pt idx="17">
                  <c:v>26299</c:v>
                </c:pt>
                <c:pt idx="18">
                  <c:v>26665</c:v>
                </c:pt>
                <c:pt idx="19">
                  <c:v>27030</c:v>
                </c:pt>
                <c:pt idx="20">
                  <c:v>27395</c:v>
                </c:pt>
                <c:pt idx="21">
                  <c:v>27760</c:v>
                </c:pt>
                <c:pt idx="22">
                  <c:v>28126</c:v>
                </c:pt>
                <c:pt idx="23">
                  <c:v>28491</c:v>
                </c:pt>
                <c:pt idx="24">
                  <c:v>28856</c:v>
                </c:pt>
                <c:pt idx="25">
                  <c:v>29221</c:v>
                </c:pt>
                <c:pt idx="26">
                  <c:v>29587</c:v>
                </c:pt>
                <c:pt idx="27">
                  <c:v>29952</c:v>
                </c:pt>
                <c:pt idx="28">
                  <c:v>30317</c:v>
                </c:pt>
                <c:pt idx="29">
                  <c:v>30682</c:v>
                </c:pt>
                <c:pt idx="30">
                  <c:v>31048</c:v>
                </c:pt>
                <c:pt idx="31">
                  <c:v>31413</c:v>
                </c:pt>
                <c:pt idx="32">
                  <c:v>31778</c:v>
                </c:pt>
                <c:pt idx="33">
                  <c:v>32143</c:v>
                </c:pt>
                <c:pt idx="34">
                  <c:v>32509</c:v>
                </c:pt>
                <c:pt idx="35">
                  <c:v>32874</c:v>
                </c:pt>
                <c:pt idx="36">
                  <c:v>33239</c:v>
                </c:pt>
                <c:pt idx="37">
                  <c:v>33604</c:v>
                </c:pt>
                <c:pt idx="38">
                  <c:v>33970</c:v>
                </c:pt>
                <c:pt idx="39">
                  <c:v>34335</c:v>
                </c:pt>
                <c:pt idx="40">
                  <c:v>34700</c:v>
                </c:pt>
                <c:pt idx="41">
                  <c:v>35065</c:v>
                </c:pt>
                <c:pt idx="42">
                  <c:v>35431</c:v>
                </c:pt>
                <c:pt idx="43">
                  <c:v>35796</c:v>
                </c:pt>
                <c:pt idx="44">
                  <c:v>36161</c:v>
                </c:pt>
                <c:pt idx="45">
                  <c:v>36526</c:v>
                </c:pt>
                <c:pt idx="46">
                  <c:v>36892</c:v>
                </c:pt>
                <c:pt idx="47">
                  <c:v>37257</c:v>
                </c:pt>
                <c:pt idx="48">
                  <c:v>37622</c:v>
                </c:pt>
                <c:pt idx="49">
                  <c:v>37987</c:v>
                </c:pt>
                <c:pt idx="50">
                  <c:v>38353</c:v>
                </c:pt>
                <c:pt idx="51">
                  <c:v>38718</c:v>
                </c:pt>
                <c:pt idx="52">
                  <c:v>39083</c:v>
                </c:pt>
                <c:pt idx="53">
                  <c:v>39448</c:v>
                </c:pt>
                <c:pt idx="54">
                  <c:v>39814</c:v>
                </c:pt>
                <c:pt idx="55">
                  <c:v>40179</c:v>
                </c:pt>
                <c:pt idx="56">
                  <c:v>40544</c:v>
                </c:pt>
                <c:pt idx="57">
                  <c:v>40909</c:v>
                </c:pt>
                <c:pt idx="58">
                  <c:v>41275</c:v>
                </c:pt>
                <c:pt idx="59">
                  <c:v>41640</c:v>
                </c:pt>
                <c:pt idx="60">
                  <c:v>42005</c:v>
                </c:pt>
                <c:pt idx="61">
                  <c:v>42370</c:v>
                </c:pt>
                <c:pt idx="62">
                  <c:v>42736</c:v>
                </c:pt>
                <c:pt idx="63">
                  <c:v>43101</c:v>
                </c:pt>
                <c:pt idx="64">
                  <c:v>43466</c:v>
                </c:pt>
              </c:numCache>
            </c:numRef>
          </c:cat>
          <c:val>
            <c:numRef>
              <c:f>Sheet2!$I$9:$I$73</c:f>
              <c:numCache>
                <c:formatCode>General</c:formatCode>
                <c:ptCount val="65"/>
                <c:pt idx="0">
                  <c:v>3.184680223419134E-2</c:v>
                </c:pt>
                <c:pt idx="1">
                  <c:v>-5.7055048411800424E-3</c:v>
                </c:pt>
                <c:pt idx="2">
                  <c:v>1.0819237208320287E-2</c:v>
                </c:pt>
                <c:pt idx="3">
                  <c:v>1.8049067551978992E-3</c:v>
                </c:pt>
                <c:pt idx="4">
                  <c:v>2.7879546883040396E-2</c:v>
                </c:pt>
                <c:pt idx="5">
                  <c:v>5.3669310634744671E-3</c:v>
                </c:pt>
                <c:pt idx="6">
                  <c:v>9.3982923282229236E-3</c:v>
                </c:pt>
                <c:pt idx="7">
                  <c:v>2.1897293514473282E-2</c:v>
                </c:pt>
                <c:pt idx="8">
                  <c:v>1.4474971372330225E-2</c:v>
                </c:pt>
                <c:pt idx="9">
                  <c:v>1.557638677037515E-2</c:v>
                </c:pt>
                <c:pt idx="10">
                  <c:v>1.5610038887289124E-2</c:v>
                </c:pt>
                <c:pt idx="11">
                  <c:v>1.512911477803236E-2</c:v>
                </c:pt>
                <c:pt idx="12">
                  <c:v>-4.41440801716253E-3</c:v>
                </c:pt>
                <c:pt idx="13">
                  <c:v>1.3167563346390354E-2</c:v>
                </c:pt>
                <c:pt idx="14">
                  <c:v>-6.8224312356537364E-3</c:v>
                </c:pt>
                <c:pt idx="15">
                  <c:v>-5.524916291327453E-3</c:v>
                </c:pt>
                <c:pt idx="16">
                  <c:v>1.9624335266461429E-2</c:v>
                </c:pt>
                <c:pt idx="17">
                  <c:v>1.5561554995982496E-2</c:v>
                </c:pt>
                <c:pt idx="18">
                  <c:v>1.3607936512021301E-2</c:v>
                </c:pt>
                <c:pt idx="19">
                  <c:v>-2.7489347514926044E-2</c:v>
                </c:pt>
                <c:pt idx="20">
                  <c:v>1.1186313731064712E-3</c:v>
                </c:pt>
                <c:pt idx="21">
                  <c:v>1.9452023574886124E-2</c:v>
                </c:pt>
                <c:pt idx="22">
                  <c:v>6.6465768140719361E-3</c:v>
                </c:pt>
                <c:pt idx="23">
                  <c:v>5.8647135366486358E-3</c:v>
                </c:pt>
                <c:pt idx="24">
                  <c:v>-7.4462461576378924E-3</c:v>
                </c:pt>
                <c:pt idx="25">
                  <c:v>-1.7714266201172918E-2</c:v>
                </c:pt>
                <c:pt idx="26">
                  <c:v>6.2779400400009566E-3</c:v>
                </c:pt>
                <c:pt idx="27">
                  <c:v>-1.9211419141078906E-2</c:v>
                </c:pt>
                <c:pt idx="28">
                  <c:v>1.9750677735253103E-2</c:v>
                </c:pt>
                <c:pt idx="29">
                  <c:v>2.1657027964592013E-2</c:v>
                </c:pt>
                <c:pt idx="30">
                  <c:v>8.2428352198143651E-3</c:v>
                </c:pt>
                <c:pt idx="31">
                  <c:v>1.0762760016274908E-2</c:v>
                </c:pt>
                <c:pt idx="32">
                  <c:v>4.1188376137454852E-4</c:v>
                </c:pt>
                <c:pt idx="33">
                  <c:v>9.4730418260675076E-3</c:v>
                </c:pt>
                <c:pt idx="34">
                  <c:v>4.9836077847031091E-3</c:v>
                </c:pt>
                <c:pt idx="35">
                  <c:v>4.4163952738421608E-3</c:v>
                </c:pt>
                <c:pt idx="36">
                  <c:v>-3.2797287479836568E-3</c:v>
                </c:pt>
                <c:pt idx="37">
                  <c:v>2.4550255550206845E-2</c:v>
                </c:pt>
                <c:pt idx="38">
                  <c:v>1.3273568563827998E-3</c:v>
                </c:pt>
                <c:pt idx="39">
                  <c:v>5.8996919989680874E-3</c:v>
                </c:pt>
                <c:pt idx="40">
                  <c:v>-1.891691919179872E-3</c:v>
                </c:pt>
                <c:pt idx="41">
                  <c:v>8.843472002603131E-3</c:v>
                </c:pt>
                <c:pt idx="42">
                  <c:v>8.9081799192044231E-3</c:v>
                </c:pt>
                <c:pt idx="43">
                  <c:v>9.7993942147565488E-3</c:v>
                </c:pt>
                <c:pt idx="44">
                  <c:v>1.3633552707483121E-2</c:v>
                </c:pt>
                <c:pt idx="45">
                  <c:v>1.0152459002671144E-2</c:v>
                </c:pt>
                <c:pt idx="46">
                  <c:v>1.8286865813274128E-3</c:v>
                </c:pt>
                <c:pt idx="47">
                  <c:v>1.3350907160414358E-2</c:v>
                </c:pt>
                <c:pt idx="48">
                  <c:v>1.9028339612469268E-2</c:v>
                </c:pt>
                <c:pt idx="49">
                  <c:v>1.7244678038468249E-2</c:v>
                </c:pt>
                <c:pt idx="50">
                  <c:v>1.0897345990529071E-2</c:v>
                </c:pt>
                <c:pt idx="51">
                  <c:v>5.9658699764910186E-4</c:v>
                </c:pt>
                <c:pt idx="52">
                  <c:v>-1.9393017201582326E-3</c:v>
                </c:pt>
                <c:pt idx="53">
                  <c:v>-6.5706227166173886E-3</c:v>
                </c:pt>
                <c:pt idx="54">
                  <c:v>3.0284679941215004E-4</c:v>
                </c:pt>
                <c:pt idx="55">
                  <c:v>1.6269211631555192E-2</c:v>
                </c:pt>
                <c:pt idx="56">
                  <c:v>-1.9928998229175182E-3</c:v>
                </c:pt>
                <c:pt idx="57">
                  <c:v>2.5099685760706682E-3</c:v>
                </c:pt>
                <c:pt idx="58">
                  <c:v>1.869435849748944E-3</c:v>
                </c:pt>
                <c:pt idx="59">
                  <c:v>4.6446073981335732E-3</c:v>
                </c:pt>
                <c:pt idx="60">
                  <c:v>8.9446274646328844E-3</c:v>
                </c:pt>
                <c:pt idx="61">
                  <c:v>8.3648640762658787E-4</c:v>
                </c:pt>
                <c:pt idx="62">
                  <c:v>6.2961483038658931E-3</c:v>
                </c:pt>
                <c:pt idx="63">
                  <c:v>8.1327945337788324E-3</c:v>
                </c:pt>
                <c:pt idx="64">
                  <c:v>8.5239398908445799E-3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1-4B1F-80A1-4CB4FE416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157136"/>
        <c:axId val="279148496"/>
      </c:lineChart>
      <c:dateAx>
        <c:axId val="279157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48496"/>
        <c:crosses val="autoZero"/>
        <c:auto val="1"/>
        <c:lblOffset val="100"/>
        <c:baseTimeUnit val="years"/>
      </c:dateAx>
      <c:valAx>
        <c:axId val="2791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5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Prod with Taylor'!$M$2</c:f>
              <c:strCache>
                <c:ptCount val="1"/>
                <c:pt idx="0">
                  <c:v>∆p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'Base Prod with Taylor'!$M$3:$M$100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4.1791046123464959E-3</c:v>
                </c:pt>
                <c:pt idx="3">
                  <c:v>4.3437568341147424E-3</c:v>
                </c:pt>
                <c:pt idx="4">
                  <c:v>7.1500973762139708E-3</c:v>
                </c:pt>
                <c:pt idx="5">
                  <c:v>5.152832530059737E-3</c:v>
                </c:pt>
                <c:pt idx="6">
                  <c:v>8.4492458152312551E-3</c:v>
                </c:pt>
                <c:pt idx="7">
                  <c:v>4.5718217370019692E-3</c:v>
                </c:pt>
                <c:pt idx="8">
                  <c:v>-3.0769850493525654E-3</c:v>
                </c:pt>
                <c:pt idx="9">
                  <c:v>-6.8139365976289668E-3</c:v>
                </c:pt>
                <c:pt idx="10">
                  <c:v>-1.6975672628439576E-3</c:v>
                </c:pt>
                <c:pt idx="11">
                  <c:v>4.3518190018362549E-3</c:v>
                </c:pt>
                <c:pt idx="12">
                  <c:v>1.0942447089011953E-2</c:v>
                </c:pt>
                <c:pt idx="13">
                  <c:v>1.9717158187872565E-3</c:v>
                </c:pt>
                <c:pt idx="14">
                  <c:v>1.030777422908642E-2</c:v>
                </c:pt>
                <c:pt idx="15">
                  <c:v>1.1823000324860189E-2</c:v>
                </c:pt>
                <c:pt idx="16">
                  <c:v>1.2170086519632762E-2</c:v>
                </c:pt>
                <c:pt idx="17">
                  <c:v>1.2603367013885425E-2</c:v>
                </c:pt>
                <c:pt idx="18">
                  <c:v>6.6006906444147084E-3</c:v>
                </c:pt>
                <c:pt idx="19">
                  <c:v>5.6189765670650264E-3</c:v>
                </c:pt>
                <c:pt idx="20">
                  <c:v>8.9055321542517172E-4</c:v>
                </c:pt>
                <c:pt idx="21">
                  <c:v>6.5204667716500355E-3</c:v>
                </c:pt>
                <c:pt idx="22">
                  <c:v>9.0286181130259102E-3</c:v>
                </c:pt>
                <c:pt idx="23">
                  <c:v>1.0656243105594144E-2</c:v>
                </c:pt>
                <c:pt idx="24">
                  <c:v>1.9927037130228965E-2</c:v>
                </c:pt>
                <c:pt idx="25">
                  <c:v>2.0814338306994709E-2</c:v>
                </c:pt>
                <c:pt idx="26">
                  <c:v>1.8444108752900767E-2</c:v>
                </c:pt>
                <c:pt idx="27">
                  <c:v>1.663846818755399E-2</c:v>
                </c:pt>
                <c:pt idx="28">
                  <c:v>9.1452948437148688E-3</c:v>
                </c:pt>
                <c:pt idx="29">
                  <c:v>1.147174406111473E-2</c:v>
                </c:pt>
                <c:pt idx="30">
                  <c:v>9.3871785689158219E-3</c:v>
                </c:pt>
                <c:pt idx="31">
                  <c:v>7.5561557909996861E-3</c:v>
                </c:pt>
                <c:pt idx="32">
                  <c:v>1.715675733978337E-2</c:v>
                </c:pt>
                <c:pt idx="33">
                  <c:v>1.9977417980671142E-2</c:v>
                </c:pt>
                <c:pt idx="34">
                  <c:v>1.6844420190782739E-2</c:v>
                </c:pt>
                <c:pt idx="35">
                  <c:v>2.5400410296989764E-2</c:v>
                </c:pt>
                <c:pt idx="36">
                  <c:v>2.1937477222732229E-2</c:v>
                </c:pt>
                <c:pt idx="37">
                  <c:v>2.7413235306066409E-2</c:v>
                </c:pt>
                <c:pt idx="38">
                  <c:v>2.8590923841163643E-2</c:v>
                </c:pt>
                <c:pt idx="39">
                  <c:v>2.3553207586716775E-2</c:v>
                </c:pt>
                <c:pt idx="40">
                  <c:v>1.1460883446686233E-2</c:v>
                </c:pt>
                <c:pt idx="41">
                  <c:v>3.8242796372712998E-3</c:v>
                </c:pt>
                <c:pt idx="42">
                  <c:v>-1.6221901093038229E-3</c:v>
                </c:pt>
                <c:pt idx="43">
                  <c:v>-4.112663524192151E-4</c:v>
                </c:pt>
                <c:pt idx="44">
                  <c:v>-3.1508162029503242E-5</c:v>
                </c:pt>
                <c:pt idx="45">
                  <c:v>-1.0298532386687499E-2</c:v>
                </c:pt>
                <c:pt idx="46">
                  <c:v>-1.1213126883486791E-2</c:v>
                </c:pt>
                <c:pt idx="47">
                  <c:v>-1.4046674264237247E-2</c:v>
                </c:pt>
                <c:pt idx="48">
                  <c:v>-1.0451902193438035E-2</c:v>
                </c:pt>
                <c:pt idx="49">
                  <c:v>-1.5285641928760097E-2</c:v>
                </c:pt>
                <c:pt idx="50">
                  <c:v>-2.0522551746371055E-2</c:v>
                </c:pt>
                <c:pt idx="51">
                  <c:v>-1.9712218605302392E-2</c:v>
                </c:pt>
                <c:pt idx="52">
                  <c:v>-9.0213348324390992E-3</c:v>
                </c:pt>
                <c:pt idx="53">
                  <c:v>-4.7819416697468149E-3</c:v>
                </c:pt>
                <c:pt idx="54">
                  <c:v>-6.859771735738818E-5</c:v>
                </c:pt>
                <c:pt idx="55">
                  <c:v>-1.170256040152129E-3</c:v>
                </c:pt>
                <c:pt idx="56">
                  <c:v>-9.5921652234123302E-4</c:v>
                </c:pt>
                <c:pt idx="57">
                  <c:v>3.0826586142709725E-3</c:v>
                </c:pt>
                <c:pt idx="58">
                  <c:v>1.0737658318498156E-3</c:v>
                </c:pt>
                <c:pt idx="59">
                  <c:v>7.2119837577595553E-4</c:v>
                </c:pt>
                <c:pt idx="60">
                  <c:v>1.2352404997866273E-3</c:v>
                </c:pt>
                <c:pt idx="61">
                  <c:v>-7.197768523996651E-3</c:v>
                </c:pt>
                <c:pt idx="62">
                  <c:v>-6.3473827993496997E-3</c:v>
                </c:pt>
                <c:pt idx="63">
                  <c:v>-1.4793797175546965E-3</c:v>
                </c:pt>
                <c:pt idx="64">
                  <c:v>4.5961622985466024E-3</c:v>
                </c:pt>
                <c:pt idx="65">
                  <c:v>1.9578510533098561E-3</c:v>
                </c:pt>
                <c:pt idx="66">
                  <c:v>-1.7196795659772059E-3</c:v>
                </c:pt>
                <c:pt idx="67">
                  <c:v>-8.1021478430245431E-3</c:v>
                </c:pt>
                <c:pt idx="68">
                  <c:v>-1.5485251036698956E-3</c:v>
                </c:pt>
                <c:pt idx="69">
                  <c:v>-5.1670930854791136E-3</c:v>
                </c:pt>
                <c:pt idx="70">
                  <c:v>-3.6783638657504449E-3</c:v>
                </c:pt>
                <c:pt idx="71">
                  <c:v>-6.744059081751708E-3</c:v>
                </c:pt>
                <c:pt idx="72">
                  <c:v>-9.060805385935301E-3</c:v>
                </c:pt>
                <c:pt idx="73">
                  <c:v>-1.0474641688554788E-2</c:v>
                </c:pt>
                <c:pt idx="74">
                  <c:v>-1.6785326171245087E-2</c:v>
                </c:pt>
                <c:pt idx="75">
                  <c:v>-1.4616473852554268E-2</c:v>
                </c:pt>
                <c:pt idx="76">
                  <c:v>-8.9316410287977096E-3</c:v>
                </c:pt>
                <c:pt idx="77">
                  <c:v>-7.2280018153120023E-3</c:v>
                </c:pt>
                <c:pt idx="78">
                  <c:v>-8.5792340503838115E-3</c:v>
                </c:pt>
                <c:pt idx="79">
                  <c:v>-1.0741452302177823E-2</c:v>
                </c:pt>
                <c:pt idx="80">
                  <c:v>-9.4404475502010143E-3</c:v>
                </c:pt>
                <c:pt idx="81">
                  <c:v>-8.1103508126841636E-3</c:v>
                </c:pt>
                <c:pt idx="82">
                  <c:v>-1.1407858353672307E-2</c:v>
                </c:pt>
                <c:pt idx="83">
                  <c:v>-6.6269885608700287E-3</c:v>
                </c:pt>
                <c:pt idx="84">
                  <c:v>3.9840096920110033E-3</c:v>
                </c:pt>
                <c:pt idx="85">
                  <c:v>9.9481639238165453E-3</c:v>
                </c:pt>
                <c:pt idx="86">
                  <c:v>1.3415017018658571E-2</c:v>
                </c:pt>
                <c:pt idx="87">
                  <c:v>1.8999390574280375E-2</c:v>
                </c:pt>
                <c:pt idx="88">
                  <c:v>1.7304543372044724E-2</c:v>
                </c:pt>
                <c:pt idx="89">
                  <c:v>9.283339078669961E-3</c:v>
                </c:pt>
                <c:pt idx="90">
                  <c:v>6.4865025695485913E-3</c:v>
                </c:pt>
                <c:pt idx="91">
                  <c:v>4.0551595395409206E-3</c:v>
                </c:pt>
                <c:pt idx="92">
                  <c:v>3.9105491847386984E-3</c:v>
                </c:pt>
                <c:pt idx="93">
                  <c:v>1.1660103467659333E-3</c:v>
                </c:pt>
                <c:pt idx="94">
                  <c:v>4.2695204658970811E-3</c:v>
                </c:pt>
                <c:pt idx="95">
                  <c:v>2.582139188605748E-3</c:v>
                </c:pt>
                <c:pt idx="96">
                  <c:v>-7.0899692335577138E-3</c:v>
                </c:pt>
                <c:pt idx="97">
                  <c:v>-1.1330790329111374E-2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5-44B4-BD4C-899ECE100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068832"/>
        <c:axId val="1761070752"/>
      </c:lineChart>
      <c:catAx>
        <c:axId val="1761068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70752"/>
        <c:crosses val="autoZero"/>
        <c:auto val="1"/>
        <c:lblAlgn val="ctr"/>
        <c:lblOffset val="100"/>
        <c:noMultiLvlLbl val="0"/>
      </c:catAx>
      <c:valAx>
        <c:axId val="17610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6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4103</xdr:colOff>
      <xdr:row>17</xdr:row>
      <xdr:rowOff>7620</xdr:rowOff>
    </xdr:from>
    <xdr:to>
      <xdr:col>24</xdr:col>
      <xdr:colOff>575603</xdr:colOff>
      <xdr:row>31</xdr:row>
      <xdr:rowOff>137160</xdr:rowOff>
    </xdr:to>
    <xdr:graphicFrame macro="">
      <xdr:nvGraphicFramePr>
        <xdr:cNvPr id="1202" name="Chart 10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750223</xdr:colOff>
      <xdr:row>0</xdr:row>
      <xdr:rowOff>168679</xdr:rowOff>
    </xdr:from>
    <xdr:to>
      <xdr:col>29</xdr:col>
      <xdr:colOff>559723</xdr:colOff>
      <xdr:row>15</xdr:row>
      <xdr:rowOff>122959</xdr:rowOff>
    </xdr:to>
    <xdr:graphicFrame macro="">
      <xdr:nvGraphicFramePr>
        <xdr:cNvPr id="1203" name="Chart 1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13508</xdr:colOff>
      <xdr:row>17</xdr:row>
      <xdr:rowOff>17319</xdr:rowOff>
    </xdr:from>
    <xdr:to>
      <xdr:col>29</xdr:col>
      <xdr:colOff>581198</xdr:colOff>
      <xdr:row>31</xdr:row>
      <xdr:rowOff>139239</xdr:rowOff>
    </xdr:to>
    <xdr:graphicFrame macro="">
      <xdr:nvGraphicFramePr>
        <xdr:cNvPr id="1204" name="Chart 12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117843</xdr:colOff>
      <xdr:row>1</xdr:row>
      <xdr:rowOff>44734</xdr:rowOff>
    </xdr:from>
    <xdr:to>
      <xdr:col>24</xdr:col>
      <xdr:colOff>692274</xdr:colOff>
      <xdr:row>15</xdr:row>
      <xdr:rowOff>166654</xdr:rowOff>
    </xdr:to>
    <xdr:graphicFrame macro="">
      <xdr:nvGraphicFramePr>
        <xdr:cNvPr id="1205" name="Chart 1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792306</xdr:colOff>
      <xdr:row>31</xdr:row>
      <xdr:rowOff>109103</xdr:rowOff>
    </xdr:from>
    <xdr:to>
      <xdr:col>12</xdr:col>
      <xdr:colOff>160192</xdr:colOff>
      <xdr:row>46</xdr:row>
      <xdr:rowOff>159326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28634-78BB-AE7C-9F7D-036490691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792306</xdr:colOff>
      <xdr:row>84</xdr:row>
      <xdr:rowOff>96114</xdr:rowOff>
    </xdr:from>
    <xdr:to>
      <xdr:col>12</xdr:col>
      <xdr:colOff>160192</xdr:colOff>
      <xdr:row>99</xdr:row>
      <xdr:rowOff>111701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8DC4B2-24DD-85D9-D494-CAE199F0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49</xdr:row>
      <xdr:rowOff>28575</xdr:rowOff>
    </xdr:from>
    <xdr:to>
      <xdr:col>18</xdr:col>
      <xdr:colOff>228600</xdr:colOff>
      <xdr:row>66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A86F9-E617-4612-5B7E-40812C6EB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74</xdr:row>
      <xdr:rowOff>28575</xdr:rowOff>
    </xdr:from>
    <xdr:to>
      <xdr:col>16</xdr:col>
      <xdr:colOff>209550</xdr:colOff>
      <xdr:row>91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CC2D0-0322-3AB7-AD54-AC7A1172A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4A7DAC-3F65-47AA-B6D0-5A50904D5CB2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7"/>
  <sheetViews>
    <sheetView topLeftCell="B82" zoomScale="110" zoomScaleNormal="110" workbookViewId="0">
      <selection activeCell="L2" sqref="L2:L101"/>
    </sheetView>
  </sheetViews>
  <sheetFormatPr defaultColWidth="11.3984375" defaultRowHeight="13.9" x14ac:dyDescent="0.4"/>
  <cols>
    <col min="1" max="1" width="28.59765625" style="4" customWidth="1"/>
    <col min="2" max="2" width="12.3984375" style="4" customWidth="1"/>
    <col min="3" max="3" width="13.265625" style="4" customWidth="1"/>
    <col min="4" max="4" width="5.86328125" style="4" customWidth="1"/>
    <col min="5" max="5" width="11.3984375" style="6" customWidth="1"/>
    <col min="6" max="6" width="9.73046875" style="6" customWidth="1"/>
    <col min="7" max="7" width="8" style="6" customWidth="1"/>
    <col min="8" max="11" width="9.265625" style="6" customWidth="1"/>
    <col min="12" max="12" width="6.59765625" style="6" customWidth="1"/>
    <col min="13" max="14" width="7.86328125" style="6" customWidth="1"/>
    <col min="15" max="19" width="6.73046875" style="6" customWidth="1"/>
    <col min="20" max="20" width="15.265625" style="4" customWidth="1"/>
    <col min="21" max="28" width="11.3984375" style="4" customWidth="1"/>
  </cols>
  <sheetData>
    <row r="1" spans="1:67" ht="13.9" customHeight="1" x14ac:dyDescent="0.4">
      <c r="A1" t="s">
        <v>62</v>
      </c>
      <c r="B1"/>
      <c r="C1"/>
      <c r="D1"/>
      <c r="E1"/>
      <c r="F1"/>
      <c r="G1"/>
      <c r="T1" s="4" t="s">
        <v>82</v>
      </c>
      <c r="BL1" s="1"/>
    </row>
    <row r="2" spans="1:67" ht="13.9" customHeight="1" x14ac:dyDescent="0.45">
      <c r="A2" s="6" t="s">
        <v>0</v>
      </c>
      <c r="B2" s="6"/>
      <c r="C2" s="6"/>
      <c r="D2" s="6"/>
      <c r="E2" t="s">
        <v>10</v>
      </c>
      <c r="F2" t="s">
        <v>4</v>
      </c>
      <c r="G2" t="s">
        <v>5</v>
      </c>
      <c r="H2" t="s">
        <v>7</v>
      </c>
      <c r="I2" t="s">
        <v>59</v>
      </c>
      <c r="J2" t="s">
        <v>63</v>
      </c>
      <c r="K2" t="s">
        <v>38</v>
      </c>
      <c r="L2" t="s">
        <v>8</v>
      </c>
      <c r="M2" t="s">
        <v>47</v>
      </c>
      <c r="N2" t="s">
        <v>53</v>
      </c>
      <c r="O2" t="s">
        <v>48</v>
      </c>
      <c r="P2" s="7" t="s">
        <v>35</v>
      </c>
      <c r="Q2" s="7" t="s">
        <v>36</v>
      </c>
      <c r="R2" s="7" t="s">
        <v>37</v>
      </c>
      <c r="S2" t="s">
        <v>81</v>
      </c>
      <c r="T2" s="4" t="s">
        <v>35</v>
      </c>
      <c r="BL2" s="2"/>
      <c r="BM2" s="2"/>
      <c r="BN2" s="2"/>
    </row>
    <row r="3" spans="1:67" ht="13.9" customHeight="1" x14ac:dyDescent="0.45">
      <c r="A3" t="s">
        <v>11</v>
      </c>
      <c r="B3" t="s">
        <v>18</v>
      </c>
      <c r="C3"/>
      <c r="D3" s="6"/>
      <c r="E3">
        <v>0</v>
      </c>
      <c r="F3">
        <f>(Theta*Beta0_0)/Beta1+m_0-(Psi+Theta/Beta1)*ypot_0</f>
        <v>0.99999999999998579</v>
      </c>
      <c r="G3">
        <f>ypot_0</f>
        <v>2000</v>
      </c>
      <c r="H3">
        <f t="shared" ref="H3:H34" si="0">Beta0_0 -Beta1*(L3-M3)</f>
        <v>2000.0000000000014</v>
      </c>
      <c r="I3">
        <f t="shared" ref="I3:I34" si="1">ypot_0*R3</f>
        <v>2000</v>
      </c>
      <c r="J3">
        <f>LN(G3/I3)</f>
        <v>0</v>
      </c>
      <c r="K3">
        <f>100</f>
        <v>100</v>
      </c>
      <c r="L3">
        <f>MAX(0,-1/Theta*(K3-F3-Psi*G3))</f>
        <v>1.9999999999999716</v>
      </c>
      <c r="M3">
        <f>Mi*J3</f>
        <v>0</v>
      </c>
      <c r="N3">
        <f>L3-M3</f>
        <v>1.9999999999999716</v>
      </c>
      <c r="O3">
        <f t="shared" ref="O3:O34" si="2">Ni*(H3-G3)</f>
        <v>1.3642420526593926E-13</v>
      </c>
      <c r="P3" s="7">
        <v>0</v>
      </c>
      <c r="Q3" s="7">
        <v>0</v>
      </c>
      <c r="R3" s="7">
        <v>1</v>
      </c>
      <c r="S3" s="7">
        <v>0</v>
      </c>
      <c r="T3" s="4">
        <v>0</v>
      </c>
    </row>
    <row r="4" spans="1:67" ht="13.9" customHeight="1" x14ac:dyDescent="0.45">
      <c r="A4" t="s">
        <v>12</v>
      </c>
      <c r="B4" t="s">
        <v>16</v>
      </c>
      <c r="C4"/>
      <c r="D4" s="6"/>
      <c r="E4">
        <v>1</v>
      </c>
      <c r="F4">
        <f t="shared" ref="F4:F35" si="3">F3+M3</f>
        <v>0.99999999999998579</v>
      </c>
      <c r="G4">
        <f t="shared" ref="G4:G35" si="4">G3+O3</f>
        <v>2000.0000000000002</v>
      </c>
      <c r="H4">
        <f t="shared" si="0"/>
        <v>2009.9999999999995</v>
      </c>
      <c r="I4">
        <f t="shared" si="1"/>
        <v>2000</v>
      </c>
      <c r="J4">
        <f t="shared" ref="J4:J67" si="5">LN(G4/I4)</f>
        <v>2.2204460492503128E-16</v>
      </c>
      <c r="K4">
        <f>K3+0.1</f>
        <v>100.1</v>
      </c>
      <c r="L4">
        <f>MAX(0,-1/Theta*(K4-F4-Psi*G4))</f>
        <v>1.8000000000000114</v>
      </c>
      <c r="M4">
        <f t="shared" ref="M4:M35" si="6">Mi*LN(G4/(I4))</f>
        <v>2.2204460492503129E-17</v>
      </c>
      <c r="N4">
        <f t="shared" ref="N4:N67" si="7">L4-M4</f>
        <v>1.8000000000000114</v>
      </c>
      <c r="O4">
        <f t="shared" si="2"/>
        <v>0.99999999999993183</v>
      </c>
      <c r="P4" s="7">
        <v>0</v>
      </c>
      <c r="Q4" s="7">
        <f>$C$33*Q3+T4</f>
        <v>0</v>
      </c>
      <c r="R4" s="7">
        <f>EXP(Q4)</f>
        <v>1</v>
      </c>
      <c r="S4" s="7">
        <f>L4-L3</f>
        <v>-0.19999999999996021</v>
      </c>
      <c r="T4" s="4">
        <v>0</v>
      </c>
    </row>
    <row r="5" spans="1:67" ht="13.9" customHeight="1" x14ac:dyDescent="0.45">
      <c r="A5" t="s">
        <v>13</v>
      </c>
      <c r="B5" t="s">
        <v>17</v>
      </c>
      <c r="C5"/>
      <c r="D5" s="6"/>
      <c r="E5">
        <v>2</v>
      </c>
      <c r="F5">
        <f t="shared" si="3"/>
        <v>0.99999999999998579</v>
      </c>
      <c r="G5">
        <f t="shared" si="4"/>
        <v>2001.0000000000002</v>
      </c>
      <c r="H5">
        <f t="shared" si="0"/>
        <v>2015.2114546058247</v>
      </c>
      <c r="I5">
        <f t="shared" si="1"/>
        <v>1918.1403221292778</v>
      </c>
      <c r="J5">
        <f t="shared" si="5"/>
        <v>4.2290921165116006E-2</v>
      </c>
      <c r="K5">
        <f t="shared" ref="K5:K68" si="8">K4+0.1</f>
        <v>100.19999999999999</v>
      </c>
      <c r="L5">
        <f>MAX(0,-1/Theta*(K5-F5-Psi*G5))</f>
        <v>1.7000000000000171</v>
      </c>
      <c r="M5">
        <f t="shared" si="6"/>
        <v>4.229092116511601E-3</v>
      </c>
      <c r="N5">
        <f t="shared" si="7"/>
        <v>1.6957709078835055</v>
      </c>
      <c r="O5">
        <f t="shared" si="2"/>
        <v>1.421145460582443</v>
      </c>
      <c r="P5" s="7">
        <f ca="1">NORMINV(RAND(), 0, $C$34)</f>
        <v>-3.2427153213624313E-2</v>
      </c>
      <c r="Q5" s="7">
        <f t="shared" ref="Q5:Q68" si="9">$C$33*Q4+T5</f>
        <v>-4.1791046123464744E-2</v>
      </c>
      <c r="R5" s="7">
        <f t="shared" ref="R5:R68" si="10">EXP(Q5)</f>
        <v>0.95907016106463894</v>
      </c>
      <c r="S5" s="7">
        <f t="shared" ref="S5:S68" si="11">L5-L4</f>
        <v>-9.9999999999994316E-2</v>
      </c>
      <c r="T5" s="4">
        <v>-4.1791046123464744E-2</v>
      </c>
    </row>
    <row r="6" spans="1:67" ht="13.9" customHeight="1" x14ac:dyDescent="0.45">
      <c r="A6" t="s">
        <v>14</v>
      </c>
      <c r="B6"/>
      <c r="C6"/>
      <c r="D6" s="6"/>
      <c r="E6">
        <v>3</v>
      </c>
      <c r="F6">
        <f t="shared" si="3"/>
        <v>1.0042290921164974</v>
      </c>
      <c r="G6">
        <f t="shared" si="4"/>
        <v>2002.4211454605827</v>
      </c>
      <c r="H6">
        <f t="shared" si="0"/>
        <v>2017.6841005299641</v>
      </c>
      <c r="I6">
        <f t="shared" si="1"/>
        <v>1919.0103534289387</v>
      </c>
      <c r="J6">
        <f t="shared" si="5"/>
        <v>4.2547408905966679E-2</v>
      </c>
      <c r="K6">
        <f t="shared" si="8"/>
        <v>100.29999999999998</v>
      </c>
      <c r="L6">
        <f>MAX(0,-1/Theta*(K6-F6-Psi*G6))</f>
        <v>1.6505727302913158</v>
      </c>
      <c r="M6">
        <f t="shared" si="6"/>
        <v>4.2547408905966684E-3</v>
      </c>
      <c r="N6">
        <f t="shared" si="7"/>
        <v>1.6463179894007192</v>
      </c>
      <c r="O6">
        <f t="shared" si="2"/>
        <v>1.5262955069381405</v>
      </c>
      <c r="P6" s="7">
        <f t="shared" ref="P6:P68" ca="1" si="12">NORMINV(RAND(), 0, $C$34)</f>
        <v>6.3067808893280272E-2</v>
      </c>
      <c r="Q6" s="7">
        <f t="shared" si="9"/>
        <v>-4.133756832802013E-2</v>
      </c>
      <c r="R6" s="7">
        <f t="shared" si="10"/>
        <v>0.95950517671446933</v>
      </c>
      <c r="S6" s="7">
        <f t="shared" si="11"/>
        <v>-4.942726970870126E-2</v>
      </c>
      <c r="T6" s="4">
        <v>-3.7256268169018622E-3</v>
      </c>
    </row>
    <row r="7" spans="1:67" ht="13.9" customHeight="1" x14ac:dyDescent="0.45">
      <c r="A7" t="s">
        <v>15</v>
      </c>
      <c r="B7"/>
      <c r="C7"/>
      <c r="D7" s="6"/>
      <c r="E7">
        <v>4</v>
      </c>
      <c r="F7">
        <f t="shared" si="3"/>
        <v>1.008483833007094</v>
      </c>
      <c r="G7">
        <f t="shared" si="4"/>
        <v>2003.9474409675208</v>
      </c>
      <c r="H7">
        <f t="shared" si="0"/>
        <v>2019.7615190069698</v>
      </c>
      <c r="I7">
        <f t="shared" si="1"/>
        <v>1869.5495635776635</v>
      </c>
      <c r="J7">
        <f t="shared" si="5"/>
        <v>6.9421429057295342E-2</v>
      </c>
      <c r="K7">
        <f t="shared" si="8"/>
        <v>100.39999999999998</v>
      </c>
      <c r="L7">
        <f>MAX(0,-1/Theta*(K7-F7-Psi*G7))</f>
        <v>1.6117117627663333</v>
      </c>
      <c r="M7">
        <f t="shared" si="6"/>
        <v>6.9421429057295349E-3</v>
      </c>
      <c r="N7">
        <f t="shared" si="7"/>
        <v>1.6047696198606038</v>
      </c>
      <c r="O7">
        <f t="shared" si="2"/>
        <v>1.5814078039448987</v>
      </c>
      <c r="P7" s="7">
        <f t="shared" ca="1" si="12"/>
        <v>0.17506393755008656</v>
      </c>
      <c r="Q7" s="7">
        <f t="shared" si="9"/>
        <v>-6.7449653800673026E-2</v>
      </c>
      <c r="R7" s="7">
        <f t="shared" si="10"/>
        <v>0.93477478178883178</v>
      </c>
      <c r="S7" s="7">
        <f t="shared" si="11"/>
        <v>-3.886096752498247E-2</v>
      </c>
      <c r="T7" s="4">
        <v>-3.0245842305454903E-2</v>
      </c>
    </row>
    <row r="8" spans="1:67" ht="13.9" customHeight="1" x14ac:dyDescent="0.45">
      <c r="A8"/>
      <c r="B8"/>
      <c r="C8"/>
      <c r="D8" s="6"/>
      <c r="E8">
        <v>5</v>
      </c>
      <c r="F8">
        <f t="shared" si="3"/>
        <v>1.0154259759128235</v>
      </c>
      <c r="G8">
        <f t="shared" si="4"/>
        <v>2005.5288487714656</v>
      </c>
      <c r="H8">
        <f t="shared" si="0"/>
        <v>2021.0485161060478</v>
      </c>
      <c r="I8">
        <f t="shared" si="1"/>
        <v>1913.3129724302701</v>
      </c>
      <c r="J8">
        <f t="shared" si="5"/>
        <v>4.707151093219078E-2</v>
      </c>
      <c r="K8">
        <f t="shared" si="8"/>
        <v>100.49999999999997</v>
      </c>
      <c r="L8">
        <f>MAX(0,-1/Theta*(K8-F8-Psi*G8))</f>
        <v>1.5837368289722633</v>
      </c>
      <c r="M8">
        <f t="shared" si="6"/>
        <v>4.707151093219078E-3</v>
      </c>
      <c r="N8">
        <f t="shared" si="7"/>
        <v>1.5790296778790442</v>
      </c>
      <c r="O8">
        <f t="shared" si="2"/>
        <v>1.551966733458221</v>
      </c>
      <c r="P8" s="7">
        <f t="shared" ca="1" si="12"/>
        <v>-1.5373144961980416E-2</v>
      </c>
      <c r="Q8" s="7">
        <f t="shared" si="9"/>
        <v>-4.4310900540168986E-2</v>
      </c>
      <c r="R8" s="7">
        <f t="shared" si="10"/>
        <v>0.95665648621513499</v>
      </c>
      <c r="S8" s="7">
        <f t="shared" si="11"/>
        <v>-2.7974933794070012E-2</v>
      </c>
      <c r="T8" s="4">
        <v>1.6393787880436737E-2</v>
      </c>
      <c r="BO8" s="3"/>
    </row>
    <row r="9" spans="1:67" ht="13.9" customHeight="1" x14ac:dyDescent="0.45">
      <c r="A9" t="s">
        <v>19</v>
      </c>
      <c r="B9"/>
      <c r="C9"/>
      <c r="D9" s="6"/>
      <c r="E9">
        <v>6</v>
      </c>
      <c r="F9">
        <f t="shared" si="3"/>
        <v>1.0201331270060425</v>
      </c>
      <c r="G9">
        <f t="shared" si="4"/>
        <v>2007.0808155049237</v>
      </c>
      <c r="H9">
        <f t="shared" si="0"/>
        <v>2022.9774955895377</v>
      </c>
      <c r="I9">
        <f t="shared" si="1"/>
        <v>1854.6651597061627</v>
      </c>
      <c r="J9">
        <f t="shared" si="5"/>
        <v>7.8977162952990856E-2</v>
      </c>
      <c r="K9">
        <f t="shared" si="8"/>
        <v>100.59999999999997</v>
      </c>
      <c r="L9">
        <f>MAX(0,-1/Theta*(K9-F9-Psi*G9))</f>
        <v>1.5483478045045445</v>
      </c>
      <c r="M9">
        <f t="shared" si="6"/>
        <v>7.8977162952990863E-3</v>
      </c>
      <c r="N9">
        <f t="shared" si="7"/>
        <v>1.5404500882092453</v>
      </c>
      <c r="O9">
        <f t="shared" si="2"/>
        <v>1.5896680084613992</v>
      </c>
      <c r="P9" s="7">
        <f t="shared" ca="1" si="12"/>
        <v>-3.9132544927021985E-2</v>
      </c>
      <c r="Q9" s="7">
        <f t="shared" si="9"/>
        <v>-7.5443007690824793E-2</v>
      </c>
      <c r="R9" s="7">
        <f t="shared" si="10"/>
        <v>0.92733257985308137</v>
      </c>
      <c r="S9" s="7">
        <f t="shared" si="11"/>
        <v>-3.5389024467718855E-2</v>
      </c>
      <c r="T9" s="4">
        <v>-3.5563197204672707E-2</v>
      </c>
    </row>
    <row r="10" spans="1:67" ht="13.9" customHeight="1" x14ac:dyDescent="0.45">
      <c r="A10" t="s">
        <v>1</v>
      </c>
      <c r="B10">
        <v>0.05</v>
      </c>
      <c r="C10"/>
      <c r="D10" s="6"/>
      <c r="E10">
        <v>7</v>
      </c>
      <c r="F10">
        <f t="shared" si="3"/>
        <v>1.0280308433013416</v>
      </c>
      <c r="G10">
        <f t="shared" si="4"/>
        <v>2008.6704835133851</v>
      </c>
      <c r="H10">
        <f t="shared" si="0"/>
        <v>2024.0328894020015</v>
      </c>
      <c r="I10">
        <f t="shared" si="1"/>
        <v>1934.3953410727154</v>
      </c>
      <c r="J10">
        <f t="shared" si="5"/>
        <v>3.7678259813078326E-2</v>
      </c>
      <c r="K10">
        <f t="shared" si="8"/>
        <v>100.69999999999996</v>
      </c>
      <c r="L10">
        <f>MAX(0,-1/Theta*(K10-F10-Psi*G10))</f>
        <v>1.5231100379412794</v>
      </c>
      <c r="M10">
        <f t="shared" si="6"/>
        <v>3.7678259813078326E-3</v>
      </c>
      <c r="N10">
        <f t="shared" si="7"/>
        <v>1.5193422119599715</v>
      </c>
      <c r="O10">
        <f t="shared" si="2"/>
        <v>1.5362405888616424</v>
      </c>
      <c r="P10" s="7">
        <f t="shared" ca="1" si="12"/>
        <v>-6.3226408607765343E-3</v>
      </c>
      <c r="Q10" s="7">
        <f t="shared" si="9"/>
        <v>-3.3352388145623059E-2</v>
      </c>
      <c r="R10" s="7">
        <f t="shared" si="10"/>
        <v>0.96719767053635775</v>
      </c>
      <c r="S10" s="7">
        <f t="shared" si="11"/>
        <v>-2.5237766563265041E-2</v>
      </c>
      <c r="T10" s="4">
        <v>3.4546318776119252E-2</v>
      </c>
    </row>
    <row r="11" spans="1:67" ht="13.9" customHeight="1" x14ac:dyDescent="0.45">
      <c r="A11" t="s">
        <v>2</v>
      </c>
      <c r="B11">
        <v>0.5</v>
      </c>
      <c r="C11"/>
      <c r="D11" s="6"/>
      <c r="E11">
        <v>8</v>
      </c>
      <c r="F11">
        <f t="shared" si="3"/>
        <v>1.0317986692826495</v>
      </c>
      <c r="G11">
        <f t="shared" si="4"/>
        <v>2010.2067241022467</v>
      </c>
      <c r="H11">
        <f t="shared" si="0"/>
        <v>2025.59118633244</v>
      </c>
      <c r="I11">
        <f t="shared" si="1"/>
        <v>2090.2899955560729</v>
      </c>
      <c r="J11">
        <f t="shared" si="5"/>
        <v>-3.9065245611300502E-2</v>
      </c>
      <c r="K11">
        <f t="shared" si="8"/>
        <v>100.79999999999995</v>
      </c>
      <c r="L11">
        <f>MAX(0,-1/Theta*(K11-F11-Psi*G11))</f>
        <v>1.4842697487900693</v>
      </c>
      <c r="M11">
        <f t="shared" si="6"/>
        <v>-3.9065245611300502E-3</v>
      </c>
      <c r="N11">
        <f t="shared" si="7"/>
        <v>1.4881762733511994</v>
      </c>
      <c r="O11">
        <f t="shared" si="2"/>
        <v>1.5384462230193323</v>
      </c>
      <c r="P11" s="7">
        <f t="shared" ca="1" si="12"/>
        <v>-2.2154893485448687E-2</v>
      </c>
      <c r="Q11" s="7">
        <f t="shared" si="9"/>
        <v>4.4155629645929007E-2</v>
      </c>
      <c r="R11" s="7">
        <f t="shared" si="10"/>
        <v>1.0451449977780365</v>
      </c>
      <c r="S11" s="7">
        <f t="shared" si="11"/>
        <v>-3.8840289151210072E-2</v>
      </c>
      <c r="T11" s="4">
        <v>7.4172778976989762E-2</v>
      </c>
    </row>
    <row r="12" spans="1:67" ht="13.9" customHeight="1" x14ac:dyDescent="0.45">
      <c r="A12" t="s">
        <v>3</v>
      </c>
      <c r="B12">
        <v>50</v>
      </c>
      <c r="C12" t="s">
        <v>0</v>
      </c>
      <c r="D12" s="6"/>
      <c r="E12">
        <v>9</v>
      </c>
      <c r="F12">
        <f t="shared" si="3"/>
        <v>1.0278921447215195</v>
      </c>
      <c r="G12">
        <f t="shared" si="4"/>
        <v>2011.7451703252659</v>
      </c>
      <c r="H12">
        <f t="shared" si="0"/>
        <v>2028.1211091550801</v>
      </c>
      <c r="I12">
        <f t="shared" si="1"/>
        <v>2163.5870997454795</v>
      </c>
      <c r="J12">
        <f t="shared" si="5"/>
        <v>-7.2764949286478572E-2</v>
      </c>
      <c r="K12">
        <f t="shared" si="8"/>
        <v>100.89999999999995</v>
      </c>
      <c r="L12">
        <f>MAX(0,-1/Theta*(K12-F12-Psi*G12))</f>
        <v>1.4303013219697505</v>
      </c>
      <c r="M12">
        <f t="shared" si="6"/>
        <v>-7.2764949286478579E-3</v>
      </c>
      <c r="N12">
        <f t="shared" si="7"/>
        <v>1.4375778168983984</v>
      </c>
      <c r="O12">
        <f t="shared" si="2"/>
        <v>1.6375938829814232</v>
      </c>
      <c r="P12" s="7">
        <f t="shared" ca="1" si="12"/>
        <v>5.8675603748081173E-2</v>
      </c>
      <c r="Q12" s="7">
        <f t="shared" si="9"/>
        <v>7.8620358034696358E-2</v>
      </c>
      <c r="R12" s="7">
        <f t="shared" si="10"/>
        <v>1.0817935498727398</v>
      </c>
      <c r="S12" s="7">
        <f t="shared" si="11"/>
        <v>-5.3968426820318882E-2</v>
      </c>
      <c r="T12" s="4">
        <v>3.8880291353360241E-2</v>
      </c>
    </row>
    <row r="13" spans="1:67" ht="13.9" customHeight="1" x14ac:dyDescent="0.45">
      <c r="A13" t="s">
        <v>9</v>
      </c>
      <c r="B13">
        <v>0.1</v>
      </c>
      <c r="C13"/>
      <c r="D13" s="6"/>
      <c r="E13">
        <v>10</v>
      </c>
      <c r="F13">
        <f t="shared" si="3"/>
        <v>1.0206156497928716</v>
      </c>
      <c r="G13">
        <f t="shared" si="4"/>
        <v>2013.3827642082474</v>
      </c>
      <c r="H13">
        <f t="shared" si="0"/>
        <v>2030.9429393091762</v>
      </c>
      <c r="I13">
        <f t="shared" si="1"/>
        <v>2046.5413230273964</v>
      </c>
      <c r="J13">
        <f t="shared" si="5"/>
        <v>-1.6334934058745327E-2</v>
      </c>
      <c r="K13">
        <f t="shared" si="8"/>
        <v>100.99999999999994</v>
      </c>
      <c r="L13">
        <f>MAX(0,-1/Theta*(K13-F13-Psi*G13))</f>
        <v>1.3795077204106008</v>
      </c>
      <c r="M13">
        <f t="shared" si="6"/>
        <v>-1.6334934058745327E-3</v>
      </c>
      <c r="N13">
        <f t="shared" si="7"/>
        <v>1.3811412138164754</v>
      </c>
      <c r="O13">
        <f t="shared" si="2"/>
        <v>1.7560175100928745</v>
      </c>
      <c r="P13" s="7">
        <f t="shared" ca="1" si="12"/>
        <v>0.11716060657818801</v>
      </c>
      <c r="Q13" s="7">
        <f t="shared" si="9"/>
        <v>2.3004028235087529E-2</v>
      </c>
      <c r="R13" s="7">
        <f t="shared" si="10"/>
        <v>1.0232706615136982</v>
      </c>
      <c r="S13" s="7">
        <f t="shared" si="11"/>
        <v>-5.0793601559149693E-2</v>
      </c>
      <c r="T13" s="4">
        <v>-4.7754293996139202E-2</v>
      </c>
      <c r="U13" s="4" t="s">
        <v>0</v>
      </c>
    </row>
    <row r="14" spans="1:67" ht="13.9" customHeight="1" x14ac:dyDescent="0.45">
      <c r="A14" t="s">
        <v>6</v>
      </c>
      <c r="B14">
        <v>0.1</v>
      </c>
      <c r="C14"/>
      <c r="D14" s="6"/>
      <c r="E14">
        <v>11</v>
      </c>
      <c r="F14">
        <f t="shared" si="3"/>
        <v>1.018982156386997</v>
      </c>
      <c r="G14">
        <f t="shared" si="4"/>
        <v>2015.1387817183404</v>
      </c>
      <c r="H14">
        <f t="shared" si="0"/>
        <v>2032.6401195575068</v>
      </c>
      <c r="I14">
        <f t="shared" si="1"/>
        <v>1923.6786370757022</v>
      </c>
      <c r="J14">
        <f t="shared" si="5"/>
        <v>4.6448757583065235E-2</v>
      </c>
      <c r="K14">
        <f t="shared" si="8"/>
        <v>101.09999999999994</v>
      </c>
      <c r="L14">
        <f>MAX(0,-1/Theta*(K14-F14-Psi*G14))</f>
        <v>1.35184248460817</v>
      </c>
      <c r="M14">
        <f t="shared" si="6"/>
        <v>4.644875758306524E-3</v>
      </c>
      <c r="N14">
        <f t="shared" si="7"/>
        <v>1.3471976088498634</v>
      </c>
      <c r="O14">
        <f t="shared" si="2"/>
        <v>1.7501337839166355</v>
      </c>
      <c r="P14" s="7">
        <f t="shared" ca="1" si="12"/>
        <v>4.0820445036267923E-2</v>
      </c>
      <c r="Q14" s="7">
        <f t="shared" si="9"/>
        <v>-3.8907870814184148E-2</v>
      </c>
      <c r="R14" s="7">
        <f t="shared" si="10"/>
        <v>0.9618393185378511</v>
      </c>
      <c r="S14" s="7">
        <f t="shared" si="11"/>
        <v>-2.7665235802430743E-2</v>
      </c>
      <c r="T14" s="4">
        <v>-5.9611496225762922E-2</v>
      </c>
    </row>
    <row r="15" spans="1:67" ht="13.9" customHeight="1" x14ac:dyDescent="0.45">
      <c r="A15"/>
      <c r="B15"/>
      <c r="C15" t="s">
        <v>0</v>
      </c>
      <c r="D15" s="6"/>
      <c r="E15">
        <v>12</v>
      </c>
      <c r="F15">
        <f t="shared" si="3"/>
        <v>1.0236270321453036</v>
      </c>
      <c r="G15">
        <f t="shared" si="4"/>
        <v>2016.8889155022571</v>
      </c>
      <c r="H15">
        <f t="shared" si="0"/>
        <v>2033.7501543774929</v>
      </c>
      <c r="I15">
        <f t="shared" si="1"/>
        <v>1804.1131883743612</v>
      </c>
      <c r="J15">
        <f t="shared" si="5"/>
        <v>0.11148702066309761</v>
      </c>
      <c r="K15">
        <f t="shared" si="8"/>
        <v>101.19999999999993</v>
      </c>
      <c r="L15">
        <f>MAX(0,-1/Theta*(K15-F15-Psi*G15))</f>
        <v>1.3361456145164539</v>
      </c>
      <c r="M15">
        <f t="shared" si="6"/>
        <v>1.1148702066309761E-2</v>
      </c>
      <c r="N15">
        <f t="shared" si="7"/>
        <v>1.3249969124501442</v>
      </c>
      <c r="O15">
        <f t="shared" si="2"/>
        <v>1.6861238875235813</v>
      </c>
      <c r="P15" s="7">
        <f t="shared" ca="1" si="12"/>
        <v>6.5941602703341803E-2</v>
      </c>
      <c r="Q15" s="7">
        <f t="shared" si="9"/>
        <v>-0.1030780178864642</v>
      </c>
      <c r="R15" s="7">
        <f t="shared" si="10"/>
        <v>0.90205659418718065</v>
      </c>
      <c r="S15" s="7">
        <f t="shared" si="11"/>
        <v>-1.5696870091716164E-2</v>
      </c>
      <c r="T15" s="4">
        <v>-6.806093415369846E-2</v>
      </c>
    </row>
    <row r="16" spans="1:67" ht="13.9" customHeight="1" x14ac:dyDescent="0.45">
      <c r="A16" t="s">
        <v>20</v>
      </c>
      <c r="B16" t="s">
        <v>21</v>
      </c>
      <c r="C16" t="s">
        <v>22</v>
      </c>
      <c r="D16" s="6"/>
      <c r="E16">
        <v>13</v>
      </c>
      <c r="F16">
        <f t="shared" si="3"/>
        <v>1.0347757342116133</v>
      </c>
      <c r="G16">
        <f t="shared" si="4"/>
        <v>2018.5750393897806</v>
      </c>
      <c r="H16">
        <f t="shared" si="0"/>
        <v>2033.7360919031976</v>
      </c>
      <c r="I16">
        <f t="shared" si="1"/>
        <v>1983.0169195176015</v>
      </c>
      <c r="J16">
        <f t="shared" si="5"/>
        <v>1.777245465395617E-2</v>
      </c>
      <c r="K16">
        <f t="shared" si="8"/>
        <v>101.29999999999993</v>
      </c>
      <c r="L16">
        <f>MAX(0,-1/Theta*(K16-F16-Psi*G16))</f>
        <v>1.3270554074014456</v>
      </c>
      <c r="M16">
        <f t="shared" si="6"/>
        <v>1.7772454653956172E-3</v>
      </c>
      <c r="N16">
        <f t="shared" si="7"/>
        <v>1.3252781619360499</v>
      </c>
      <c r="O16">
        <f t="shared" si="2"/>
        <v>1.5161052513416964</v>
      </c>
      <c r="P16" s="7">
        <f t="shared" ca="1" si="12"/>
        <v>-8.5539969644031294E-2</v>
      </c>
      <c r="Q16" s="7">
        <f t="shared" si="9"/>
        <v>-8.5277987754780737E-3</v>
      </c>
      <c r="R16" s="7">
        <f t="shared" si="10"/>
        <v>0.99150845975880075</v>
      </c>
      <c r="S16" s="7">
        <f t="shared" si="11"/>
        <v>-9.0902071150082975E-3</v>
      </c>
      <c r="T16" s="4">
        <v>8.424241732233971E-2</v>
      </c>
    </row>
    <row r="17" spans="1:20" ht="13.9" customHeight="1" x14ac:dyDescent="0.45">
      <c r="A17" t="s">
        <v>23</v>
      </c>
      <c r="B17">
        <v>100</v>
      </c>
      <c r="C17">
        <v>100</v>
      </c>
      <c r="D17" s="6"/>
      <c r="E17">
        <v>14</v>
      </c>
      <c r="F17">
        <f t="shared" si="3"/>
        <v>1.036552979677009</v>
      </c>
      <c r="G17">
        <f t="shared" si="4"/>
        <v>2020.0911446411224</v>
      </c>
      <c r="H17">
        <f t="shared" si="0"/>
        <v>2036.3993104179983</v>
      </c>
      <c r="I17">
        <f t="shared" si="1"/>
        <v>1824.0810267769782</v>
      </c>
      <c r="J17">
        <f t="shared" si="5"/>
        <v>0.10206631826406924</v>
      </c>
      <c r="K17">
        <f t="shared" si="8"/>
        <v>101.39999999999992</v>
      </c>
      <c r="L17">
        <f>MAX(0,-1/Theta*(K17-F17-Psi*G17))</f>
        <v>1.2822204234664412</v>
      </c>
      <c r="M17">
        <f t="shared" si="6"/>
        <v>1.0206631826406925E-2</v>
      </c>
      <c r="N17">
        <f t="shared" si="7"/>
        <v>1.2720137916400343</v>
      </c>
      <c r="O17">
        <f t="shared" si="2"/>
        <v>1.6308165776875967</v>
      </c>
      <c r="P17" s="7">
        <f t="shared" ca="1" si="12"/>
        <v>-2.5298067749105937E-2</v>
      </c>
      <c r="Q17" s="7">
        <f t="shared" si="9"/>
        <v>-9.207086731936126E-2</v>
      </c>
      <c r="R17" s="7">
        <f t="shared" si="10"/>
        <v>0.91204051338848913</v>
      </c>
      <c r="S17" s="7">
        <f t="shared" si="11"/>
        <v>-4.4834983935004402E-2</v>
      </c>
      <c r="T17" s="4">
        <v>-8.4395848421430997E-2</v>
      </c>
    </row>
    <row r="18" spans="1:20" ht="13.9" customHeight="1" x14ac:dyDescent="0.45">
      <c r="A18" t="s">
        <v>24</v>
      </c>
      <c r="B18">
        <v>2100</v>
      </c>
      <c r="C18">
        <v>2100</v>
      </c>
      <c r="D18" s="6"/>
      <c r="E18">
        <v>15</v>
      </c>
      <c r="F18">
        <f t="shared" si="3"/>
        <v>1.0467596115034159</v>
      </c>
      <c r="G18">
        <f t="shared" si="4"/>
        <v>2021.7219612188101</v>
      </c>
      <c r="H18">
        <f t="shared" si="0"/>
        <v>2037.2840008116777</v>
      </c>
      <c r="I18">
        <f t="shared" si="1"/>
        <v>1803.9811870324313</v>
      </c>
      <c r="J18">
        <f t="shared" si="5"/>
        <v>0.1139536112159346</v>
      </c>
      <c r="K18">
        <f t="shared" si="8"/>
        <v>101.49999999999991</v>
      </c>
      <c r="L18">
        <f>MAX(0,-1/Theta*(K18-F18-Psi*G18))</f>
        <v>1.2657153448880365</v>
      </c>
      <c r="M18">
        <f t="shared" si="6"/>
        <v>1.1395361121593461E-2</v>
      </c>
      <c r="N18">
        <f t="shared" si="7"/>
        <v>1.2543199837664429</v>
      </c>
      <c r="O18">
        <f t="shared" si="2"/>
        <v>1.5562039592867678</v>
      </c>
      <c r="P18" s="7">
        <f t="shared" ca="1" si="12"/>
        <v>-1.1113111480318688E-2</v>
      </c>
      <c r="Q18" s="7">
        <f t="shared" si="9"/>
        <v>-0.10315118744815228</v>
      </c>
      <c r="R18" s="7">
        <f t="shared" si="10"/>
        <v>0.90199059351621569</v>
      </c>
      <c r="S18" s="7">
        <f t="shared" si="11"/>
        <v>-1.6505078578404664E-2</v>
      </c>
      <c r="T18" s="4">
        <v>-2.0287406860727147E-2</v>
      </c>
    </row>
    <row r="19" spans="1:20" ht="13.9" customHeight="1" x14ac:dyDescent="0.45">
      <c r="A19" t="s">
        <v>34</v>
      </c>
      <c r="B19">
        <v>2000</v>
      </c>
      <c r="C19">
        <v>2000</v>
      </c>
      <c r="D19" s="6"/>
      <c r="E19">
        <v>16</v>
      </c>
      <c r="F19">
        <f t="shared" si="3"/>
        <v>1.0581549726250095</v>
      </c>
      <c r="G19">
        <f t="shared" si="4"/>
        <v>2023.2781651780967</v>
      </c>
      <c r="H19">
        <f t="shared" si="0"/>
        <v>2038.3627295048559</v>
      </c>
      <c r="I19">
        <f t="shared" si="1"/>
        <v>1805.6281169605932</v>
      </c>
      <c r="J19">
        <f t="shared" si="5"/>
        <v>0.11381053156987754</v>
      </c>
      <c r="K19">
        <f t="shared" si="8"/>
        <v>101.59999999999991</v>
      </c>
      <c r="L19">
        <f>MAX(0,-1/Theta*(K19-F19-Psi*G19))</f>
        <v>1.244126463059871</v>
      </c>
      <c r="M19">
        <f t="shared" si="6"/>
        <v>1.1381053156987755E-2</v>
      </c>
      <c r="N19">
        <f t="shared" si="7"/>
        <v>1.2327454099028832</v>
      </c>
      <c r="O19">
        <f t="shared" si="2"/>
        <v>1.5084564326759164</v>
      </c>
      <c r="P19" s="7">
        <f t="shared" ca="1" si="12"/>
        <v>6.0955149461171899E-2</v>
      </c>
      <c r="Q19" s="7">
        <f t="shared" si="9"/>
        <v>-0.10223866207283065</v>
      </c>
      <c r="R19" s="7">
        <f t="shared" si="10"/>
        <v>0.90281405848029661</v>
      </c>
      <c r="S19" s="7">
        <f t="shared" si="11"/>
        <v>-2.158888182816554E-2</v>
      </c>
      <c r="T19" s="4">
        <v>-9.4025933694935893E-3</v>
      </c>
    </row>
    <row r="20" spans="1:20" ht="13.9" customHeight="1" x14ac:dyDescent="0.45">
      <c r="A20"/>
      <c r="B20"/>
      <c r="C20"/>
      <c r="D20" s="6"/>
      <c r="E20">
        <v>17</v>
      </c>
      <c r="F20">
        <f t="shared" si="3"/>
        <v>1.0695360257819972</v>
      </c>
      <c r="G20">
        <f t="shared" si="4"/>
        <v>2024.7866216107727</v>
      </c>
      <c r="H20">
        <f t="shared" si="0"/>
        <v>2039.6871683825068</v>
      </c>
      <c r="I20">
        <f t="shared" si="1"/>
        <v>1805.2309252823247</v>
      </c>
      <c r="J20">
        <f t="shared" si="5"/>
        <v>0.11477580291623921</v>
      </c>
      <c r="K20">
        <f t="shared" si="8"/>
        <v>101.6999999999999</v>
      </c>
      <c r="L20">
        <f>MAX(0,-1/Theta*(K20-F20-Psi*G20))</f>
        <v>1.2177342126414885</v>
      </c>
      <c r="M20">
        <f t="shared" si="6"/>
        <v>1.1477580291623921E-2</v>
      </c>
      <c r="N20">
        <f t="shared" si="7"/>
        <v>1.2062566323498647</v>
      </c>
      <c r="O20">
        <f t="shared" si="2"/>
        <v>1.4900546771734071</v>
      </c>
      <c r="P20" s="7">
        <f t="shared" ca="1" si="12"/>
        <v>-3.4670115415746598E-2</v>
      </c>
      <c r="Q20" s="7">
        <f t="shared" si="9"/>
        <v>-0.10245866051376883</v>
      </c>
      <c r="R20" s="7">
        <f t="shared" si="10"/>
        <v>0.90261546264116232</v>
      </c>
      <c r="S20" s="7">
        <f t="shared" si="11"/>
        <v>-2.6392250418382446E-2</v>
      </c>
      <c r="T20" s="4">
        <v>-1.0443864648221241E-2</v>
      </c>
    </row>
    <row r="21" spans="1:20" ht="13.9" customHeight="1" x14ac:dyDescent="0.45">
      <c r="A21" t="s">
        <v>25</v>
      </c>
      <c r="B21" t="s">
        <v>26</v>
      </c>
      <c r="C21" t="s">
        <v>27</v>
      </c>
      <c r="D21" s="6"/>
      <c r="E21">
        <v>18</v>
      </c>
      <c r="F21">
        <f t="shared" si="3"/>
        <v>1.0810136060736211</v>
      </c>
      <c r="G21">
        <f t="shared" si="4"/>
        <v>2026.2766762879462</v>
      </c>
      <c r="H21">
        <f t="shared" si="0"/>
        <v>2040.7730879287856</v>
      </c>
      <c r="I21">
        <f t="shared" si="1"/>
        <v>1924.4379751540994</v>
      </c>
      <c r="J21">
        <f t="shared" si="5"/>
        <v>5.1565995177916955E-2</v>
      </c>
      <c r="K21">
        <f t="shared" si="8"/>
        <v>101.7999999999999</v>
      </c>
      <c r="L21">
        <f>MAX(0,-1/Theta*(K21-F21-Psi*G21))</f>
        <v>1.1896948409420816</v>
      </c>
      <c r="M21">
        <f t="shared" si="6"/>
        <v>5.1565995177916962E-3</v>
      </c>
      <c r="N21">
        <f t="shared" si="7"/>
        <v>1.1845382414242898</v>
      </c>
      <c r="O21">
        <f t="shared" si="2"/>
        <v>1.4496411640839371</v>
      </c>
      <c r="P21" s="7">
        <f t="shared" ca="1" si="12"/>
        <v>-1.0745591578504453E-2</v>
      </c>
      <c r="Q21" s="7">
        <f t="shared" si="9"/>
        <v>-3.8513216408005424E-2</v>
      </c>
      <c r="R21" s="7">
        <f t="shared" si="10"/>
        <v>0.96221898757704971</v>
      </c>
      <c r="S21" s="7">
        <f t="shared" si="11"/>
        <v>-2.8039371699406956E-2</v>
      </c>
      <c r="T21" s="4">
        <v>5.3699578054386521E-2</v>
      </c>
    </row>
    <row r="22" spans="1:20" ht="13.9" customHeight="1" x14ac:dyDescent="0.45">
      <c r="A22" t="s">
        <v>28</v>
      </c>
      <c r="B22">
        <f>(Theta*Beta0_0)/Beta1+m_0-(Psi+Theta/Beta1)*ybar0</f>
        <v>0.99999999999998579</v>
      </c>
      <c r="C22">
        <f>(Theta*Beta0_1)/Beta1+m_1-(Psi+Theta/Beta1)*ybar1</f>
        <v>0.99999999999998579</v>
      </c>
      <c r="D22" s="6"/>
      <c r="E22">
        <v>19</v>
      </c>
      <c r="F22">
        <f t="shared" si="3"/>
        <v>1.0861702055914129</v>
      </c>
      <c r="G22">
        <f t="shared" si="4"/>
        <v>2027.7263174520301</v>
      </c>
      <c r="H22">
        <f t="shared" si="0"/>
        <v>2042.961165371848</v>
      </c>
      <c r="I22">
        <f t="shared" si="1"/>
        <v>1944.4136891216915</v>
      </c>
      <c r="J22">
        <f t="shared" si="5"/>
        <v>4.1954638230344288E-2</v>
      </c>
      <c r="K22">
        <f t="shared" si="8"/>
        <v>101.89999999999989</v>
      </c>
      <c r="L22">
        <f>MAX(0,-1/Theta*(K22-F22-Psi*G22))</f>
        <v>1.1449721563860749</v>
      </c>
      <c r="M22">
        <f t="shared" si="6"/>
        <v>4.1954638230344288E-3</v>
      </c>
      <c r="N22">
        <f t="shared" si="7"/>
        <v>1.1407766925630405</v>
      </c>
      <c r="O22">
        <f t="shared" si="2"/>
        <v>1.5234847919817867</v>
      </c>
      <c r="P22" s="7">
        <f t="shared" ca="1" si="12"/>
        <v>-3.3274869523351951E-2</v>
      </c>
      <c r="Q22" s="7">
        <f t="shared" si="9"/>
        <v>-2.8186694114916887E-2</v>
      </c>
      <c r="R22" s="7">
        <f t="shared" si="10"/>
        <v>0.97220684456084572</v>
      </c>
      <c r="S22" s="7">
        <f t="shared" si="11"/>
        <v>-4.4722684556006698E-2</v>
      </c>
      <c r="T22" s="4">
        <v>6.475200652287994E-3</v>
      </c>
    </row>
    <row r="23" spans="1:20" ht="13.9" customHeight="1" x14ac:dyDescent="0.45">
      <c r="A23" t="s">
        <v>29</v>
      </c>
      <c r="B23">
        <f>ypot0</f>
        <v>2000</v>
      </c>
      <c r="C23">
        <f>ypot1</f>
        <v>2000</v>
      </c>
      <c r="D23" s="6"/>
      <c r="E23">
        <v>20</v>
      </c>
      <c r="F23">
        <f t="shared" si="3"/>
        <v>1.0903656694144472</v>
      </c>
      <c r="G23">
        <f t="shared" si="4"/>
        <v>2029.2498022440118</v>
      </c>
      <c r="H23">
        <f t="shared" si="0"/>
        <v>2044.6915441746225</v>
      </c>
      <c r="I23">
        <f t="shared" si="1"/>
        <v>2038.5559753313589</v>
      </c>
      <c r="J23">
        <f t="shared" si="5"/>
        <v>-4.5755327722016709E-3</v>
      </c>
      <c r="K23">
        <f t="shared" si="8"/>
        <v>101.99999999999989</v>
      </c>
      <c r="L23">
        <f>MAX(0,-1/Theta*(K23-F23-Psi*G23))</f>
        <v>1.1057115632303294</v>
      </c>
      <c r="M23">
        <f t="shared" si="6"/>
        <v>-4.575532772201671E-4</v>
      </c>
      <c r="N23">
        <f t="shared" si="7"/>
        <v>1.1061691165075496</v>
      </c>
      <c r="O23">
        <f t="shared" si="2"/>
        <v>1.5441741930610762</v>
      </c>
      <c r="P23" s="7">
        <f t="shared" ca="1" si="12"/>
        <v>4.2426730357729023E-2</v>
      </c>
      <c r="Q23" s="7">
        <f t="shared" si="9"/>
        <v>1.9094521418651925E-2</v>
      </c>
      <c r="R23" s="7">
        <f t="shared" si="10"/>
        <v>1.0192779876656795</v>
      </c>
      <c r="S23" s="7">
        <f t="shared" si="11"/>
        <v>-3.9260593155745482E-2</v>
      </c>
      <c r="T23" s="4">
        <v>4.4462546122077125E-2</v>
      </c>
    </row>
    <row r="24" spans="1:20" ht="13.9" customHeight="1" x14ac:dyDescent="0.45">
      <c r="A24"/>
      <c r="B24"/>
      <c r="C24"/>
      <c r="D24" s="6"/>
      <c r="E24">
        <v>21</v>
      </c>
      <c r="F24">
        <f t="shared" si="3"/>
        <v>1.089908116137227</v>
      </c>
      <c r="G24">
        <f t="shared" si="4"/>
        <v>2030.7939764370728</v>
      </c>
      <c r="H24">
        <f t="shared" si="0"/>
        <v>2047.3135954056161</v>
      </c>
      <c r="I24">
        <f t="shared" si="1"/>
        <v>1922.3896029200869</v>
      </c>
      <c r="J24">
        <f t="shared" si="5"/>
        <v>5.4857840943042864E-2</v>
      </c>
      <c r="K24">
        <f t="shared" si="8"/>
        <v>102.09999999999988</v>
      </c>
      <c r="L24">
        <f>MAX(0,-1/Theta*(K24-F24-Psi*G24))</f>
        <v>1.0592138759819818</v>
      </c>
      <c r="M24">
        <f t="shared" si="6"/>
        <v>5.4857840943042871E-3</v>
      </c>
      <c r="N24">
        <f t="shared" si="7"/>
        <v>1.0537280918876775</v>
      </c>
      <c r="O24">
        <f t="shared" si="2"/>
        <v>1.6519618968543228</v>
      </c>
      <c r="P24" s="7">
        <f t="shared" ca="1" si="12"/>
        <v>9.7560914853067726E-2</v>
      </c>
      <c r="Q24" s="7">
        <f t="shared" si="9"/>
        <v>-3.9578183519755006E-2</v>
      </c>
      <c r="R24" s="7">
        <f t="shared" si="10"/>
        <v>0.96119480146004344</v>
      </c>
      <c r="S24" s="7">
        <f t="shared" si="11"/>
        <v>-4.6497687248347574E-2</v>
      </c>
      <c r="T24" s="4">
        <v>-5.6763252796541736E-2</v>
      </c>
    </row>
    <row r="25" spans="1:20" ht="13.9" customHeight="1" x14ac:dyDescent="0.45">
      <c r="A25" t="s">
        <v>30</v>
      </c>
      <c r="B25" t="s">
        <v>31</v>
      </c>
      <c r="C25" t="s">
        <v>32</v>
      </c>
      <c r="D25" s="6"/>
      <c r="E25">
        <v>22</v>
      </c>
      <c r="F25">
        <f t="shared" si="3"/>
        <v>1.0953939002315314</v>
      </c>
      <c r="G25">
        <f t="shared" si="4"/>
        <v>2032.4459383339272</v>
      </c>
      <c r="H25">
        <f t="shared" si="0"/>
        <v>2048.6310954211599</v>
      </c>
      <c r="I25">
        <f t="shared" si="1"/>
        <v>1876.1176103213356</v>
      </c>
      <c r="J25">
        <f t="shared" si="5"/>
        <v>8.0035422792475913E-2</v>
      </c>
      <c r="K25">
        <f t="shared" si="8"/>
        <v>102.19999999999987</v>
      </c>
      <c r="L25">
        <f>MAX(0,-1/Theta*(K25-F25-Psi*G25))</f>
        <v>1.0353816338560478</v>
      </c>
      <c r="M25">
        <f t="shared" si="6"/>
        <v>8.003542279247591E-3</v>
      </c>
      <c r="N25">
        <f t="shared" si="7"/>
        <v>1.0273780915768003</v>
      </c>
      <c r="O25">
        <f t="shared" si="2"/>
        <v>1.6185157087232711</v>
      </c>
      <c r="P25" s="7">
        <f t="shared" ca="1" si="12"/>
        <v>-4.3523727537317404E-2</v>
      </c>
      <c r="Q25" s="7">
        <f t="shared" si="9"/>
        <v>-6.3942639872035772E-2</v>
      </c>
      <c r="R25" s="7">
        <f t="shared" si="10"/>
        <v>0.93805880516066786</v>
      </c>
      <c r="S25" s="7">
        <f t="shared" si="11"/>
        <v>-2.3832242125934044E-2</v>
      </c>
      <c r="T25" s="4">
        <v>-2.8322274704256262E-2</v>
      </c>
    </row>
    <row r="26" spans="1:20" ht="13.9" customHeight="1" x14ac:dyDescent="0.5">
      <c r="A26" t="s">
        <v>43</v>
      </c>
      <c r="B26">
        <f>IF((Ni*(Beta1*Mi-((Beta1*Psi)/Theta)-1))^2-4*(Ni*Beta1*Mi)/Theta&gt;0,(Ni*(Beta1*Mi-((Beta1*Psi)/Theta)-1)+SQRT((Ni*(Beta1*Mi-((Beta1*Psi)/Theta)-1))^2-4*(Ni*Beta1*Mi)/Theta))/2,((Ni*(Beta1*Mi-((Beta1*Psi)/Theta)-1))/2))</f>
        <v>-0.05</v>
      </c>
      <c r="C26">
        <f>IF((Ni*((Beta1*Mi-(Beta1*Psi)/Theta)-1)^2-4*(Ni*Beta1*Mi)/Theta)&gt;0, 0, +SQRT(-(Ni*((Beta1*Mi-(Beta1*Psi)/Theta)-1)^2-4*(Ni*Beta1*Mi)/Theta))/2)</f>
        <v>0.98742088290657493</v>
      </c>
      <c r="D26" s="6"/>
      <c r="E26">
        <v>23</v>
      </c>
      <c r="F26">
        <f t="shared" si="3"/>
        <v>1.1033974425107789</v>
      </c>
      <c r="G26">
        <f t="shared" si="4"/>
        <v>2034.0644540426504</v>
      </c>
      <c r="H26">
        <f t="shared" si="0"/>
        <v>2049.8141430585592</v>
      </c>
      <c r="I26">
        <f t="shared" si="1"/>
        <v>1849.2949916492387</v>
      </c>
      <c r="J26">
        <f t="shared" si="5"/>
        <v>9.5231504580532228E-2</v>
      </c>
      <c r="K26">
        <f t="shared" si="8"/>
        <v>102.29999999999987</v>
      </c>
      <c r="L26">
        <f>MAX(0,-1/Theta*(K26-F26-Psi*G26))</f>
        <v>1.0132402892868697</v>
      </c>
      <c r="M26">
        <f t="shared" si="6"/>
        <v>9.5231504580532231E-3</v>
      </c>
      <c r="N26">
        <f t="shared" si="7"/>
        <v>1.0037171388288164</v>
      </c>
      <c r="O26">
        <f t="shared" si="2"/>
        <v>1.5749689015908872</v>
      </c>
      <c r="P26" s="7">
        <f t="shared" ca="1" si="12"/>
        <v>-2.8108664737315991E-2</v>
      </c>
      <c r="Q26" s="7">
        <f t="shared" si="9"/>
        <v>-7.8342699696286489E-2</v>
      </c>
      <c r="R26" s="7">
        <f t="shared" si="10"/>
        <v>0.92464749582461936</v>
      </c>
      <c r="S26" s="7">
        <f t="shared" si="11"/>
        <v>-2.2141344569178045E-2</v>
      </c>
      <c r="T26" s="4">
        <v>-2.0794323811454296E-2</v>
      </c>
    </row>
    <row r="27" spans="1:20" ht="13.9" customHeight="1" x14ac:dyDescent="0.5">
      <c r="A27" t="s">
        <v>44</v>
      </c>
      <c r="B27">
        <f>IF((Ni*(Beta1*Mi-((Beta1*Psi)/Theta)-1))^2-4*(Ni*Beta1*Mi)/Theta&gt;0,(Ni*(Beta1*Mi-((Beta1*Psi)/Theta)-1)-SQRT((Ni*(Beta1*Mi-((Beta1*Psi)/Theta)-1))^2-4*(Ni*Beta1*Mi)/Theta))/2,((Ni*(Beta1*Mi-((Beta1*Psi)/Theta)-1))/2))</f>
        <v>-0.05</v>
      </c>
      <c r="C27">
        <f>IF((Ni*((Beta1*Mi-(Beta1*Psi)/Theta)-1)^2-4*(Ni*Beta1*Mi)/Theta)&gt;0, 0, -SQRT(-(Ni*((Beta1*Mi-(Beta1*Psi)/Theta)-1)^2-4*(Ni*Beta1*Mi)/Theta))/2)</f>
        <v>-0.98742088290657493</v>
      </c>
      <c r="D27" s="6"/>
      <c r="E27">
        <v>24</v>
      </c>
      <c r="F27">
        <f t="shared" si="3"/>
        <v>1.1129205929688322</v>
      </c>
      <c r="G27">
        <f t="shared" si="4"/>
        <v>2035.6394229442412</v>
      </c>
      <c r="H27">
        <f t="shared" si="0"/>
        <v>2051.441924261504</v>
      </c>
      <c r="I27">
        <f t="shared" si="1"/>
        <v>1689.766453799873</v>
      </c>
      <c r="J27">
        <f t="shared" si="5"/>
        <v>0.186219655921463</v>
      </c>
      <c r="K27">
        <f t="shared" si="8"/>
        <v>102.39999999999986</v>
      </c>
      <c r="L27">
        <f>MAX(0,-1/Theta*(K27-F27-Psi*G27))</f>
        <v>0.98978348036206398</v>
      </c>
      <c r="M27">
        <f t="shared" si="6"/>
        <v>1.8621965592146301E-2</v>
      </c>
      <c r="N27">
        <f t="shared" si="7"/>
        <v>0.97116151476991763</v>
      </c>
      <c r="O27">
        <f t="shared" si="2"/>
        <v>1.5802501317262796</v>
      </c>
      <c r="P27" s="7">
        <f t="shared" ca="1" si="12"/>
        <v>-4.8638078302434412E-2</v>
      </c>
      <c r="Q27" s="7">
        <f t="shared" si="9"/>
        <v>-0.16855685419232466</v>
      </c>
      <c r="R27" s="7">
        <f t="shared" si="10"/>
        <v>0.84488322689993656</v>
      </c>
      <c r="S27" s="7">
        <f t="shared" si="11"/>
        <v>-2.3456808924805728E-2</v>
      </c>
      <c r="T27" s="4">
        <v>-9.804842446566682E-2</v>
      </c>
    </row>
    <row r="28" spans="1:20" ht="13.9" customHeight="1" x14ac:dyDescent="0.45">
      <c r="A28"/>
      <c r="B28"/>
      <c r="C28"/>
      <c r="D28" s="6"/>
      <c r="E28">
        <v>25</v>
      </c>
      <c r="F28">
        <f t="shared" si="3"/>
        <v>1.1315425585609784</v>
      </c>
      <c r="G28">
        <f t="shared" si="4"/>
        <v>2037.2196730759674</v>
      </c>
      <c r="H28">
        <f t="shared" si="0"/>
        <v>2051.6922462755947</v>
      </c>
      <c r="I28">
        <f t="shared" si="1"/>
        <v>1686.427642392189</v>
      </c>
      <c r="J28">
        <f t="shared" si="5"/>
        <v>0.18897350230880833</v>
      </c>
      <c r="K28">
        <f t="shared" si="8"/>
        <v>102.49999999999986</v>
      </c>
      <c r="L28">
        <f>MAX(0,-1/Theta*(K28-F28-Psi*G28))</f>
        <v>0.98505242471898669</v>
      </c>
      <c r="M28">
        <f t="shared" si="6"/>
        <v>1.8897350230880836E-2</v>
      </c>
      <c r="N28">
        <f t="shared" si="7"/>
        <v>0.96615507448810589</v>
      </c>
      <c r="O28">
        <f t="shared" si="2"/>
        <v>1.4472573199627279</v>
      </c>
      <c r="P28" s="7">
        <f t="shared" ca="1" si="12"/>
        <v>-0.10672244190418126</v>
      </c>
      <c r="Q28" s="7">
        <f t="shared" si="9"/>
        <v>-0.17053470996778397</v>
      </c>
      <c r="R28" s="7">
        <f t="shared" si="10"/>
        <v>0.84321382119609445</v>
      </c>
      <c r="S28" s="7">
        <f t="shared" si="11"/>
        <v>-4.7310556430772976E-3</v>
      </c>
      <c r="T28" s="4">
        <v>-1.8833541194691779E-2</v>
      </c>
    </row>
    <row r="29" spans="1:20" ht="13.9" customHeight="1" x14ac:dyDescent="0.45">
      <c r="A29" t="s">
        <v>33</v>
      </c>
      <c r="B29"/>
      <c r="C29"/>
      <c r="D29" s="6"/>
      <c r="E29">
        <v>26</v>
      </c>
      <c r="F29">
        <f t="shared" si="3"/>
        <v>1.1504399087918593</v>
      </c>
      <c r="G29">
        <f t="shared" si="4"/>
        <v>2038.6669303959302</v>
      </c>
      <c r="H29">
        <f t="shared" si="0"/>
        <v>2052.4182405681358</v>
      </c>
      <c r="I29">
        <f t="shared" si="1"/>
        <v>1738.3205454705389</v>
      </c>
      <c r="J29">
        <f t="shared" si="5"/>
        <v>0.15937668539751904</v>
      </c>
      <c r="K29">
        <f t="shared" si="8"/>
        <v>102.59999999999985</v>
      </c>
      <c r="L29">
        <f>MAX(0,-1/Theta*(K29-F29-Psi*G29))</f>
        <v>0.96757285717703212</v>
      </c>
      <c r="M29">
        <f t="shared" si="6"/>
        <v>1.5937668539751905E-2</v>
      </c>
      <c r="N29">
        <f t="shared" si="7"/>
        <v>0.95163518863728025</v>
      </c>
      <c r="O29">
        <f t="shared" si="2"/>
        <v>1.3751310172205651</v>
      </c>
      <c r="P29" s="7">
        <f t="shared" ca="1" si="12"/>
        <v>4.9406403270777586E-3</v>
      </c>
      <c r="Q29" s="7">
        <f t="shared" si="9"/>
        <v>-0.14022773719516432</v>
      </c>
      <c r="R29" s="7">
        <f t="shared" si="10"/>
        <v>0.86916027273526952</v>
      </c>
      <c r="S29" s="7">
        <f t="shared" si="11"/>
        <v>-1.7479567541954566E-2</v>
      </c>
      <c r="T29" s="4">
        <v>1.3253501775841262E-2</v>
      </c>
    </row>
    <row r="30" spans="1:20" ht="13.9" customHeight="1" x14ac:dyDescent="0.5">
      <c r="A30" t="s">
        <v>45</v>
      </c>
      <c r="B30">
        <f>IF(C26=0,ABS(1+B26),SQRT((1+B26)^2+C26^2))</f>
        <v>1.3702189606044721</v>
      </c>
      <c r="C30"/>
      <c r="D30" s="6"/>
      <c r="E30">
        <v>27</v>
      </c>
      <c r="F30">
        <f t="shared" si="3"/>
        <v>1.1663775773316112</v>
      </c>
      <c r="G30">
        <f t="shared" si="4"/>
        <v>2040.0420614131508</v>
      </c>
      <c r="H30">
        <f t="shared" si="0"/>
        <v>2053.8381555269752</v>
      </c>
      <c r="I30">
        <f t="shared" si="1"/>
        <v>1778.4218337895325</v>
      </c>
      <c r="J30">
        <f t="shared" si="5"/>
        <v>0.13724406518127574</v>
      </c>
      <c r="K30">
        <f t="shared" si="8"/>
        <v>102.69999999999985</v>
      </c>
      <c r="L30">
        <f>MAX(0,-1/Theta*(K30-F30-Psi*G30))</f>
        <v>0.93696129597861955</v>
      </c>
      <c r="M30">
        <f t="shared" si="6"/>
        <v>1.3724406518127575E-2</v>
      </c>
      <c r="N30">
        <f t="shared" si="7"/>
        <v>0.92323688946049198</v>
      </c>
      <c r="O30">
        <f t="shared" si="2"/>
        <v>1.379609411382444</v>
      </c>
      <c r="P30" s="7">
        <f t="shared" ca="1" si="12"/>
        <v>-2.9626297407839192E-2</v>
      </c>
      <c r="Q30" s="7">
        <f t="shared" si="9"/>
        <v>-0.11742081975787114</v>
      </c>
      <c r="R30" s="7">
        <f t="shared" si="10"/>
        <v>0.88921091689476628</v>
      </c>
      <c r="S30" s="7">
        <f t="shared" si="11"/>
        <v>-3.0611561198412574E-2</v>
      </c>
      <c r="T30" s="4">
        <v>8.7841437177767472E-3</v>
      </c>
    </row>
    <row r="31" spans="1:20" ht="13.9" customHeight="1" x14ac:dyDescent="0.5">
      <c r="A31" t="s">
        <v>46</v>
      </c>
      <c r="B31">
        <f>IF(B27=0,ABS(1+B27),SQRT((1+B27)^2+C27^2))</f>
        <v>1.3702189606044721</v>
      </c>
      <c r="C31"/>
      <c r="D31" s="6"/>
      <c r="E31">
        <v>28</v>
      </c>
      <c r="F31">
        <f t="shared" si="3"/>
        <v>1.1801019838497389</v>
      </c>
      <c r="G31">
        <f t="shared" si="4"/>
        <v>2041.4216708245333</v>
      </c>
      <c r="H31">
        <f t="shared" si="0"/>
        <v>2055.1794788352204</v>
      </c>
      <c r="I31">
        <f t="shared" si="1"/>
        <v>1923.295640545967</v>
      </c>
      <c r="J31">
        <f t="shared" si="5"/>
        <v>5.9606268575405415E-2</v>
      </c>
      <c r="K31">
        <f t="shared" si="8"/>
        <v>102.79999999999984</v>
      </c>
      <c r="L31">
        <f>MAX(0,-1/Theta*(K31-F31-Psi*G31))</f>
        <v>0.90237105015313546</v>
      </c>
      <c r="M31">
        <f t="shared" si="6"/>
        <v>5.9606268575405422E-3</v>
      </c>
      <c r="N31">
        <f t="shared" si="7"/>
        <v>0.89641042329559495</v>
      </c>
      <c r="O31">
        <f t="shared" si="2"/>
        <v>1.3757808010687087</v>
      </c>
      <c r="P31" s="7">
        <f t="shared" ca="1" si="12"/>
        <v>-6.1758251808646192E-2</v>
      </c>
      <c r="Q31" s="7">
        <f t="shared" si="9"/>
        <v>-3.9106986536495317E-2</v>
      </c>
      <c r="R31" s="7">
        <f t="shared" si="10"/>
        <v>0.96164782027298346</v>
      </c>
      <c r="S31" s="7">
        <f t="shared" si="11"/>
        <v>-3.4590245825484089E-2</v>
      </c>
      <c r="T31" s="4">
        <v>6.6571751245588714E-2</v>
      </c>
    </row>
    <row r="32" spans="1:20" ht="13.9" customHeight="1" x14ac:dyDescent="0.45">
      <c r="A32" s="6"/>
      <c r="B32" s="6"/>
      <c r="C32" s="6"/>
      <c r="D32" s="6"/>
      <c r="E32">
        <v>29</v>
      </c>
      <c r="F32">
        <f t="shared" si="3"/>
        <v>1.1860626107072794</v>
      </c>
      <c r="G32">
        <f t="shared" si="4"/>
        <v>2042.797451625602</v>
      </c>
      <c r="H32">
        <f t="shared" si="0"/>
        <v>2057.8277574424096</v>
      </c>
      <c r="I32">
        <f t="shared" si="1"/>
        <v>1877.7323276067712</v>
      </c>
      <c r="J32">
        <f t="shared" si="5"/>
        <v>8.4255328232878957E-2</v>
      </c>
      <c r="K32">
        <f t="shared" si="8"/>
        <v>102.89999999999984</v>
      </c>
      <c r="L32">
        <f>MAX(0,-1/Theta*(K32-F32-Psi*G32))</f>
        <v>0.85187038397509696</v>
      </c>
      <c r="M32">
        <f t="shared" si="6"/>
        <v>8.4255328232878957E-3</v>
      </c>
      <c r="N32">
        <f t="shared" si="7"/>
        <v>0.84344485115180912</v>
      </c>
      <c r="O32">
        <f t="shared" si="2"/>
        <v>1.5030305816807641</v>
      </c>
      <c r="P32" s="7">
        <f t="shared" ca="1" si="12"/>
        <v>3.5584458670602048E-3</v>
      </c>
      <c r="Q32" s="7">
        <f t="shared" si="9"/>
        <v>-6.3082340493144456E-2</v>
      </c>
      <c r="R32" s="7">
        <f t="shared" si="10"/>
        <v>0.93886616380338561</v>
      </c>
      <c r="S32" s="7">
        <f t="shared" si="11"/>
        <v>-5.05006661780385E-2</v>
      </c>
      <c r="T32" s="4">
        <v>-2.7886052610298667E-2</v>
      </c>
    </row>
    <row r="33" spans="1:20" ht="13.9" customHeight="1" x14ac:dyDescent="0.45">
      <c r="A33" s="6"/>
      <c r="B33" s="4" t="s">
        <v>40</v>
      </c>
      <c r="C33" s="7">
        <v>0.9</v>
      </c>
      <c r="D33" s="6"/>
      <c r="E33">
        <v>30</v>
      </c>
      <c r="F33">
        <f t="shared" si="3"/>
        <v>1.1944881435305672</v>
      </c>
      <c r="G33">
        <f t="shared" si="4"/>
        <v>2044.3004822072828</v>
      </c>
      <c r="H33">
        <f t="shared" si="0"/>
        <v>2059.3666573975834</v>
      </c>
      <c r="I33">
        <f t="shared" si="1"/>
        <v>1918.3762230804127</v>
      </c>
      <c r="J33">
        <f t="shared" si="5"/>
        <v>6.3576557414151413E-2</v>
      </c>
      <c r="K33">
        <f t="shared" si="8"/>
        <v>102.99999999999983</v>
      </c>
      <c r="L33">
        <f>MAX(0,-1/Theta*(K33-F33-Psi*G33))</f>
        <v>0.81902450778974867</v>
      </c>
      <c r="M33">
        <f t="shared" si="6"/>
        <v>6.3576557414151413E-3</v>
      </c>
      <c r="N33">
        <f t="shared" si="7"/>
        <v>0.81266685204833355</v>
      </c>
      <c r="O33">
        <f t="shared" si="2"/>
        <v>1.5066175190300557</v>
      </c>
      <c r="P33" s="7">
        <f t="shared" ca="1" si="12"/>
        <v>-1.3825631015169976E-2</v>
      </c>
      <c r="Q33" s="7">
        <f t="shared" si="9"/>
        <v>-4.1668069486376191E-2</v>
      </c>
      <c r="R33" s="7">
        <f t="shared" si="10"/>
        <v>0.95918811154020633</v>
      </c>
      <c r="S33" s="7">
        <f t="shared" si="11"/>
        <v>-3.2845876185348288E-2</v>
      </c>
      <c r="T33" s="4">
        <v>1.5106036957453821E-2</v>
      </c>
    </row>
    <row r="34" spans="1:20" ht="13.9" customHeight="1" x14ac:dyDescent="0.45">
      <c r="A34" s="6"/>
      <c r="B34" s="4" t="s">
        <v>41</v>
      </c>
      <c r="C34" s="7">
        <v>0.05</v>
      </c>
      <c r="E34">
        <v>31</v>
      </c>
      <c r="F34">
        <f t="shared" si="3"/>
        <v>1.2008457992719823</v>
      </c>
      <c r="G34">
        <f t="shared" si="4"/>
        <v>2045.8070997263128</v>
      </c>
      <c r="H34">
        <f t="shared" si="0"/>
        <v>2061.1126759247841</v>
      </c>
      <c r="I34">
        <f t="shared" si="1"/>
        <v>1952.7555637921478</v>
      </c>
      <c r="J34">
        <f t="shared" si="5"/>
        <v>4.6550896713107789E-2</v>
      </c>
      <c r="K34">
        <f t="shared" si="8"/>
        <v>103.09999999999982</v>
      </c>
      <c r="L34">
        <f>MAX(0,-1/Theta*(K34-F34-Psi*G34))</f>
        <v>0.78240157117562603</v>
      </c>
      <c r="M34">
        <f t="shared" si="6"/>
        <v>4.6550896713107789E-3</v>
      </c>
      <c r="N34">
        <f t="shared" si="7"/>
        <v>0.77774648150431525</v>
      </c>
      <c r="O34">
        <f t="shared" si="2"/>
        <v>1.5305576198471273</v>
      </c>
      <c r="P34" s="7">
        <f t="shared" ca="1" si="12"/>
        <v>-5.3551320301777429E-2</v>
      </c>
      <c r="Q34" s="7">
        <f t="shared" si="9"/>
        <v>-2.3905695847106875E-2</v>
      </c>
      <c r="R34" s="7">
        <f t="shared" si="10"/>
        <v>0.97637778189607394</v>
      </c>
      <c r="S34" s="7">
        <f t="shared" si="11"/>
        <v>-3.6622936614122636E-2</v>
      </c>
      <c r="T34" s="4">
        <v>1.3595566690631703E-2</v>
      </c>
    </row>
    <row r="35" spans="1:20" ht="13.9" customHeight="1" x14ac:dyDescent="0.45">
      <c r="A35" s="6"/>
      <c r="B35" s="6"/>
      <c r="C35" s="6"/>
      <c r="E35">
        <v>32</v>
      </c>
      <c r="F35">
        <f t="shared" si="3"/>
        <v>1.205500888943293</v>
      </c>
      <c r="G35">
        <f t="shared" si="4"/>
        <v>2047.3376573461599</v>
      </c>
      <c r="H35">
        <f t="shared" ref="H35:H66" si="13">Beta0_0 -Beta1*(L35-M35)</f>
        <v>2063.4851598603732</v>
      </c>
      <c r="I35">
        <f t="shared" ref="I35:I66" si="14">ypot_0*R35</f>
        <v>1771.5115200007695</v>
      </c>
      <c r="J35">
        <f t="shared" si="5"/>
        <v>0.1447070971039158</v>
      </c>
      <c r="K35">
        <f t="shared" si="8"/>
        <v>103.19999999999982</v>
      </c>
      <c r="L35">
        <f>MAX(0,-1/Theta*(K35-F35-Psi*G35))</f>
        <v>0.74476751250293205</v>
      </c>
      <c r="M35">
        <f t="shared" si="6"/>
        <v>1.4470709710391581E-2</v>
      </c>
      <c r="N35">
        <f t="shared" si="7"/>
        <v>0.7302968027925405</v>
      </c>
      <c r="O35">
        <f t="shared" ref="O35:O66" si="15">Ni*(H35-G35)</f>
        <v>1.614750251421333</v>
      </c>
      <c r="P35" s="7">
        <f t="shared" ca="1" si="12"/>
        <v>6.1811668386152034E-2</v>
      </c>
      <c r="Q35" s="7">
        <f t="shared" si="9"/>
        <v>-0.12131403229367531</v>
      </c>
      <c r="R35" s="7">
        <f t="shared" si="10"/>
        <v>0.8857557600003847</v>
      </c>
      <c r="S35" s="7">
        <f t="shared" si="11"/>
        <v>-3.7634058672693982E-2</v>
      </c>
      <c r="T35" s="4">
        <v>-9.9798906031279125E-2</v>
      </c>
    </row>
    <row r="36" spans="1:20" ht="13.9" customHeight="1" x14ac:dyDescent="0.45">
      <c r="A36" s="6"/>
      <c r="B36" s="6"/>
      <c r="C36" s="6"/>
      <c r="E36">
        <v>33</v>
      </c>
      <c r="F36">
        <f t="shared" ref="F36:F67" si="16">F35+M35</f>
        <v>1.2199715986536845</v>
      </c>
      <c r="G36">
        <f t="shared" ref="G36:G67" si="17">G35+O35</f>
        <v>2048.952407597581</v>
      </c>
      <c r="H36">
        <f t="shared" si="13"/>
        <v>2064.0914553684288</v>
      </c>
      <c r="I36">
        <f t="shared" si="14"/>
        <v>1728.4032363121976</v>
      </c>
      <c r="J36">
        <f t="shared" si="5"/>
        <v>0.17013064434433045</v>
      </c>
      <c r="K36">
        <f t="shared" si="8"/>
        <v>103.29999999999981</v>
      </c>
      <c r="L36">
        <f>MAX(0,-1/Theta*(K36-F36-Psi*G36))</f>
        <v>0.73518395706585693</v>
      </c>
      <c r="M36">
        <f t="shared" ref="M36:M67" si="18">Mi*LN(G36/(I36))</f>
        <v>1.7013064434433046E-2</v>
      </c>
      <c r="N36">
        <f t="shared" si="7"/>
        <v>0.71817089263142386</v>
      </c>
      <c r="O36">
        <f t="shared" si="15"/>
        <v>1.5139047770847811</v>
      </c>
      <c r="P36" s="7">
        <f t="shared" ca="1" si="12"/>
        <v>-3.9967132606355165E-3</v>
      </c>
      <c r="Q36" s="7">
        <f t="shared" si="9"/>
        <v>-0.14594918305363563</v>
      </c>
      <c r="R36" s="7">
        <f t="shared" si="10"/>
        <v>0.86420161815609875</v>
      </c>
      <c r="S36" s="7">
        <f t="shared" si="11"/>
        <v>-9.5835554370751197E-3</v>
      </c>
      <c r="T36" s="4">
        <v>-3.6766553989327842E-2</v>
      </c>
    </row>
    <row r="37" spans="1:20" ht="13.9" customHeight="1" x14ac:dyDescent="0.45">
      <c r="C37" s="5" t="s">
        <v>0</v>
      </c>
      <c r="E37">
        <v>34</v>
      </c>
      <c r="F37">
        <f t="shared" si="16"/>
        <v>1.2369846630881176</v>
      </c>
      <c r="G37">
        <f t="shared" si="17"/>
        <v>2050.4663123746659</v>
      </c>
      <c r="H37">
        <f t="shared" si="13"/>
        <v>2064.6447576665914</v>
      </c>
      <c r="I37">
        <f t="shared" si="14"/>
        <v>1791.601776609366</v>
      </c>
      <c r="J37">
        <f t="shared" si="5"/>
        <v>0.13495716975078087</v>
      </c>
      <c r="K37">
        <f t="shared" si="8"/>
        <v>103.39999999999981</v>
      </c>
      <c r="L37">
        <f>MAX(0,-1/Theta*(K37-F37-Psi*G37))</f>
        <v>0.7206005636432451</v>
      </c>
      <c r="M37">
        <f t="shared" si="18"/>
        <v>1.3495716975078087E-2</v>
      </c>
      <c r="N37">
        <f t="shared" si="7"/>
        <v>0.70710484666816698</v>
      </c>
      <c r="O37">
        <f t="shared" si="15"/>
        <v>1.4178445291925528</v>
      </c>
      <c r="P37" s="7">
        <f t="shared" ca="1" si="12"/>
        <v>-0.11545841670478672</v>
      </c>
      <c r="Q37" s="7">
        <f t="shared" si="9"/>
        <v>-0.11003711357660592</v>
      </c>
      <c r="R37" s="7">
        <f t="shared" si="10"/>
        <v>0.89580088830468296</v>
      </c>
      <c r="S37" s="7">
        <f t="shared" si="11"/>
        <v>-1.4583393422611834E-2</v>
      </c>
      <c r="T37" s="4">
        <v>2.131715117166616E-2</v>
      </c>
    </row>
    <row r="38" spans="1:20" ht="13.9" customHeight="1" x14ac:dyDescent="0.45">
      <c r="E38">
        <v>35</v>
      </c>
      <c r="F38">
        <f t="shared" si="16"/>
        <v>1.2504803800631956</v>
      </c>
      <c r="G38">
        <f t="shared" si="17"/>
        <v>2051.8841569038586</v>
      </c>
      <c r="H38">
        <f t="shared" si="13"/>
        <v>2066.6245386987412</v>
      </c>
      <c r="I38">
        <f t="shared" si="14"/>
        <v>1648.8634412660531</v>
      </c>
      <c r="J38">
        <f t="shared" si="5"/>
        <v>0.21867224487491405</v>
      </c>
      <c r="K38">
        <f t="shared" si="8"/>
        <v>103.4999999999998</v>
      </c>
      <c r="L38">
        <f>MAX(0,-1/Theta*(K38-F38-Psi*G38))</f>
        <v>0.68937645051266827</v>
      </c>
      <c r="M38">
        <f t="shared" si="18"/>
        <v>2.1867224487491406E-2</v>
      </c>
      <c r="N38">
        <f t="shared" si="7"/>
        <v>0.66750922602517682</v>
      </c>
      <c r="O38">
        <f t="shared" si="15"/>
        <v>1.4740381794882524</v>
      </c>
      <c r="P38" s="7">
        <f t="shared" ca="1" si="12"/>
        <v>-7.3591784982610278E-2</v>
      </c>
      <c r="Q38" s="7">
        <f t="shared" si="9"/>
        <v>-0.19306095347046554</v>
      </c>
      <c r="R38" s="7">
        <f t="shared" si="10"/>
        <v>0.8244317206330265</v>
      </c>
      <c r="S38" s="7">
        <f t="shared" si="11"/>
        <v>-3.1224113130576825E-2</v>
      </c>
      <c r="T38" s="4">
        <v>-9.4027551251520222E-2</v>
      </c>
    </row>
    <row r="39" spans="1:20" ht="13.9" customHeight="1" x14ac:dyDescent="0.45">
      <c r="E39">
        <v>36</v>
      </c>
      <c r="F39">
        <f t="shared" si="16"/>
        <v>1.272347604550687</v>
      </c>
      <c r="G39">
        <f t="shared" si="17"/>
        <v>2053.3581950833468</v>
      </c>
      <c r="H39">
        <f t="shared" si="13"/>
        <v>2066.8650734752773</v>
      </c>
      <c r="I39">
        <f t="shared" si="14"/>
        <v>1718.2644271052607</v>
      </c>
      <c r="J39">
        <f t="shared" si="5"/>
        <v>0.17816186942008677</v>
      </c>
      <c r="K39">
        <f t="shared" si="8"/>
        <v>103.5999999999998</v>
      </c>
      <c r="L39">
        <f>MAX(0,-1/Theta*(K39-F39-Psi*G39))</f>
        <v>0.6805147174364663</v>
      </c>
      <c r="M39">
        <f t="shared" si="18"/>
        <v>1.7816186942008677E-2</v>
      </c>
      <c r="N39">
        <f t="shared" si="7"/>
        <v>0.66269853049445759</v>
      </c>
      <c r="O39">
        <f t="shared" si="15"/>
        <v>1.3506878391930515</v>
      </c>
      <c r="P39" s="7">
        <f t="shared" ca="1" si="12"/>
        <v>-6.7292139730132358E-2</v>
      </c>
      <c r="Q39" s="7">
        <f t="shared" si="9"/>
        <v>-0.1518324531808781</v>
      </c>
      <c r="R39" s="7">
        <f t="shared" si="10"/>
        <v>0.85913221355263036</v>
      </c>
      <c r="S39" s="7">
        <f t="shared" si="11"/>
        <v>-8.8617330762019719E-3</v>
      </c>
      <c r="T39" s="4">
        <v>2.1922404942540896E-2</v>
      </c>
    </row>
    <row r="40" spans="1:20" ht="14.25" x14ac:dyDescent="0.45">
      <c r="E40">
        <v>37</v>
      </c>
      <c r="F40">
        <f t="shared" si="16"/>
        <v>1.2901637914926956</v>
      </c>
      <c r="G40">
        <f t="shared" si="17"/>
        <v>2054.7088829225399</v>
      </c>
      <c r="H40">
        <f t="shared" si="13"/>
        <v>2068.5863115326679</v>
      </c>
      <c r="I40">
        <f t="shared" si="14"/>
        <v>1633.4806661891953</v>
      </c>
      <c r="J40">
        <f t="shared" si="5"/>
        <v>0.22942105893200068</v>
      </c>
      <c r="K40">
        <f t="shared" si="8"/>
        <v>103.69999999999979</v>
      </c>
      <c r="L40">
        <f>MAX(0,-1/Theta*(K40-F40-Psi*G40))</f>
        <v>0.65121587523984203</v>
      </c>
      <c r="M40">
        <f t="shared" si="18"/>
        <v>2.294210589320007E-2</v>
      </c>
      <c r="N40">
        <f t="shared" si="7"/>
        <v>0.62827376934664192</v>
      </c>
      <c r="O40">
        <f t="shared" si="15"/>
        <v>1.3877428610127938</v>
      </c>
      <c r="P40" s="7">
        <f t="shared" ca="1" si="12"/>
        <v>-6.8782832176422476E-2</v>
      </c>
      <c r="Q40" s="7">
        <f t="shared" si="9"/>
        <v>-0.20243406439028813</v>
      </c>
      <c r="R40" s="7">
        <f t="shared" si="10"/>
        <v>0.81674033309459759</v>
      </c>
      <c r="S40" s="7">
        <f t="shared" si="11"/>
        <v>-2.9298842196624264E-2</v>
      </c>
      <c r="T40" s="4">
        <v>-6.5784856527497854E-2</v>
      </c>
    </row>
    <row r="41" spans="1:20" ht="14.25" x14ac:dyDescent="0.45">
      <c r="E41">
        <v>38</v>
      </c>
      <c r="F41">
        <f t="shared" si="16"/>
        <v>1.3131058973858956</v>
      </c>
      <c r="G41">
        <f t="shared" si="17"/>
        <v>2056.0966257835526</v>
      </c>
      <c r="H41">
        <f t="shared" si="13"/>
        <v>2069.3830893588347</v>
      </c>
      <c r="I41">
        <f t="shared" si="14"/>
        <v>1624.902380474927</v>
      </c>
      <c r="J41">
        <f t="shared" si="5"/>
        <v>0.23536160304170997</v>
      </c>
      <c r="K41">
        <f t="shared" si="8"/>
        <v>103.79999999999978</v>
      </c>
      <c r="L41">
        <f>MAX(0,-1/Theta*(K41-F41-Psi*G41))</f>
        <v>0.63587437312747852</v>
      </c>
      <c r="M41">
        <f t="shared" si="18"/>
        <v>2.3536160304170998E-2</v>
      </c>
      <c r="N41">
        <f t="shared" si="7"/>
        <v>0.61233821282330747</v>
      </c>
      <c r="O41">
        <f t="shared" si="15"/>
        <v>1.3286463575282141</v>
      </c>
      <c r="P41" s="7">
        <f t="shared" ca="1" si="12"/>
        <v>3.5360534219727617E-2</v>
      </c>
      <c r="Q41" s="7">
        <f t="shared" si="9"/>
        <v>-0.20769944013662378</v>
      </c>
      <c r="R41" s="7">
        <f t="shared" si="10"/>
        <v>0.81245119023746348</v>
      </c>
      <c r="S41" s="7">
        <f t="shared" si="11"/>
        <v>-1.5341502112363514E-2</v>
      </c>
      <c r="T41" s="4">
        <v>-2.550878218536444E-2</v>
      </c>
    </row>
    <row r="42" spans="1:20" ht="14.25" x14ac:dyDescent="0.45">
      <c r="E42">
        <v>39</v>
      </c>
      <c r="F42">
        <f t="shared" si="16"/>
        <v>1.3366420576900666</v>
      </c>
      <c r="G42">
        <f t="shared" si="17"/>
        <v>2057.4252721410808</v>
      </c>
      <c r="H42">
        <f t="shared" si="13"/>
        <v>2070.1054595287474</v>
      </c>
      <c r="I42">
        <f t="shared" si="14"/>
        <v>1719.8724524720903</v>
      </c>
      <c r="J42">
        <f t="shared" si="5"/>
        <v>0.17920520063626852</v>
      </c>
      <c r="K42">
        <f t="shared" si="8"/>
        <v>103.89999999999978</v>
      </c>
      <c r="L42">
        <f>MAX(0,-1/Theta*(K42-F42-Psi*G42))</f>
        <v>0.61581132948867889</v>
      </c>
      <c r="M42">
        <f t="shared" si="18"/>
        <v>1.7920520063626853E-2</v>
      </c>
      <c r="N42">
        <f t="shared" si="7"/>
        <v>0.59789080942505202</v>
      </c>
      <c r="O42">
        <f t="shared" si="15"/>
        <v>1.2680187387666593</v>
      </c>
      <c r="P42" s="7">
        <f t="shared" ca="1" si="12"/>
        <v>-2.1579615952527324E-2</v>
      </c>
      <c r="Q42" s="7">
        <f t="shared" si="9"/>
        <v>-0.150897048023724</v>
      </c>
      <c r="R42" s="7">
        <f t="shared" si="10"/>
        <v>0.85993622623604515</v>
      </c>
      <c r="S42" s="7">
        <f t="shared" si="11"/>
        <v>-2.0063043638799627E-2</v>
      </c>
      <c r="T42" s="4">
        <v>3.6032448099237419E-2</v>
      </c>
    </row>
    <row r="43" spans="1:20" ht="14.25" x14ac:dyDescent="0.45">
      <c r="E43">
        <v>40</v>
      </c>
      <c r="F43">
        <f t="shared" si="16"/>
        <v>1.3545625777536934</v>
      </c>
      <c r="G43">
        <f t="shared" si="17"/>
        <v>2058.6932908798476</v>
      </c>
      <c r="H43">
        <f t="shared" si="13"/>
        <v>2071.3555432271219</v>
      </c>
      <c r="I43">
        <f t="shared" si="14"/>
        <v>1947.2543921213753</v>
      </c>
      <c r="J43">
        <f t="shared" si="5"/>
        <v>5.5651080350559858E-2</v>
      </c>
      <c r="K43">
        <f t="shared" si="8"/>
        <v>103.99999999999977</v>
      </c>
      <c r="L43">
        <f>MAX(0,-1/Theta*(K43-F43-Psi*G43))</f>
        <v>0.57845424349261521</v>
      </c>
      <c r="M43">
        <f t="shared" si="18"/>
        <v>5.5651080350559859E-3</v>
      </c>
      <c r="N43">
        <f t="shared" si="7"/>
        <v>0.57288913545755926</v>
      </c>
      <c r="O43">
        <f t="shared" si="15"/>
        <v>1.2662252347274263</v>
      </c>
      <c r="P43" s="7">
        <f t="shared" ca="1" si="12"/>
        <v>3.04335133158414E-2</v>
      </c>
      <c r="Q43" s="7">
        <f t="shared" si="9"/>
        <v>-2.6726804193727013E-2</v>
      </c>
      <c r="R43" s="7">
        <f t="shared" si="10"/>
        <v>0.97362719606068771</v>
      </c>
      <c r="S43" s="7">
        <f t="shared" si="11"/>
        <v>-3.7357085996063688E-2</v>
      </c>
      <c r="T43" s="4">
        <v>0.10908053902762459</v>
      </c>
    </row>
    <row r="44" spans="1:20" ht="14.25" x14ac:dyDescent="0.45">
      <c r="E44">
        <v>41</v>
      </c>
      <c r="F44">
        <f t="shared" si="16"/>
        <v>1.3601276857887494</v>
      </c>
      <c r="G44">
        <f t="shared" si="17"/>
        <v>2059.9595161145749</v>
      </c>
      <c r="H44">
        <f t="shared" si="13"/>
        <v>2074.1047829338545</v>
      </c>
      <c r="I44">
        <f t="shared" si="14"/>
        <v>2095.2228354996159</v>
      </c>
      <c r="J44">
        <f t="shared" si="5"/>
        <v>-1.697358287450142E-2</v>
      </c>
      <c r="K44">
        <f t="shared" si="8"/>
        <v>104.09999999999977</v>
      </c>
      <c r="L44">
        <f>MAX(0,-1/Theta*(K44-F44-Psi*G44))</f>
        <v>0.51620698303545964</v>
      </c>
      <c r="M44">
        <f t="shared" si="18"/>
        <v>-1.6973582874501422E-3</v>
      </c>
      <c r="N44">
        <f t="shared" si="7"/>
        <v>0.51790434132290974</v>
      </c>
      <c r="O44">
        <f t="shared" si="15"/>
        <v>1.4145266819279643</v>
      </c>
      <c r="P44" s="7">
        <f t="shared" ca="1" si="12"/>
        <v>-4.8360833043725474E-2</v>
      </c>
      <c r="Q44" s="7">
        <f t="shared" si="9"/>
        <v>4.6512732551369645E-2</v>
      </c>
      <c r="R44" s="7">
        <f t="shared" si="10"/>
        <v>1.0476114177498079</v>
      </c>
      <c r="S44" s="7">
        <f t="shared" si="11"/>
        <v>-6.2247260457155562E-2</v>
      </c>
      <c r="T44" s="4">
        <v>7.0566856325723959E-2</v>
      </c>
    </row>
    <row r="45" spans="1:20" ht="14.25" x14ac:dyDescent="0.45">
      <c r="E45">
        <v>42</v>
      </c>
      <c r="F45">
        <f t="shared" si="16"/>
        <v>1.3584303275012992</v>
      </c>
      <c r="G45">
        <f t="shared" si="17"/>
        <v>2061.3740427965026</v>
      </c>
      <c r="H45">
        <f t="shared" si="13"/>
        <v>2076.9659358136387</v>
      </c>
      <c r="I45">
        <f t="shared" si="14"/>
        <v>2197.9745171340332</v>
      </c>
      <c r="J45">
        <f t="shared" si="5"/>
        <v>-6.4163490738896198E-2</v>
      </c>
      <c r="K45">
        <f t="shared" si="8"/>
        <v>104.19999999999976</v>
      </c>
      <c r="L45">
        <f>MAX(0,-1/Theta*(K45-F45-Psi*G45))</f>
        <v>0.45426493465333806</v>
      </c>
      <c r="M45">
        <f t="shared" si="18"/>
        <v>-6.4163490738896201E-3</v>
      </c>
      <c r="N45">
        <f t="shared" si="7"/>
        <v>0.46068128372722766</v>
      </c>
      <c r="O45">
        <f t="shared" si="15"/>
        <v>1.5591893017136045</v>
      </c>
      <c r="P45" s="7">
        <f t="shared" ca="1" si="12"/>
        <v>9.0855314497824465E-3</v>
      </c>
      <c r="Q45" s="7">
        <f t="shared" si="9"/>
        <v>9.438908169369184E-2</v>
      </c>
      <c r="R45" s="7">
        <f t="shared" si="10"/>
        <v>1.0989872585670166</v>
      </c>
      <c r="S45" s="7">
        <f t="shared" si="11"/>
        <v>-6.1942048382121584E-2</v>
      </c>
      <c r="T45" s="4">
        <v>5.2527622397459152E-2</v>
      </c>
    </row>
    <row r="46" spans="1:20" ht="14.25" x14ac:dyDescent="0.45">
      <c r="E46">
        <v>43</v>
      </c>
      <c r="F46">
        <f t="shared" si="16"/>
        <v>1.3520139784274097</v>
      </c>
      <c r="G46">
        <f t="shared" si="17"/>
        <v>2062.9332320982162</v>
      </c>
      <c r="H46">
        <f t="shared" si="13"/>
        <v>2079.9190912119152</v>
      </c>
      <c r="I46">
        <f t="shared" si="14"/>
        <v>2152.8638088876437</v>
      </c>
      <c r="J46">
        <f t="shared" si="5"/>
        <v>-4.2670090847539838E-2</v>
      </c>
      <c r="K46">
        <f t="shared" si="8"/>
        <v>104.29999999999976</v>
      </c>
      <c r="L46">
        <f>MAX(0,-1/Theta*(K46-F46-Psi*G46))</f>
        <v>0.39735116667694115</v>
      </c>
      <c r="M46">
        <f t="shared" si="18"/>
        <v>-4.2670090847539838E-3</v>
      </c>
      <c r="N46">
        <f t="shared" si="7"/>
        <v>0.40161817576169512</v>
      </c>
      <c r="O46">
        <f t="shared" si="15"/>
        <v>1.6985859113699009</v>
      </c>
      <c r="P46" s="7">
        <f t="shared" ca="1" si="12"/>
        <v>6.7294543769308254E-2</v>
      </c>
      <c r="Q46" s="7">
        <f t="shared" si="9"/>
        <v>7.3651779382884155E-2</v>
      </c>
      <c r="R46" s="7">
        <f t="shared" si="10"/>
        <v>1.0764319044438218</v>
      </c>
      <c r="S46" s="7">
        <f t="shared" si="11"/>
        <v>-5.6913767976396912E-2</v>
      </c>
      <c r="T46" s="4">
        <v>-1.1298394141438498E-2</v>
      </c>
    </row>
    <row r="47" spans="1:20" ht="14.25" x14ac:dyDescent="0.45">
      <c r="E47">
        <v>44</v>
      </c>
      <c r="F47">
        <f t="shared" si="16"/>
        <v>1.3477469693426556</v>
      </c>
      <c r="G47">
        <f t="shared" si="17"/>
        <v>2064.6318180095859</v>
      </c>
      <c r="H47">
        <f t="shared" si="13"/>
        <v>2081.9116189921247</v>
      </c>
      <c r="I47">
        <f t="shared" si="14"/>
        <v>2129.4648824978658</v>
      </c>
      <c r="J47">
        <f t="shared" si="5"/>
        <v>-3.0918805130918922E-2</v>
      </c>
      <c r="K47">
        <f t="shared" si="8"/>
        <v>104.39999999999975</v>
      </c>
      <c r="L47">
        <f>MAX(0,-1/Theta*(K47-F47-Psi*G47))</f>
        <v>0.35867573964441135</v>
      </c>
      <c r="M47">
        <f t="shared" si="18"/>
        <v>-3.0918805130918923E-3</v>
      </c>
      <c r="N47">
        <f t="shared" si="7"/>
        <v>0.36176762015750324</v>
      </c>
      <c r="O47">
        <f t="shared" si="15"/>
        <v>1.7279800982538747</v>
      </c>
      <c r="P47" s="7">
        <f t="shared" ca="1" si="12"/>
        <v>-5.9300403994689978E-2</v>
      </c>
      <c r="Q47" s="7">
        <f t="shared" si="9"/>
        <v>6.2723538723886918E-2</v>
      </c>
      <c r="R47" s="7">
        <f t="shared" si="10"/>
        <v>1.064732441248933</v>
      </c>
      <c r="S47" s="7">
        <f t="shared" si="11"/>
        <v>-3.8675427032529797E-2</v>
      </c>
      <c r="T47" s="4">
        <v>-3.5630627207088174E-3</v>
      </c>
    </row>
    <row r="48" spans="1:20" ht="14.25" x14ac:dyDescent="0.45">
      <c r="E48">
        <v>45</v>
      </c>
      <c r="F48">
        <f t="shared" si="16"/>
        <v>1.3446550888295636</v>
      </c>
      <c r="G48">
        <f t="shared" si="17"/>
        <v>2066.3597981078397</v>
      </c>
      <c r="H48">
        <f t="shared" si="13"/>
        <v>2083.1029150922577</v>
      </c>
      <c r="I48">
        <f t="shared" si="14"/>
        <v>2345.0473760106829</v>
      </c>
      <c r="J48">
        <f t="shared" si="5"/>
        <v>-0.12651709711234557</v>
      </c>
      <c r="K48">
        <f t="shared" si="8"/>
        <v>104.49999999999974</v>
      </c>
      <c r="L48">
        <f>MAX(0,-1/Theta*(K48-F48-Psi*G48))</f>
        <v>0.32528998844361467</v>
      </c>
      <c r="M48">
        <f t="shared" si="18"/>
        <v>-1.2651709711234558E-2</v>
      </c>
      <c r="N48">
        <f t="shared" si="7"/>
        <v>0.33794169815484926</v>
      </c>
      <c r="O48">
        <f t="shared" si="15"/>
        <v>1.6743116984418067</v>
      </c>
      <c r="P48" s="7">
        <f t="shared" ca="1" si="12"/>
        <v>-2.0034659034361049E-2</v>
      </c>
      <c r="Q48" s="7">
        <f t="shared" si="9"/>
        <v>0.15915842412384978</v>
      </c>
      <c r="R48" s="7">
        <f t="shared" si="10"/>
        <v>1.1725236880053413</v>
      </c>
      <c r="S48" s="7">
        <f t="shared" si="11"/>
        <v>-3.3385751200796676E-2</v>
      </c>
      <c r="T48" s="4">
        <v>0.10270723927235155</v>
      </c>
    </row>
    <row r="49" spans="5:20" ht="14.25" x14ac:dyDescent="0.45">
      <c r="E49">
        <v>46</v>
      </c>
      <c r="F49">
        <f t="shared" si="16"/>
        <v>1.332003379118329</v>
      </c>
      <c r="G49">
        <f t="shared" si="17"/>
        <v>2068.0341098062813</v>
      </c>
      <c r="H49">
        <f t="shared" si="13"/>
        <v>2086.008722236315</v>
      </c>
      <c r="I49">
        <f t="shared" si="14"/>
        <v>2341.2304270474838</v>
      </c>
      <c r="J49">
        <f t="shared" si="5"/>
        <v>-0.12407816408365481</v>
      </c>
      <c r="K49">
        <f t="shared" si="8"/>
        <v>104.59999999999974</v>
      </c>
      <c r="L49">
        <f>MAX(0,-1/Theta*(K49-F49-Psi*G49))</f>
        <v>0.26741773886533338</v>
      </c>
      <c r="M49">
        <f t="shared" si="18"/>
        <v>-1.2407816408365482E-2</v>
      </c>
      <c r="N49">
        <f t="shared" si="7"/>
        <v>0.27982555527369884</v>
      </c>
      <c r="O49">
        <f t="shared" si="15"/>
        <v>1.7974612430033632</v>
      </c>
      <c r="P49" s="7">
        <f t="shared" ca="1" si="12"/>
        <v>-6.7354782691868148E-2</v>
      </c>
      <c r="Q49" s="7">
        <f t="shared" si="9"/>
        <v>0.15752943413748366</v>
      </c>
      <c r="R49" s="7">
        <f t="shared" si="10"/>
        <v>1.170615213523742</v>
      </c>
      <c r="S49" s="7">
        <f t="shared" si="11"/>
        <v>-5.7872249578281298E-2</v>
      </c>
      <c r="T49" s="4">
        <v>1.4286852426018862E-2</v>
      </c>
    </row>
    <row r="50" spans="5:20" ht="14.25" x14ac:dyDescent="0.45">
      <c r="E50">
        <v>47</v>
      </c>
      <c r="F50">
        <f t="shared" si="16"/>
        <v>1.3195955627099636</v>
      </c>
      <c r="G50">
        <f t="shared" si="17"/>
        <v>2069.8315710492848</v>
      </c>
      <c r="H50">
        <f t="shared" si="13"/>
        <v>2088.175394821521</v>
      </c>
      <c r="I50">
        <f t="shared" si="14"/>
        <v>2384.3009282511421</v>
      </c>
      <c r="J50">
        <f t="shared" si="5"/>
        <v>-0.14143873220627176</v>
      </c>
      <c r="K50">
        <f t="shared" si="8"/>
        <v>104.69999999999973</v>
      </c>
      <c r="L50">
        <f>MAX(0,-1/Theta*(K50-F50-Psi*G50))</f>
        <v>0.22234823034895612</v>
      </c>
      <c r="M50">
        <f t="shared" si="18"/>
        <v>-1.4143873220627178E-2</v>
      </c>
      <c r="N50">
        <f t="shared" si="7"/>
        <v>0.23649210356958331</v>
      </c>
      <c r="O50">
        <f t="shared" si="15"/>
        <v>1.8343823772236192</v>
      </c>
      <c r="P50" s="7">
        <f t="shared" ca="1" si="12"/>
        <v>4.552449528928753E-2</v>
      </c>
      <c r="Q50" s="7">
        <f t="shared" si="9"/>
        <v>0.17575878897030167</v>
      </c>
      <c r="R50" s="7">
        <f t="shared" si="10"/>
        <v>1.1921504641255711</v>
      </c>
      <c r="S50" s="7">
        <f t="shared" si="11"/>
        <v>-4.5069508516377255E-2</v>
      </c>
      <c r="T50" s="4">
        <v>3.3982298246566359E-2</v>
      </c>
    </row>
    <row r="51" spans="5:20" ht="14.25" x14ac:dyDescent="0.45">
      <c r="E51">
        <v>48</v>
      </c>
      <c r="F51">
        <f t="shared" si="16"/>
        <v>1.3054516894893364</v>
      </c>
      <c r="G51">
        <f t="shared" si="17"/>
        <v>2071.6659534265082</v>
      </c>
      <c r="H51">
        <f t="shared" si="13"/>
        <v>2090.6546263721102</v>
      </c>
      <c r="I51">
        <f t="shared" si="14"/>
        <v>2276.0479900223081</v>
      </c>
      <c r="J51">
        <f t="shared" si="5"/>
        <v>-9.4087509277610518E-2</v>
      </c>
      <c r="K51">
        <f t="shared" si="8"/>
        <v>104.79999999999973</v>
      </c>
      <c r="L51">
        <f>MAX(0,-1/Theta*(K51-F51-Psi*G51))</f>
        <v>0.17749872163003033</v>
      </c>
      <c r="M51">
        <f t="shared" si="18"/>
        <v>-9.4087509277610525E-3</v>
      </c>
      <c r="N51">
        <f t="shared" si="7"/>
        <v>0.18690747255779139</v>
      </c>
      <c r="O51">
        <f t="shared" si="15"/>
        <v>1.8988672945602048</v>
      </c>
      <c r="P51" s="7">
        <f t="shared" ca="1" si="12"/>
        <v>4.163043861881309E-2</v>
      </c>
      <c r="Q51" s="7">
        <f t="shared" si="9"/>
        <v>0.12929342072890843</v>
      </c>
      <c r="R51" s="7">
        <f t="shared" si="10"/>
        <v>1.1380239950111541</v>
      </c>
      <c r="S51" s="7">
        <f t="shared" si="11"/>
        <v>-4.484950871892579E-2</v>
      </c>
      <c r="T51" s="4">
        <v>-2.8889489344363074E-2</v>
      </c>
    </row>
    <row r="52" spans="5:20" ht="14.25" x14ac:dyDescent="0.45">
      <c r="E52">
        <v>49</v>
      </c>
      <c r="F52">
        <f t="shared" si="16"/>
        <v>1.2960429385615755</v>
      </c>
      <c r="G52">
        <f t="shared" si="17"/>
        <v>2073.5648207210684</v>
      </c>
      <c r="H52">
        <f t="shared" si="13"/>
        <v>2091.9022977619793</v>
      </c>
      <c r="I52">
        <f t="shared" si="14"/>
        <v>2370.5694890371756</v>
      </c>
      <c r="J52">
        <f t="shared" si="5"/>
        <v>-0.1338609552987679</v>
      </c>
      <c r="K52">
        <f t="shared" si="8"/>
        <v>104.89999999999972</v>
      </c>
      <c r="L52">
        <f>MAX(0,-1/Theta*(K52-F52-Psi*G52))</f>
        <v>0.1485679492305394</v>
      </c>
      <c r="M52">
        <f t="shared" si="18"/>
        <v>-1.3386095529876791E-2</v>
      </c>
      <c r="N52">
        <f t="shared" si="7"/>
        <v>0.16195404476041619</v>
      </c>
      <c r="O52">
        <f t="shared" si="15"/>
        <v>1.8337477040910928</v>
      </c>
      <c r="P52" s="7">
        <f t="shared" ca="1" si="12"/>
        <v>9.2826852901619752E-2</v>
      </c>
      <c r="Q52" s="7">
        <f t="shared" si="9"/>
        <v>0.16998303645488566</v>
      </c>
      <c r="R52" s="7">
        <f t="shared" si="10"/>
        <v>1.1852847445185877</v>
      </c>
      <c r="S52" s="7">
        <f t="shared" si="11"/>
        <v>-2.8930772399490934E-2</v>
      </c>
      <c r="T52" s="4">
        <v>5.3618957798868085E-2</v>
      </c>
    </row>
    <row r="53" spans="5:20" ht="14.25" x14ac:dyDescent="0.45">
      <c r="E53">
        <v>50</v>
      </c>
      <c r="F53">
        <f t="shared" si="16"/>
        <v>1.2826568430316987</v>
      </c>
      <c r="G53">
        <f t="shared" si="17"/>
        <v>2075.3985684251593</v>
      </c>
      <c r="H53">
        <f t="shared" si="13"/>
        <v>2093.8614095478274</v>
      </c>
      <c r="I53">
        <f t="shared" si="14"/>
        <v>2474.8159287718031</v>
      </c>
      <c r="J53">
        <f t="shared" si="5"/>
        <v>-0.17601280463530322</v>
      </c>
      <c r="K53">
        <f t="shared" si="8"/>
        <v>104.99999999999972</v>
      </c>
      <c r="L53">
        <f>MAX(0,-1/Theta*(K53-F53-Psi*G53))</f>
        <v>0.10517052857991871</v>
      </c>
      <c r="M53">
        <f t="shared" si="18"/>
        <v>-1.7601280463530322E-2</v>
      </c>
      <c r="N53">
        <f t="shared" si="7"/>
        <v>0.12277180904344903</v>
      </c>
      <c r="O53">
        <f t="shared" si="15"/>
        <v>1.8462841122668125</v>
      </c>
      <c r="P53" s="7">
        <f t="shared" ca="1" si="12"/>
        <v>3.2544032071742716E-2</v>
      </c>
      <c r="Q53" s="7">
        <f t="shared" si="9"/>
        <v>0.21301884048154524</v>
      </c>
      <c r="R53" s="7">
        <f t="shared" si="10"/>
        <v>1.2374079643859015</v>
      </c>
      <c r="S53" s="7">
        <f t="shared" si="11"/>
        <v>-4.3397420650620688E-2</v>
      </c>
      <c r="T53" s="4">
        <v>6.0034107672148153E-2</v>
      </c>
    </row>
    <row r="54" spans="5:20" ht="14.25" x14ac:dyDescent="0.45">
      <c r="E54">
        <v>51</v>
      </c>
      <c r="F54">
        <f t="shared" si="16"/>
        <v>1.2650555625681683</v>
      </c>
      <c r="G54">
        <f t="shared" si="17"/>
        <v>2077.2448525374261</v>
      </c>
      <c r="H54">
        <f t="shared" si="13"/>
        <v>2096.490124032216</v>
      </c>
      <c r="I54">
        <f t="shared" si="14"/>
        <v>2427.9659040936917</v>
      </c>
      <c r="J54">
        <f t="shared" si="5"/>
        <v>-0.1560114047615952</v>
      </c>
      <c r="K54">
        <f t="shared" si="8"/>
        <v>105.09999999999971</v>
      </c>
      <c r="L54">
        <f>MAX(0,-1/Theta*(K54-F54-Psi*G54))</f>
        <v>5.45963788795234E-2</v>
      </c>
      <c r="M54">
        <f t="shared" si="18"/>
        <v>-1.5601140476159521E-2</v>
      </c>
      <c r="N54">
        <f t="shared" si="7"/>
        <v>7.0197519355682914E-2</v>
      </c>
      <c r="O54">
        <f t="shared" si="15"/>
        <v>1.9245271494789904</v>
      </c>
      <c r="P54" s="7">
        <f t="shared" ca="1" si="12"/>
        <v>5.4580631340534175E-2</v>
      </c>
      <c r="Q54" s="7">
        <f t="shared" si="9"/>
        <v>0.19390664974368566</v>
      </c>
      <c r="R54" s="7">
        <f t="shared" si="10"/>
        <v>1.2139829520468459</v>
      </c>
      <c r="S54" s="7">
        <f t="shared" si="11"/>
        <v>-5.057414970039531E-2</v>
      </c>
      <c r="T54" s="4">
        <v>2.1896933102949563E-3</v>
      </c>
    </row>
    <row r="55" spans="5:20" ht="14.25" x14ac:dyDescent="0.45">
      <c r="E55">
        <v>52</v>
      </c>
      <c r="F55">
        <f t="shared" si="16"/>
        <v>1.2494544220920087</v>
      </c>
      <c r="G55">
        <f t="shared" si="17"/>
        <v>2079.1693796869049</v>
      </c>
      <c r="H55">
        <f t="shared" si="13"/>
        <v>2099.014159354901</v>
      </c>
      <c r="I55">
        <f t="shared" si="14"/>
        <v>2161.2104916767503</v>
      </c>
      <c r="J55">
        <f t="shared" si="5"/>
        <v>-3.8700000268657581E-2</v>
      </c>
      <c r="K55">
        <f t="shared" si="8"/>
        <v>105.1999999999997</v>
      </c>
      <c r="L55">
        <f>MAX(0,-1/Theta*(K55-F55-Psi*G55))</f>
        <v>1.5846812875111027E-2</v>
      </c>
      <c r="M55">
        <f t="shared" si="18"/>
        <v>-3.8700000268657581E-3</v>
      </c>
      <c r="N55">
        <f t="shared" si="7"/>
        <v>1.9716812901976785E-2</v>
      </c>
      <c r="O55">
        <f t="shared" si="15"/>
        <v>1.9844779667996137</v>
      </c>
      <c r="P55" s="7">
        <f t="shared" ca="1" si="12"/>
        <v>-4.3258096274711763E-2</v>
      </c>
      <c r="Q55" s="7">
        <f t="shared" si="9"/>
        <v>7.7521296976821516E-2</v>
      </c>
      <c r="R55" s="7">
        <f t="shared" si="10"/>
        <v>1.080605245838375</v>
      </c>
      <c r="S55" s="7">
        <f t="shared" si="11"/>
        <v>-3.8749566004412372E-2</v>
      </c>
      <c r="T55" s="4">
        <v>-9.6994687792495579E-2</v>
      </c>
    </row>
    <row r="56" spans="5:20" ht="14.25" x14ac:dyDescent="0.45">
      <c r="E56">
        <v>53</v>
      </c>
      <c r="F56">
        <f t="shared" si="16"/>
        <v>1.2455844220651431</v>
      </c>
      <c r="G56">
        <f t="shared" si="17"/>
        <v>2081.1538576537046</v>
      </c>
      <c r="H56">
        <f t="shared" si="13"/>
        <v>2099.711328629051</v>
      </c>
      <c r="I56">
        <f t="shared" si="14"/>
        <v>2064.9595923143052</v>
      </c>
      <c r="J56">
        <f t="shared" si="5"/>
        <v>7.8118208238671201E-3</v>
      </c>
      <c r="K56">
        <f t="shared" si="8"/>
        <v>105.2999999999997</v>
      </c>
      <c r="L56">
        <f>MAX(0,-1/Theta*(K56-F56-Psi*G56))</f>
        <v>6.554609501364439E-3</v>
      </c>
      <c r="M56">
        <f t="shared" si="18"/>
        <v>7.8118208238671209E-4</v>
      </c>
      <c r="N56">
        <f t="shared" si="7"/>
        <v>5.7734274189777269E-3</v>
      </c>
      <c r="O56">
        <f t="shared" si="15"/>
        <v>1.8557470975346406</v>
      </c>
      <c r="P56" s="7">
        <f t="shared" ca="1" si="12"/>
        <v>1.5300020753999423E-3</v>
      </c>
      <c r="Q56" s="7">
        <f t="shared" si="9"/>
        <v>3.1963477775062157E-2</v>
      </c>
      <c r="R56" s="7">
        <f t="shared" si="10"/>
        <v>1.0324797961571526</v>
      </c>
      <c r="S56" s="7">
        <f t="shared" si="11"/>
        <v>-9.2922033737465881E-3</v>
      </c>
      <c r="T56" s="4">
        <v>-3.7805689504077214E-2</v>
      </c>
    </row>
    <row r="57" spans="5:20" ht="14.25" x14ac:dyDescent="0.45">
      <c r="E57">
        <v>54</v>
      </c>
      <c r="F57">
        <f t="shared" si="16"/>
        <v>1.2463656041475297</v>
      </c>
      <c r="G57">
        <f t="shared" si="17"/>
        <v>2083.0096047512393</v>
      </c>
      <c r="H57">
        <f t="shared" si="13"/>
        <v>2100.2830558546912</v>
      </c>
      <c r="I57">
        <f t="shared" si="14"/>
        <v>1968.3637273256275</v>
      </c>
      <c r="J57">
        <f t="shared" si="5"/>
        <v>5.6611170938217152E-2</v>
      </c>
      <c r="K57">
        <f t="shared" si="8"/>
        <v>105.39999999999969</v>
      </c>
      <c r="L57">
        <f>MAX(0,-1/Theta*(K57-F57-Psi*G57))</f>
        <v>0</v>
      </c>
      <c r="M57">
        <f t="shared" si="18"/>
        <v>5.6611170938217154E-3</v>
      </c>
      <c r="N57">
        <f t="shared" si="7"/>
        <v>-5.6611170938217154E-3</v>
      </c>
      <c r="O57">
        <f t="shared" si="15"/>
        <v>1.7273451103451862</v>
      </c>
      <c r="P57" s="7">
        <f t="shared" ca="1" si="12"/>
        <v>0.1006792817678675</v>
      </c>
      <c r="Q57" s="7">
        <f t="shared" si="9"/>
        <v>-1.5944578211600433E-2</v>
      </c>
      <c r="R57" s="7">
        <f t="shared" si="10"/>
        <v>0.98418186366281368</v>
      </c>
      <c r="S57" s="7">
        <f t="shared" si="11"/>
        <v>-6.554609501364439E-3</v>
      </c>
      <c r="T57" s="4">
        <v>-4.4711708209156376E-2</v>
      </c>
    </row>
    <row r="58" spans="5:20" ht="14.25" x14ac:dyDescent="0.45">
      <c r="E58">
        <v>55</v>
      </c>
      <c r="F58">
        <f t="shared" si="16"/>
        <v>1.2520267212413514</v>
      </c>
      <c r="G58">
        <f t="shared" si="17"/>
        <v>2084.7369498615844</v>
      </c>
      <c r="H58">
        <f t="shared" si="13"/>
        <v>2100.2238740667567</v>
      </c>
      <c r="I58">
        <f t="shared" si="14"/>
        <v>1993.4521226155625</v>
      </c>
      <c r="J58">
        <f t="shared" si="5"/>
        <v>4.4774813351375592E-2</v>
      </c>
      <c r="K58">
        <f t="shared" si="8"/>
        <v>105.49999999999969</v>
      </c>
      <c r="L58">
        <f>MAX(0,-1/Theta*(K58-F58-Psi*G58))</f>
        <v>0</v>
      </c>
      <c r="M58">
        <f t="shared" si="18"/>
        <v>4.4774813351375594E-3</v>
      </c>
      <c r="N58">
        <f t="shared" si="7"/>
        <v>-4.4774813351375594E-3</v>
      </c>
      <c r="O58">
        <f t="shared" si="15"/>
        <v>1.5486924205172272</v>
      </c>
      <c r="P58" s="7">
        <f t="shared" ca="1" si="12"/>
        <v>3.5066516302235687E-2</v>
      </c>
      <c r="Q58" s="7">
        <f t="shared" si="9"/>
        <v>-3.2793097557246766E-3</v>
      </c>
      <c r="R58" s="7">
        <f t="shared" si="10"/>
        <v>0.9967260613077813</v>
      </c>
      <c r="S58" s="7">
        <f t="shared" si="11"/>
        <v>0</v>
      </c>
      <c r="T58" s="4">
        <v>1.1070810634715713E-2</v>
      </c>
    </row>
    <row r="59" spans="5:20" ht="14.25" x14ac:dyDescent="0.45">
      <c r="E59">
        <v>56</v>
      </c>
      <c r="F59">
        <f t="shared" si="16"/>
        <v>1.256504202576489</v>
      </c>
      <c r="G59">
        <f t="shared" si="17"/>
        <v>2086.2856422821014</v>
      </c>
      <c r="H59">
        <f t="shared" si="13"/>
        <v>2100.2336097085267</v>
      </c>
      <c r="I59">
        <f t="shared" si="14"/>
        <v>1991.0523907440418</v>
      </c>
      <c r="J59">
        <f t="shared" si="5"/>
        <v>4.6721941705345237E-2</v>
      </c>
      <c r="K59">
        <f t="shared" si="8"/>
        <v>105.59999999999968</v>
      </c>
      <c r="L59">
        <f>MAX(0,-1/Theta*(K59-F59-Psi*G59))</f>
        <v>0</v>
      </c>
      <c r="M59">
        <f t="shared" si="18"/>
        <v>4.6721941705345242E-3</v>
      </c>
      <c r="N59">
        <f t="shared" si="7"/>
        <v>-4.6721941705345242E-3</v>
      </c>
      <c r="O59">
        <f t="shared" si="15"/>
        <v>1.3947967426425294</v>
      </c>
      <c r="P59" s="7">
        <f t="shared" ca="1" si="12"/>
        <v>-6.0606236771063859E-2</v>
      </c>
      <c r="Q59" s="7">
        <f t="shared" si="9"/>
        <v>-4.4838420400384387E-3</v>
      </c>
      <c r="R59" s="7">
        <f t="shared" si="10"/>
        <v>0.99552619537202092</v>
      </c>
      <c r="S59" s="7">
        <f t="shared" si="11"/>
        <v>0</v>
      </c>
      <c r="T59" s="4">
        <v>-1.5324632598862297E-3</v>
      </c>
    </row>
    <row r="60" spans="5:20" ht="14.25" x14ac:dyDescent="0.45">
      <c r="E60">
        <v>57</v>
      </c>
      <c r="F60">
        <f t="shared" si="16"/>
        <v>1.2611763967470235</v>
      </c>
      <c r="G60">
        <f t="shared" si="17"/>
        <v>2087.6804390247439</v>
      </c>
      <c r="H60">
        <f t="shared" si="13"/>
        <v>2100.4344080125384</v>
      </c>
      <c r="I60">
        <f t="shared" si="14"/>
        <v>1913.955435564995</v>
      </c>
      <c r="J60">
        <f t="shared" si="5"/>
        <v>8.6881602507671046E-2</v>
      </c>
      <c r="K60">
        <f t="shared" si="8"/>
        <v>105.69999999999968</v>
      </c>
      <c r="L60">
        <f>MAX(0,-1/Theta*(K60-F60-Psi*G60))</f>
        <v>0</v>
      </c>
      <c r="M60">
        <f t="shared" si="18"/>
        <v>8.6881602507671053E-3</v>
      </c>
      <c r="N60">
        <f t="shared" si="7"/>
        <v>-8.6881602507671053E-3</v>
      </c>
      <c r="O60">
        <f t="shared" si="15"/>
        <v>1.2753968987794453</v>
      </c>
      <c r="P60" s="7">
        <f t="shared" ca="1" si="12"/>
        <v>-4.1549788621880281E-2</v>
      </c>
      <c r="Q60" s="7">
        <f t="shared" si="9"/>
        <v>-4.3975171204114254E-2</v>
      </c>
      <c r="R60" s="7">
        <f t="shared" si="10"/>
        <v>0.95697771778249752</v>
      </c>
      <c r="S60" s="7">
        <f t="shared" si="11"/>
        <v>0</v>
      </c>
      <c r="T60" s="4">
        <v>-3.9939713368079659E-2</v>
      </c>
    </row>
    <row r="61" spans="5:20" ht="14.25" x14ac:dyDescent="0.45">
      <c r="E61">
        <v>58</v>
      </c>
      <c r="F61">
        <f t="shared" si="16"/>
        <v>1.2698645569977907</v>
      </c>
      <c r="G61">
        <f t="shared" si="17"/>
        <v>2088.9558359235234</v>
      </c>
      <c r="H61">
        <f t="shared" si="13"/>
        <v>2100.3226925394811</v>
      </c>
      <c r="I61">
        <f t="shared" si="14"/>
        <v>1958.3961221102059</v>
      </c>
      <c r="J61">
        <f t="shared" si="5"/>
        <v>6.4538507896173089E-2</v>
      </c>
      <c r="K61">
        <f t="shared" si="8"/>
        <v>105.79999999999967</v>
      </c>
      <c r="L61">
        <f>MAX(0,-1/Theta*(K61-F61-Psi*G61))</f>
        <v>0</v>
      </c>
      <c r="M61">
        <f t="shared" si="18"/>
        <v>6.4538507896173096E-3</v>
      </c>
      <c r="N61">
        <f t="shared" si="7"/>
        <v>-6.4538507896173096E-3</v>
      </c>
      <c r="O61">
        <f t="shared" si="15"/>
        <v>1.1366856615957659</v>
      </c>
      <c r="P61" s="7">
        <f t="shared" ca="1" si="12"/>
        <v>-9.168667377111423E-4</v>
      </c>
      <c r="Q61" s="7">
        <f t="shared" si="9"/>
        <v>-2.102134735767101E-2</v>
      </c>
      <c r="R61" s="7">
        <f t="shared" si="10"/>
        <v>0.97919806105510288</v>
      </c>
      <c r="S61" s="7">
        <f t="shared" si="11"/>
        <v>0</v>
      </c>
      <c r="T61" s="4">
        <v>1.8556306726031816E-2</v>
      </c>
    </row>
    <row r="62" spans="5:20" ht="14.25" x14ac:dyDescent="0.45">
      <c r="E62">
        <v>59</v>
      </c>
      <c r="F62">
        <f t="shared" si="16"/>
        <v>1.2763184077874079</v>
      </c>
      <c r="G62">
        <f t="shared" si="17"/>
        <v>2090.0925215851194</v>
      </c>
      <c r="H62">
        <f t="shared" si="13"/>
        <v>2100.3000417071034</v>
      </c>
      <c r="I62">
        <f t="shared" si="14"/>
        <v>1968.3585897629107</v>
      </c>
      <c r="J62">
        <f t="shared" si="5"/>
        <v>6.0008341420731061E-2</v>
      </c>
      <c r="K62">
        <f t="shared" si="8"/>
        <v>105.89999999999966</v>
      </c>
      <c r="L62">
        <f>MAX(0,-1/Theta*(K62-F62-Psi*G62))</f>
        <v>0</v>
      </c>
      <c r="M62">
        <f t="shared" si="18"/>
        <v>6.0008341420731068E-3</v>
      </c>
      <c r="N62">
        <f t="shared" si="7"/>
        <v>-6.0008341420731068E-3</v>
      </c>
      <c r="O62">
        <f t="shared" si="15"/>
        <v>1.0207520121984091</v>
      </c>
      <c r="P62" s="7">
        <f t="shared" ca="1" si="12"/>
        <v>-0.11076877366017286</v>
      </c>
      <c r="Q62" s="7">
        <f t="shared" si="9"/>
        <v>-1.5947188282772726E-2</v>
      </c>
      <c r="R62" s="7">
        <f t="shared" si="10"/>
        <v>0.98417929488145539</v>
      </c>
      <c r="S62" s="7">
        <f t="shared" si="11"/>
        <v>0</v>
      </c>
      <c r="T62" s="4">
        <v>2.9720243391311817E-3</v>
      </c>
    </row>
    <row r="63" spans="5:20" ht="14.25" x14ac:dyDescent="0.45">
      <c r="E63">
        <v>60</v>
      </c>
      <c r="F63">
        <f t="shared" si="16"/>
        <v>1.2823192419294811</v>
      </c>
      <c r="G63">
        <f t="shared" si="17"/>
        <v>2091.1132735973179</v>
      </c>
      <c r="H63">
        <f t="shared" si="13"/>
        <v>2100.3220473249135</v>
      </c>
      <c r="I63">
        <f t="shared" si="14"/>
        <v>1960.6717144226952</v>
      </c>
      <c r="J63">
        <f t="shared" si="5"/>
        <v>6.4409464982672138E-2</v>
      </c>
      <c r="K63">
        <f t="shared" si="8"/>
        <v>105.99999999999966</v>
      </c>
      <c r="L63">
        <f>MAX(0,-1/Theta*(K63-F63-Psi*G63))</f>
        <v>0</v>
      </c>
      <c r="M63">
        <f t="shared" si="18"/>
        <v>6.4409464982672143E-3</v>
      </c>
      <c r="N63">
        <f t="shared" si="7"/>
        <v>-6.4409464982672143E-3</v>
      </c>
      <c r="O63">
        <f t="shared" si="15"/>
        <v>0.92087737275955994</v>
      </c>
      <c r="P63" s="7">
        <f t="shared" ca="1" si="12"/>
        <v>5.8188979205004588E-3</v>
      </c>
      <c r="Q63" s="7">
        <f t="shared" si="9"/>
        <v>-1.9860054589520542E-2</v>
      </c>
      <c r="R63" s="7">
        <f t="shared" si="10"/>
        <v>0.98033585721134764</v>
      </c>
      <c r="S63" s="7">
        <f t="shared" si="11"/>
        <v>0</v>
      </c>
      <c r="T63" s="4">
        <v>-5.5075851350250872E-3</v>
      </c>
    </row>
    <row r="64" spans="5:20" ht="14.25" x14ac:dyDescent="0.45">
      <c r="E64">
        <v>61</v>
      </c>
      <c r="F64">
        <f t="shared" si="16"/>
        <v>1.2887601884277484</v>
      </c>
      <c r="G64">
        <f t="shared" si="17"/>
        <v>2092.0341509700775</v>
      </c>
      <c r="H64">
        <f t="shared" si="13"/>
        <v>2099.8957715399292</v>
      </c>
      <c r="I64">
        <f t="shared" si="14"/>
        <v>2136.1017647558465</v>
      </c>
      <c r="J64">
        <f t="shared" si="5"/>
        <v>-2.0845692014111565E-2</v>
      </c>
      <c r="K64">
        <f t="shared" si="8"/>
        <v>106.09999999999965</v>
      </c>
      <c r="L64">
        <f>MAX(0,-1/Theta*(K64-F64-Psi*G64))</f>
        <v>0</v>
      </c>
      <c r="M64">
        <f t="shared" si="18"/>
        <v>-2.0845692014111565E-3</v>
      </c>
      <c r="N64">
        <f t="shared" si="7"/>
        <v>2.0845692014111565E-3</v>
      </c>
      <c r="O64">
        <f t="shared" si="15"/>
        <v>0.7861620569851766</v>
      </c>
      <c r="P64" s="7">
        <f t="shared" ca="1" si="12"/>
        <v>-2.006485549787599E-2</v>
      </c>
      <c r="Q64" s="7">
        <f t="shared" si="9"/>
        <v>6.5835382079084986E-2</v>
      </c>
      <c r="R64" s="7">
        <f t="shared" si="10"/>
        <v>1.0680508823779233</v>
      </c>
      <c r="S64" s="7">
        <f t="shared" si="11"/>
        <v>0</v>
      </c>
      <c r="T64" s="4">
        <v>8.3709431209653476E-2</v>
      </c>
    </row>
    <row r="65" spans="5:20" ht="14.25" x14ac:dyDescent="0.45">
      <c r="E65">
        <v>62</v>
      </c>
      <c r="F65">
        <f t="shared" si="16"/>
        <v>1.2866756192263373</v>
      </c>
      <c r="G65">
        <f t="shared" si="17"/>
        <v>2092.8203130270626</v>
      </c>
      <c r="H65">
        <f t="shared" si="13"/>
        <v>2099.9552247490997</v>
      </c>
      <c r="I65">
        <f t="shared" si="14"/>
        <v>2111.6457896864481</v>
      </c>
      <c r="J65">
        <f t="shared" si="5"/>
        <v>-8.9550501800463554E-3</v>
      </c>
      <c r="K65">
        <f t="shared" si="8"/>
        <v>106.19999999999965</v>
      </c>
      <c r="L65">
        <f>MAX(0,-1/Theta*(K65-F65-Psi*G65))</f>
        <v>0</v>
      </c>
      <c r="M65">
        <f t="shared" si="18"/>
        <v>-8.9550501800463554E-4</v>
      </c>
      <c r="N65">
        <f t="shared" si="7"/>
        <v>8.9550501800463554E-4</v>
      </c>
      <c r="O65">
        <f t="shared" si="15"/>
        <v>0.71349117220370317</v>
      </c>
      <c r="P65" s="7">
        <f t="shared" ca="1" si="12"/>
        <v>-5.6747392140174324E-2</v>
      </c>
      <c r="Q65" s="7">
        <f t="shared" si="9"/>
        <v>5.432045800199152E-2</v>
      </c>
      <c r="R65" s="7">
        <f t="shared" si="10"/>
        <v>1.055822894843224</v>
      </c>
      <c r="S65" s="7">
        <f t="shared" si="11"/>
        <v>0</v>
      </c>
      <c r="T65" s="4">
        <v>-4.9313858691849731E-3</v>
      </c>
    </row>
    <row r="66" spans="5:20" ht="14.25" x14ac:dyDescent="0.45">
      <c r="E66">
        <v>63</v>
      </c>
      <c r="F66">
        <f t="shared" si="16"/>
        <v>1.2857801142083327</v>
      </c>
      <c r="G66">
        <f t="shared" si="17"/>
        <v>2093.5338041992663</v>
      </c>
      <c r="H66">
        <f t="shared" si="13"/>
        <v>2100.2115244527904</v>
      </c>
      <c r="I66">
        <f t="shared" si="14"/>
        <v>2006.8143474227659</v>
      </c>
      <c r="J66">
        <f t="shared" si="5"/>
        <v>4.2304890558108432E-2</v>
      </c>
      <c r="K66">
        <f t="shared" si="8"/>
        <v>106.29999999999964</v>
      </c>
      <c r="L66">
        <f>MAX(0,-1/Theta*(K66-F66-Psi*G66))</f>
        <v>0</v>
      </c>
      <c r="M66">
        <f t="shared" si="18"/>
        <v>4.2304890558108434E-3</v>
      </c>
      <c r="N66">
        <f t="shared" si="7"/>
        <v>-4.2304890558108434E-3</v>
      </c>
      <c r="O66">
        <f t="shared" si="15"/>
        <v>0.66777202535240576</v>
      </c>
      <c r="P66" s="7">
        <f t="shared" ca="1" si="12"/>
        <v>-4.9365521641684534E-2</v>
      </c>
      <c r="Q66" s="7">
        <f t="shared" si="9"/>
        <v>3.4013824458700229E-3</v>
      </c>
      <c r="R66" s="7">
        <f t="shared" si="10"/>
        <v>1.003407173711383</v>
      </c>
      <c r="S66" s="7">
        <f t="shared" si="11"/>
        <v>0</v>
      </c>
      <c r="T66" s="4">
        <v>-4.5487029755922344E-2</v>
      </c>
    </row>
    <row r="67" spans="5:20" ht="14.25" x14ac:dyDescent="0.45">
      <c r="E67">
        <v>64</v>
      </c>
      <c r="F67">
        <f t="shared" si="16"/>
        <v>1.2900106032641436</v>
      </c>
      <c r="G67">
        <f t="shared" si="17"/>
        <v>2094.2015762246187</v>
      </c>
      <c r="H67">
        <f t="shared" ref="H67:H100" si="19">Beta0_0 -Beta1*(L67-M67)</f>
        <v>2100.5147668751706</v>
      </c>
      <c r="I67">
        <f t="shared" ref="I67:I100" si="20">ypot_0*R67</f>
        <v>1889.3238174246319</v>
      </c>
      <c r="J67">
        <f t="shared" si="5"/>
        <v>0.10295337503415788</v>
      </c>
      <c r="K67">
        <f t="shared" si="8"/>
        <v>106.39999999999964</v>
      </c>
      <c r="L67">
        <f>MAX(0,-1/Theta*(K67-F67-Psi*G67))</f>
        <v>0</v>
      </c>
      <c r="M67">
        <f t="shared" si="18"/>
        <v>1.029533750341579E-2</v>
      </c>
      <c r="N67">
        <f t="shared" si="7"/>
        <v>-1.029533750341579E-2</v>
      </c>
      <c r="O67">
        <f t="shared" ref="O67:O100" si="21">Ni*(H67-G67)</f>
        <v>0.63131906505518609</v>
      </c>
      <c r="P67" s="7">
        <f t="shared" ca="1" si="12"/>
        <v>3.3755690788477941E-2</v>
      </c>
      <c r="Q67" s="7">
        <f t="shared" si="9"/>
        <v>-5.6928184061229549E-2</v>
      </c>
      <c r="R67" s="7">
        <f t="shared" si="10"/>
        <v>0.94466190871231592</v>
      </c>
      <c r="S67" s="7">
        <f t="shared" si="11"/>
        <v>0</v>
      </c>
      <c r="T67" s="4">
        <v>-5.9989428262512572E-2</v>
      </c>
    </row>
    <row r="68" spans="5:20" ht="14.25" x14ac:dyDescent="0.45">
      <c r="E68">
        <v>65</v>
      </c>
      <c r="F68">
        <f t="shared" ref="F68:F100" si="22">F67+M67</f>
        <v>1.3003059407675595</v>
      </c>
      <c r="G68">
        <f t="shared" ref="G68:G100" si="23">G67+O67</f>
        <v>2094.8328952896741</v>
      </c>
      <c r="H68">
        <f t="shared" si="19"/>
        <v>2100.3673050883763</v>
      </c>
      <c r="I68">
        <f t="shared" si="20"/>
        <v>1946.460838496258</v>
      </c>
      <c r="J68">
        <f t="shared" ref="J68:J100" si="24">LN(G68/I68)</f>
        <v>7.3461017675288856E-2</v>
      </c>
      <c r="K68">
        <f t="shared" si="8"/>
        <v>106.49999999999963</v>
      </c>
      <c r="L68">
        <f>MAX(0,-1/Theta*(K68-F68-Psi*G68))</f>
        <v>0</v>
      </c>
      <c r="M68">
        <f t="shared" ref="M68:M100" si="25">Mi*LN(G68/(I68))</f>
        <v>7.3461017675288858E-3</v>
      </c>
      <c r="N68">
        <f t="shared" ref="N68:N100" si="26">L68-M68</f>
        <v>-7.3461017675288858E-3</v>
      </c>
      <c r="O68">
        <f t="shared" si="21"/>
        <v>0.55344097987022001</v>
      </c>
      <c r="P68" s="7">
        <f t="shared" ca="1" si="12"/>
        <v>2.1231353133960976E-2</v>
      </c>
      <c r="Q68" s="7">
        <f t="shared" si="9"/>
        <v>-2.7134411627298134E-2</v>
      </c>
      <c r="R68" s="7">
        <f t="shared" si="10"/>
        <v>0.97323041924812903</v>
      </c>
      <c r="S68" s="7">
        <f t="shared" si="11"/>
        <v>0</v>
      </c>
      <c r="T68" s="4">
        <v>2.4100954027808458E-2</v>
      </c>
    </row>
    <row r="69" spans="5:20" ht="14.25" x14ac:dyDescent="0.45">
      <c r="E69">
        <v>66</v>
      </c>
      <c r="F69">
        <f t="shared" si="22"/>
        <v>1.3076520425350884</v>
      </c>
      <c r="G69">
        <f t="shared" si="23"/>
        <v>2095.3863362695442</v>
      </c>
      <c r="H69">
        <f t="shared" si="19"/>
        <v>2100.1761852538966</v>
      </c>
      <c r="I69">
        <f t="shared" si="20"/>
        <v>2022.8368235693727</v>
      </c>
      <c r="J69">
        <f t="shared" si="24"/>
        <v>3.5237050779287619E-2</v>
      </c>
      <c r="K69">
        <f t="shared" ref="K69:K100" si="27">K68+0.1</f>
        <v>106.59999999999962</v>
      </c>
      <c r="L69">
        <f>MAX(0,-1/Theta*(K69-F69-Psi*G69))</f>
        <v>0</v>
      </c>
      <c r="M69">
        <f t="shared" si="25"/>
        <v>3.5237050779287622E-3</v>
      </c>
      <c r="N69">
        <f t="shared" si="26"/>
        <v>-3.5237050779287622E-3</v>
      </c>
      <c r="O69">
        <f t="shared" si="21"/>
        <v>0.4789848984352375</v>
      </c>
      <c r="P69" s="7">
        <f t="shared" ref="P69:P100" ca="1" si="28">NORMINV(RAND(), 0, $C$34)</f>
        <v>-5.2543150083943217E-2</v>
      </c>
      <c r="Q69" s="7">
        <f t="shared" ref="Q69:Q100" si="29">$C$33*Q68+T69</f>
        <v>1.1353713754216052E-2</v>
      </c>
      <c r="R69" s="7">
        <f t="shared" ref="R69:R100" si="30">EXP(Q69)</f>
        <v>1.0114184117846863</v>
      </c>
      <c r="S69" s="7">
        <f t="shared" ref="S69:S100" si="31">L69-L68</f>
        <v>0</v>
      </c>
      <c r="T69" s="4">
        <v>3.5774684218784374E-2</v>
      </c>
    </row>
    <row r="70" spans="5:20" ht="14.25" x14ac:dyDescent="0.45">
      <c r="E70">
        <v>67</v>
      </c>
      <c r="F70">
        <f t="shared" si="22"/>
        <v>1.311175747613017</v>
      </c>
      <c r="G70">
        <f t="shared" si="23"/>
        <v>2095.8653211679793</v>
      </c>
      <c r="H70">
        <f t="shared" si="19"/>
        <v>2099.8596644885311</v>
      </c>
      <c r="I70">
        <f t="shared" si="20"/>
        <v>2155.5234871352582</v>
      </c>
      <c r="J70">
        <f t="shared" si="24"/>
        <v>-2.8067102293802892E-2</v>
      </c>
      <c r="K70">
        <f t="shared" si="27"/>
        <v>106.69999999999962</v>
      </c>
      <c r="L70">
        <f>MAX(0,-1/Theta*(K70-F70-Psi*G70))</f>
        <v>0</v>
      </c>
      <c r="M70">
        <f t="shared" si="25"/>
        <v>-2.8067102293802895E-3</v>
      </c>
      <c r="N70">
        <f t="shared" si="26"/>
        <v>2.8067102293802895E-3</v>
      </c>
      <c r="O70">
        <f t="shared" si="21"/>
        <v>0.3994343320551707</v>
      </c>
      <c r="P70" s="7">
        <f t="shared" ca="1" si="28"/>
        <v>-8.2730295077972187E-3</v>
      </c>
      <c r="Q70" s="7">
        <f t="shared" si="29"/>
        <v>7.4886430960252576E-2</v>
      </c>
      <c r="R70" s="7">
        <f t="shared" si="30"/>
        <v>1.077761743567629</v>
      </c>
      <c r="S70" s="7">
        <f t="shared" si="31"/>
        <v>0</v>
      </c>
      <c r="T70" s="4">
        <v>6.466808858145813E-2</v>
      </c>
    </row>
    <row r="71" spans="5:20" ht="14.25" x14ac:dyDescent="0.45">
      <c r="E71">
        <v>68</v>
      </c>
      <c r="F71">
        <f t="shared" si="22"/>
        <v>1.3083690373836367</v>
      </c>
      <c r="G71">
        <f t="shared" si="23"/>
        <v>2096.2647555000344</v>
      </c>
      <c r="H71">
        <f t="shared" si="19"/>
        <v>2100.205551609969</v>
      </c>
      <c r="I71">
        <f t="shared" si="20"/>
        <v>2011.8340146287183</v>
      </c>
      <c r="J71">
        <f t="shared" si="24"/>
        <v>4.1110321993809186E-2</v>
      </c>
      <c r="K71">
        <f t="shared" si="27"/>
        <v>106.79999999999961</v>
      </c>
      <c r="L71">
        <f>MAX(0,-1/Theta*(K71-F71-Psi*G71))</f>
        <v>0</v>
      </c>
      <c r="M71">
        <f t="shared" si="25"/>
        <v>4.1110321993809186E-3</v>
      </c>
      <c r="N71">
        <f t="shared" si="26"/>
        <v>-4.1110321993809186E-3</v>
      </c>
      <c r="O71">
        <f t="shared" si="21"/>
        <v>0.39407961099345812</v>
      </c>
      <c r="P71" s="7">
        <f t="shared" ca="1" si="28"/>
        <v>3.3312733373142712E-3</v>
      </c>
      <c r="Q71" s="7">
        <f t="shared" si="29"/>
        <v>5.8995705749808058E-3</v>
      </c>
      <c r="R71" s="7">
        <f t="shared" si="30"/>
        <v>1.0059170073143591</v>
      </c>
      <c r="S71" s="7">
        <f t="shared" si="31"/>
        <v>0</v>
      </c>
      <c r="T71" s="4">
        <v>-6.149821728924651E-2</v>
      </c>
    </row>
    <row r="72" spans="5:20" ht="14.25" x14ac:dyDescent="0.45">
      <c r="E72">
        <v>69</v>
      </c>
      <c r="F72">
        <f t="shared" si="22"/>
        <v>1.3124800695830177</v>
      </c>
      <c r="G72">
        <f t="shared" si="23"/>
        <v>2096.6588351110277</v>
      </c>
      <c r="H72">
        <f t="shared" si="19"/>
        <v>2100.0244617779899</v>
      </c>
      <c r="I72">
        <f t="shared" si="20"/>
        <v>2086.4262855673264</v>
      </c>
      <c r="J72">
        <f t="shared" si="24"/>
        <v>4.8923555979796989E-3</v>
      </c>
      <c r="K72">
        <f t="shared" si="27"/>
        <v>106.89999999999961</v>
      </c>
      <c r="L72">
        <f>MAX(0,-1/Theta*(K72-F72-Psi*G72))</f>
        <v>0</v>
      </c>
      <c r="M72">
        <f t="shared" si="25"/>
        <v>4.8923555979796989E-4</v>
      </c>
      <c r="N72">
        <f t="shared" si="26"/>
        <v>-4.8923555979796989E-4</v>
      </c>
      <c r="O72">
        <f t="shared" si="21"/>
        <v>0.33656266669622714</v>
      </c>
      <c r="P72" s="7">
        <f t="shared" ca="1" si="28"/>
        <v>6.2588203517633077E-3</v>
      </c>
      <c r="Q72" s="7">
        <f t="shared" si="29"/>
        <v>4.2305510638175337E-2</v>
      </c>
      <c r="R72" s="7">
        <f t="shared" si="30"/>
        <v>1.0432131427836633</v>
      </c>
      <c r="S72" s="7">
        <f t="shared" si="31"/>
        <v>0</v>
      </c>
      <c r="T72" s="4">
        <v>3.6995897120692608E-2</v>
      </c>
    </row>
    <row r="73" spans="5:20" ht="14.25" x14ac:dyDescent="0.45">
      <c r="E73">
        <v>70</v>
      </c>
      <c r="F73">
        <f t="shared" si="22"/>
        <v>1.3129693051428157</v>
      </c>
      <c r="G73">
        <f t="shared" si="23"/>
        <v>2096.9953977777241</v>
      </c>
      <c r="H73">
        <f t="shared" si="19"/>
        <v>2100.1079739233719</v>
      </c>
      <c r="I73">
        <f t="shared" si="20"/>
        <v>2052.1966839089469</v>
      </c>
      <c r="J73">
        <f t="shared" si="24"/>
        <v>2.1594784674334861E-2</v>
      </c>
      <c r="K73">
        <f t="shared" si="27"/>
        <v>106.9999999999996</v>
      </c>
      <c r="L73">
        <f>MAX(0,-1/Theta*(K73-F73-Psi*G73))</f>
        <v>0</v>
      </c>
      <c r="M73">
        <f t="shared" si="25"/>
        <v>2.1594784674334863E-3</v>
      </c>
      <c r="N73">
        <f t="shared" si="26"/>
        <v>-2.1594784674334863E-3</v>
      </c>
      <c r="O73">
        <f t="shared" si="21"/>
        <v>0.31125761456478362</v>
      </c>
      <c r="P73" s="7">
        <f t="shared" ca="1" si="28"/>
        <v>6.9883227870125783E-3</v>
      </c>
      <c r="Q73" s="7">
        <f t="shared" si="29"/>
        <v>2.5763592013434887E-2</v>
      </c>
      <c r="R73" s="7">
        <f t="shared" si="30"/>
        <v>1.0260983419544734</v>
      </c>
      <c r="S73" s="7">
        <f t="shared" si="31"/>
        <v>0</v>
      </c>
      <c r="T73" s="4">
        <v>-1.2311367560922916E-2</v>
      </c>
    </row>
    <row r="74" spans="5:20" ht="14.25" x14ac:dyDescent="0.45">
      <c r="E74">
        <v>71</v>
      </c>
      <c r="F74">
        <f t="shared" si="22"/>
        <v>1.3151287836102492</v>
      </c>
      <c r="G74">
        <f t="shared" si="23"/>
        <v>2097.306655392289</v>
      </c>
      <c r="H74">
        <f t="shared" si="19"/>
        <v>2099.9590436690764</v>
      </c>
      <c r="I74">
        <f t="shared" si="20"/>
        <v>2114.5568063140827</v>
      </c>
      <c r="J74">
        <f t="shared" si="24"/>
        <v>-8.1912661847072122E-3</v>
      </c>
      <c r="K74">
        <f t="shared" si="27"/>
        <v>107.0999999999996</v>
      </c>
      <c r="L74">
        <f>MAX(0,-1/Theta*(K74-F74-Psi*G74))</f>
        <v>0</v>
      </c>
      <c r="M74">
        <f t="shared" si="25"/>
        <v>-8.1912661847072124E-4</v>
      </c>
      <c r="N74">
        <f t="shared" si="26"/>
        <v>8.1912661847072124E-4</v>
      </c>
      <c r="O74">
        <f t="shared" si="21"/>
        <v>0.26523882767874057</v>
      </c>
      <c r="P74" s="7">
        <f t="shared" ca="1" si="28"/>
        <v>8.0617464541074251E-3</v>
      </c>
      <c r="Q74" s="7">
        <f t="shared" si="29"/>
        <v>5.5698062138037949E-2</v>
      </c>
      <c r="R74" s="7">
        <f t="shared" si="30"/>
        <v>1.0572784031570412</v>
      </c>
      <c r="S74" s="7">
        <f t="shared" si="31"/>
        <v>0</v>
      </c>
      <c r="T74" s="4">
        <v>3.2510829325946553E-2</v>
      </c>
    </row>
    <row r="75" spans="5:20" ht="14.25" x14ac:dyDescent="0.45">
      <c r="E75">
        <v>72</v>
      </c>
      <c r="F75">
        <f t="shared" si="22"/>
        <v>1.3143096569917785</v>
      </c>
      <c r="G75">
        <f t="shared" si="23"/>
        <v>2097.5718942199678</v>
      </c>
      <c r="H75">
        <f t="shared" si="19"/>
        <v>2099.854832776909</v>
      </c>
      <c r="I75">
        <f t="shared" si="20"/>
        <v>2159.3643144972962</v>
      </c>
      <c r="J75">
        <f t="shared" si="24"/>
        <v>-2.9033444618235964E-2</v>
      </c>
      <c r="K75">
        <f t="shared" si="27"/>
        <v>107.19999999999959</v>
      </c>
      <c r="L75">
        <f>MAX(0,-1/Theta*(K75-F75-Psi*G75))</f>
        <v>0</v>
      </c>
      <c r="M75">
        <f t="shared" si="25"/>
        <v>-2.9033444618235967E-3</v>
      </c>
      <c r="N75">
        <f t="shared" si="26"/>
        <v>2.9033444618235967E-3</v>
      </c>
      <c r="O75">
        <f t="shared" si="21"/>
        <v>0.22829385569411897</v>
      </c>
      <c r="P75" s="7">
        <f t="shared" ca="1" si="28"/>
        <v>-8.5656401625710213E-2</v>
      </c>
      <c r="Q75" s="7">
        <f t="shared" si="29"/>
        <v>7.6666698977880809E-2</v>
      </c>
      <c r="R75" s="7">
        <f t="shared" si="30"/>
        <v>1.0796821572486481</v>
      </c>
      <c r="S75" s="7">
        <f t="shared" si="31"/>
        <v>0</v>
      </c>
      <c r="T75" s="4">
        <v>2.6538443053646651E-2</v>
      </c>
    </row>
    <row r="76" spans="5:20" ht="14.25" x14ac:dyDescent="0.45">
      <c r="E76">
        <v>73</v>
      </c>
      <c r="F76">
        <f t="shared" si="22"/>
        <v>1.3114063125299549</v>
      </c>
      <c r="G76">
        <f t="shared" si="23"/>
        <v>2097.8001880756619</v>
      </c>
      <c r="H76">
        <f t="shared" si="19"/>
        <v>2099.8003231135153</v>
      </c>
      <c r="I76">
        <f t="shared" si="20"/>
        <v>2183.271944358512</v>
      </c>
      <c r="J76">
        <f t="shared" si="24"/>
        <v>-3.9935377296929253E-2</v>
      </c>
      <c r="K76">
        <f t="shared" si="27"/>
        <v>107.29999999999959</v>
      </c>
      <c r="L76">
        <f>MAX(0,-1/Theta*(K76-F76-Psi*G76))</f>
        <v>0</v>
      </c>
      <c r="M76">
        <f t="shared" si="25"/>
        <v>-3.9935377296929251E-3</v>
      </c>
      <c r="N76">
        <f t="shared" si="26"/>
        <v>3.9935377296929251E-3</v>
      </c>
      <c r="O76">
        <f t="shared" si="21"/>
        <v>0.20001350378533972</v>
      </c>
      <c r="P76" s="7">
        <f t="shared" ca="1" si="28"/>
        <v>-9.0651567693094477E-4</v>
      </c>
      <c r="Q76" s="7">
        <f t="shared" si="29"/>
        <v>8.7677462936108383E-2</v>
      </c>
      <c r="R76" s="7">
        <f t="shared" si="30"/>
        <v>1.0916359721792559</v>
      </c>
      <c r="S76" s="7">
        <f t="shared" si="31"/>
        <v>0</v>
      </c>
      <c r="T76" s="4">
        <v>1.8677433856015651E-2</v>
      </c>
    </row>
    <row r="77" spans="5:20" ht="14.25" x14ac:dyDescent="0.45">
      <c r="E77">
        <v>74</v>
      </c>
      <c r="F77">
        <f t="shared" si="22"/>
        <v>1.307412774800262</v>
      </c>
      <c r="G77">
        <f t="shared" si="23"/>
        <v>2098.0002015794471</v>
      </c>
      <c r="H77">
        <f t="shared" si="19"/>
        <v>2099.5028356993703</v>
      </c>
      <c r="I77">
        <f t="shared" si="20"/>
        <v>2317.3341835323595</v>
      </c>
      <c r="J77">
        <f t="shared" si="24"/>
        <v>-9.943286012590026E-2</v>
      </c>
      <c r="K77">
        <f t="shared" si="27"/>
        <v>107.39999999999958</v>
      </c>
      <c r="L77">
        <f>MAX(0,-1/Theta*(K77-F77-Psi*G77))</f>
        <v>0</v>
      </c>
      <c r="M77">
        <f t="shared" si="25"/>
        <v>-9.9432860125900271E-3</v>
      </c>
      <c r="N77">
        <f t="shared" si="26"/>
        <v>9.9432860125900271E-3</v>
      </c>
      <c r="O77">
        <f t="shared" si="21"/>
        <v>0.15026341199231866</v>
      </c>
      <c r="P77" s="7">
        <f t="shared" ca="1" si="28"/>
        <v>1.6932117411982705E-3</v>
      </c>
      <c r="Q77" s="7">
        <f t="shared" si="29"/>
        <v>0.14727028562177491</v>
      </c>
      <c r="R77" s="7">
        <f t="shared" si="30"/>
        <v>1.1586670917661797</v>
      </c>
      <c r="S77" s="7">
        <f t="shared" si="31"/>
        <v>0</v>
      </c>
      <c r="T77" s="4">
        <v>6.8360568979277364E-2</v>
      </c>
    </row>
    <row r="78" spans="5:20" ht="14.25" x14ac:dyDescent="0.45">
      <c r="E78">
        <v>75</v>
      </c>
      <c r="F78">
        <f t="shared" si="22"/>
        <v>1.2974694887876719</v>
      </c>
      <c r="G78">
        <f t="shared" si="23"/>
        <v>2098.1504649914395</v>
      </c>
      <c r="H78">
        <f t="shared" si="19"/>
        <v>2099.6432731820646</v>
      </c>
      <c r="I78">
        <f t="shared" si="20"/>
        <v>2253.3130261636561</v>
      </c>
      <c r="J78">
        <f t="shared" si="24"/>
        <v>-7.1345363587068333E-2</v>
      </c>
      <c r="K78">
        <f t="shared" si="27"/>
        <v>107.49999999999957</v>
      </c>
      <c r="L78">
        <f>MAX(0,-1/Theta*(K78-F78-Psi*G78))</f>
        <v>0</v>
      </c>
      <c r="M78">
        <f t="shared" si="25"/>
        <v>-7.1345363587068337E-3</v>
      </c>
      <c r="N78">
        <f t="shared" si="26"/>
        <v>7.1345363587068337E-3</v>
      </c>
      <c r="O78">
        <f t="shared" si="21"/>
        <v>0.14928081906250554</v>
      </c>
      <c r="P78" s="7">
        <f t="shared" ca="1" si="28"/>
        <v>-9.8133722029898965E-2</v>
      </c>
      <c r="Q78" s="7">
        <f t="shared" si="29"/>
        <v>0.11925440872865986</v>
      </c>
      <c r="R78" s="7">
        <f t="shared" si="30"/>
        <v>1.126656513081828</v>
      </c>
      <c r="S78" s="7">
        <f t="shared" si="31"/>
        <v>0</v>
      </c>
      <c r="T78" s="4">
        <v>-1.328884833093757E-2</v>
      </c>
    </row>
    <row r="79" spans="5:20" ht="14.25" x14ac:dyDescent="0.45">
      <c r="E79">
        <v>76</v>
      </c>
      <c r="F79">
        <f t="shared" si="22"/>
        <v>1.2903349524289651</v>
      </c>
      <c r="G79">
        <f t="shared" si="23"/>
        <v>2098.2997458105019</v>
      </c>
      <c r="H79">
        <f t="shared" si="19"/>
        <v>2099.9507375583871</v>
      </c>
      <c r="I79">
        <f t="shared" si="20"/>
        <v>2119.0753974258359</v>
      </c>
      <c r="J79">
        <f t="shared" si="24"/>
        <v>-9.8524883226157496E-3</v>
      </c>
      <c r="K79">
        <f t="shared" si="27"/>
        <v>107.59999999999957</v>
      </c>
      <c r="L79">
        <f>MAX(0,-1/Theta*(K79-F79-Psi*G79))</f>
        <v>0</v>
      </c>
      <c r="M79">
        <f t="shared" si="25"/>
        <v>-9.8524883226157496E-4</v>
      </c>
      <c r="N79">
        <f t="shared" si="26"/>
        <v>9.8524883226157496E-4</v>
      </c>
      <c r="O79">
        <f t="shared" si="21"/>
        <v>0.16509917478852004</v>
      </c>
      <c r="P79" s="7">
        <f t="shared" ca="1" si="28"/>
        <v>-2.3207789933777884E-2</v>
      </c>
      <c r="Q79" s="7">
        <f t="shared" si="29"/>
        <v>5.7832679700490774E-2</v>
      </c>
      <c r="R79" s="7">
        <f t="shared" si="30"/>
        <v>1.0595376987129179</v>
      </c>
      <c r="S79" s="7">
        <f t="shared" si="31"/>
        <v>0</v>
      </c>
      <c r="T79" s="4">
        <v>-4.9496288155303103E-2</v>
      </c>
    </row>
    <row r="80" spans="5:20" ht="14.25" x14ac:dyDescent="0.45">
      <c r="E80">
        <v>77</v>
      </c>
      <c r="F80">
        <f t="shared" si="22"/>
        <v>1.2893497035967036</v>
      </c>
      <c r="G80">
        <f t="shared" si="23"/>
        <v>2098.4648449852903</v>
      </c>
      <c r="H80">
        <f t="shared" si="19"/>
        <v>2100.0426743634175</v>
      </c>
      <c r="I80">
        <f t="shared" si="20"/>
        <v>2080.6309280655323</v>
      </c>
      <c r="J80">
        <f t="shared" si="24"/>
        <v>8.5348726834773361E-3</v>
      </c>
      <c r="K80">
        <f t="shared" si="27"/>
        <v>107.69999999999956</v>
      </c>
      <c r="L80">
        <f>MAX(0,-1/Theta*(K80-F80-Psi*G80))</f>
        <v>0</v>
      </c>
      <c r="M80">
        <f t="shared" si="25"/>
        <v>8.5348726834773368E-4</v>
      </c>
      <c r="N80">
        <f t="shared" si="26"/>
        <v>-8.5348726834773368E-4</v>
      </c>
      <c r="O80">
        <f t="shared" si="21"/>
        <v>0.15778293781272623</v>
      </c>
      <c r="P80" s="7">
        <f t="shared" ca="1" si="28"/>
        <v>5.9672764395068981E-2</v>
      </c>
      <c r="Q80" s="7">
        <f t="shared" si="29"/>
        <v>3.9523997958531606E-2</v>
      </c>
      <c r="R80" s="7">
        <f t="shared" si="30"/>
        <v>1.0403154640327661</v>
      </c>
      <c r="S80" s="7">
        <f t="shared" si="31"/>
        <v>0</v>
      </c>
      <c r="T80" s="4">
        <v>-1.2525413771910089E-2</v>
      </c>
    </row>
    <row r="81" spans="5:20" ht="14.25" x14ac:dyDescent="0.45">
      <c r="E81">
        <v>78</v>
      </c>
      <c r="F81">
        <f t="shared" si="22"/>
        <v>1.2902031908650513</v>
      </c>
      <c r="G81">
        <f t="shared" si="23"/>
        <v>2098.6226279231032</v>
      </c>
      <c r="H81">
        <f t="shared" si="19"/>
        <v>2099.9770855941783</v>
      </c>
      <c r="I81">
        <f t="shared" si="20"/>
        <v>2108.2624382163094</v>
      </c>
      <c r="J81">
        <f t="shared" si="24"/>
        <v>-4.5828811643592706E-3</v>
      </c>
      <c r="K81">
        <f t="shared" si="27"/>
        <v>107.79999999999956</v>
      </c>
      <c r="L81">
        <f>MAX(0,-1/Theta*(K81-F81-Psi*G81))</f>
        <v>0</v>
      </c>
      <c r="M81">
        <f t="shared" si="25"/>
        <v>-4.5828811643592709E-4</v>
      </c>
      <c r="N81">
        <f t="shared" si="26"/>
        <v>4.5828811643592709E-4</v>
      </c>
      <c r="O81">
        <f t="shared" si="21"/>
        <v>0.13544576710751244</v>
      </c>
      <c r="P81" s="7">
        <f t="shared" ca="1" si="28"/>
        <v>-1.0601866753119844E-2</v>
      </c>
      <c r="Q81" s="7">
        <f t="shared" si="29"/>
        <v>5.2716938677695599E-2</v>
      </c>
      <c r="R81" s="7">
        <f t="shared" si="30"/>
        <v>1.0541312191081547</v>
      </c>
      <c r="S81" s="7">
        <f t="shared" si="31"/>
        <v>0</v>
      </c>
      <c r="T81" s="4">
        <v>1.7145340515017152E-2</v>
      </c>
    </row>
    <row r="82" spans="5:20" ht="14.25" x14ac:dyDescent="0.45">
      <c r="E82">
        <v>79</v>
      </c>
      <c r="F82">
        <f t="shared" si="22"/>
        <v>1.2897449027486154</v>
      </c>
      <c r="G82">
        <f t="shared" si="23"/>
        <v>2098.7580736902109</v>
      </c>
      <c r="H82">
        <f t="shared" si="19"/>
        <v>2099.8741750049994</v>
      </c>
      <c r="I82">
        <f t="shared" si="20"/>
        <v>2152.243476003438</v>
      </c>
      <c r="J82">
        <f t="shared" si="24"/>
        <v>-2.5164999000135704E-2</v>
      </c>
      <c r="K82">
        <f t="shared" si="27"/>
        <v>107.89999999999955</v>
      </c>
      <c r="L82">
        <f>MAX(0,-1/Theta*(K82-F82-Psi*G82))</f>
        <v>0</v>
      </c>
      <c r="M82">
        <f t="shared" si="25"/>
        <v>-2.5164999000135708E-3</v>
      </c>
      <c r="N82">
        <f t="shared" si="26"/>
        <v>2.5164999000135708E-3</v>
      </c>
      <c r="O82">
        <f t="shared" si="21"/>
        <v>0.1116101314788466</v>
      </c>
      <c r="P82" s="7">
        <f t="shared" ca="1" si="28"/>
        <v>-2.9731252280796629E-2</v>
      </c>
      <c r="Q82" s="7">
        <f t="shared" si="29"/>
        <v>7.3363594746614691E-2</v>
      </c>
      <c r="R82" s="7">
        <f t="shared" si="30"/>
        <v>1.076121738001719</v>
      </c>
      <c r="S82" s="7">
        <f t="shared" si="31"/>
        <v>0</v>
      </c>
      <c r="T82" s="4">
        <v>2.5918349936688657E-2</v>
      </c>
    </row>
    <row r="83" spans="5:20" ht="14.25" x14ac:dyDescent="0.45">
      <c r="E83">
        <v>80</v>
      </c>
      <c r="F83">
        <f t="shared" si="22"/>
        <v>1.2872284028486018</v>
      </c>
      <c r="G83">
        <f t="shared" si="23"/>
        <v>2098.8696838216897</v>
      </c>
      <c r="H83">
        <f t="shared" si="19"/>
        <v>2099.949279396335</v>
      </c>
      <c r="I83">
        <f t="shared" si="20"/>
        <v>2120.2692275684435</v>
      </c>
      <c r="J83">
        <f t="shared" si="24"/>
        <v>-1.0144120732994106E-2</v>
      </c>
      <c r="K83">
        <f t="shared" si="27"/>
        <v>107.99999999999955</v>
      </c>
      <c r="L83">
        <f>MAX(0,-1/Theta*(K83-F83-Psi*G83))</f>
        <v>0</v>
      </c>
      <c r="M83">
        <f t="shared" si="25"/>
        <v>-1.0144120732994107E-3</v>
      </c>
      <c r="N83">
        <f t="shared" si="26"/>
        <v>1.0144120732994107E-3</v>
      </c>
      <c r="O83">
        <f t="shared" si="21"/>
        <v>0.10795955746452819</v>
      </c>
      <c r="P83" s="7">
        <f t="shared" ca="1" si="28"/>
        <v>-1.9317474280503885E-2</v>
      </c>
      <c r="Q83" s="7">
        <f t="shared" si="29"/>
        <v>5.8395894196961402E-2</v>
      </c>
      <c r="R83" s="7">
        <f t="shared" si="30"/>
        <v>1.0601346137842218</v>
      </c>
      <c r="S83" s="7">
        <f t="shared" si="31"/>
        <v>0</v>
      </c>
      <c r="T83" s="4">
        <v>-7.6313410749918242E-3</v>
      </c>
    </row>
    <row r="84" spans="5:20" ht="14.25" x14ac:dyDescent="0.45">
      <c r="E84">
        <v>81</v>
      </c>
      <c r="F84">
        <f t="shared" si="22"/>
        <v>1.2862139907753025</v>
      </c>
      <c r="G84">
        <f t="shared" si="23"/>
        <v>2098.9776433791544</v>
      </c>
      <c r="H84">
        <f t="shared" si="19"/>
        <v>2100.0215280119824</v>
      </c>
      <c r="I84">
        <f t="shared" si="20"/>
        <v>2089.9597079611344</v>
      </c>
      <c r="J84">
        <f t="shared" si="24"/>
        <v>4.305602396510822E-3</v>
      </c>
      <c r="K84">
        <f t="shared" si="27"/>
        <v>108.09999999999954</v>
      </c>
      <c r="L84">
        <f>MAX(0,-1/Theta*(K84-F84-Psi*G84))</f>
        <v>0</v>
      </c>
      <c r="M84">
        <f t="shared" si="25"/>
        <v>4.3056023965108221E-4</v>
      </c>
      <c r="N84">
        <f t="shared" si="26"/>
        <v>-4.3056023965108221E-4</v>
      </c>
      <c r="O84">
        <f t="shared" si="21"/>
        <v>0.10438846328279397</v>
      </c>
      <c r="P84" s="7">
        <f t="shared" ca="1" si="28"/>
        <v>6.1443312116776151E-2</v>
      </c>
      <c r="Q84" s="7">
        <f t="shared" si="29"/>
        <v>4.3997606743446438E-2</v>
      </c>
      <c r="R84" s="7">
        <f t="shared" si="30"/>
        <v>1.0449798539805673</v>
      </c>
      <c r="S84" s="7">
        <f t="shared" si="31"/>
        <v>0</v>
      </c>
      <c r="T84" s="4">
        <v>-8.5586980338188227E-3</v>
      </c>
    </row>
    <row r="85" spans="5:20" ht="14.25" x14ac:dyDescent="0.45">
      <c r="E85">
        <v>82</v>
      </c>
      <c r="F85">
        <f t="shared" si="22"/>
        <v>1.2866445510149536</v>
      </c>
      <c r="G85">
        <f t="shared" si="23"/>
        <v>2099.0820318424371</v>
      </c>
      <c r="H85">
        <f t="shared" si="19"/>
        <v>2099.8585333862252</v>
      </c>
      <c r="I85">
        <f t="shared" si="20"/>
        <v>2159.3201876565695</v>
      </c>
      <c r="J85">
        <f t="shared" si="24"/>
        <v>-2.829332275493112E-2</v>
      </c>
      <c r="K85">
        <f t="shared" si="27"/>
        <v>108.19999999999953</v>
      </c>
      <c r="L85">
        <f>MAX(0,-1/Theta*(K85-F85-Psi*G85))</f>
        <v>0</v>
      </c>
      <c r="M85">
        <f t="shared" si="25"/>
        <v>-2.8293322754931122E-3</v>
      </c>
      <c r="N85">
        <f t="shared" si="26"/>
        <v>2.8293322754931122E-3</v>
      </c>
      <c r="O85">
        <f t="shared" si="21"/>
        <v>7.7650154378807207E-2</v>
      </c>
      <c r="P85" s="7">
        <f t="shared" ca="1" si="28"/>
        <v>0.11444456830362969</v>
      </c>
      <c r="Q85" s="7">
        <f t="shared" si="29"/>
        <v>7.6646263662123765E-2</v>
      </c>
      <c r="R85" s="7">
        <f t="shared" si="30"/>
        <v>1.0796600938282848</v>
      </c>
      <c r="S85" s="7">
        <f t="shared" si="31"/>
        <v>0</v>
      </c>
      <c r="T85" s="4">
        <v>3.7048417593021965E-2</v>
      </c>
    </row>
    <row r="86" spans="5:20" ht="14.25" x14ac:dyDescent="0.45">
      <c r="E86">
        <v>83</v>
      </c>
      <c r="F86">
        <f t="shared" si="22"/>
        <v>1.2838152187394605</v>
      </c>
      <c r="G86">
        <f t="shared" si="23"/>
        <v>2099.1596819968158</v>
      </c>
      <c r="H86">
        <f t="shared" si="19"/>
        <v>2100.1075512971079</v>
      </c>
      <c r="I86">
        <f t="shared" si="20"/>
        <v>2054.4883807145852</v>
      </c>
      <c r="J86">
        <f t="shared" si="24"/>
        <v>2.1510259421535047E-2</v>
      </c>
      <c r="K86">
        <f t="shared" si="27"/>
        <v>108.29999999999953</v>
      </c>
      <c r="L86">
        <f>MAX(0,-1/Theta*(K86-F86-Psi*G86))</f>
        <v>0</v>
      </c>
      <c r="M86">
        <f t="shared" si="25"/>
        <v>2.1510259421535049E-3</v>
      </c>
      <c r="N86">
        <f t="shared" si="26"/>
        <v>-2.1510259421535049E-3</v>
      </c>
      <c r="O86">
        <f t="shared" si="21"/>
        <v>9.4786930029204089E-2</v>
      </c>
      <c r="P86" s="7">
        <f t="shared" ca="1" si="28"/>
        <v>-2.8136595372678253E-2</v>
      </c>
      <c r="Q86" s="7">
        <f t="shared" si="29"/>
        <v>2.6879673235861705E-2</v>
      </c>
      <c r="R86" s="7">
        <f t="shared" si="30"/>
        <v>1.0272441903572926</v>
      </c>
      <c r="S86" s="7">
        <f t="shared" si="31"/>
        <v>0</v>
      </c>
      <c r="T86" s="4">
        <v>-4.2101964060049686E-2</v>
      </c>
    </row>
    <row r="87" spans="5:20" ht="14.25" x14ac:dyDescent="0.45">
      <c r="E87">
        <v>84</v>
      </c>
      <c r="F87">
        <f t="shared" si="22"/>
        <v>1.285966244681614</v>
      </c>
      <c r="G87">
        <f t="shared" si="23"/>
        <v>2099.2544689268452</v>
      </c>
      <c r="H87">
        <f t="shared" si="19"/>
        <v>2100.6350415425186</v>
      </c>
      <c r="I87">
        <f t="shared" si="20"/>
        <v>1848.8687367374125</v>
      </c>
      <c r="J87">
        <f t="shared" si="24"/>
        <v>0.12700830850368222</v>
      </c>
      <c r="K87">
        <f t="shared" si="27"/>
        <v>108.39999999999952</v>
      </c>
      <c r="L87">
        <f>MAX(0,-1/Theta*(K87-F87-Psi*G87))</f>
        <v>0</v>
      </c>
      <c r="M87">
        <f t="shared" si="25"/>
        <v>1.2700830850368224E-2</v>
      </c>
      <c r="N87">
        <f t="shared" si="26"/>
        <v>-1.2700830850368224E-2</v>
      </c>
      <c r="O87">
        <f t="shared" si="21"/>
        <v>0.13805726156733727</v>
      </c>
      <c r="P87" s="7">
        <f t="shared" ca="1" si="28"/>
        <v>3.9831320990896958E-2</v>
      </c>
      <c r="Q87" s="7">
        <f t="shared" si="29"/>
        <v>-7.8573222163662276E-2</v>
      </c>
      <c r="R87" s="7">
        <f t="shared" si="30"/>
        <v>0.92443436836870629</v>
      </c>
      <c r="S87" s="7">
        <f t="shared" si="31"/>
        <v>0</v>
      </c>
      <c r="T87" s="4">
        <v>-0.1027649280759378</v>
      </c>
    </row>
    <row r="88" spans="5:20" ht="14.25" x14ac:dyDescent="0.45">
      <c r="E88">
        <v>85</v>
      </c>
      <c r="F88">
        <f t="shared" si="22"/>
        <v>1.2986670755319822</v>
      </c>
      <c r="G88">
        <f t="shared" si="23"/>
        <v>2099.3925261884124</v>
      </c>
      <c r="H88">
        <f t="shared" si="19"/>
        <v>2100.9040862330648</v>
      </c>
      <c r="I88">
        <f t="shared" si="20"/>
        <v>1752.1275336169128</v>
      </c>
      <c r="J88">
        <f t="shared" si="24"/>
        <v>0.18081724661294443</v>
      </c>
      <c r="K88">
        <f t="shared" si="27"/>
        <v>108.49999999999952</v>
      </c>
      <c r="L88">
        <f>MAX(0,-1/Theta*(K88-F88-Psi*G88))</f>
        <v>0</v>
      </c>
      <c r="M88">
        <f t="shared" si="25"/>
        <v>1.8081724661294443E-2</v>
      </c>
      <c r="N88">
        <f t="shared" si="26"/>
        <v>-1.8081724661294443E-2</v>
      </c>
      <c r="O88">
        <f t="shared" si="21"/>
        <v>0.15115600446524696</v>
      </c>
      <c r="P88" s="7">
        <f t="shared" ca="1" si="28"/>
        <v>3.9284299345153803E-2</v>
      </c>
      <c r="Q88" s="7">
        <f t="shared" si="29"/>
        <v>-0.13231639753470079</v>
      </c>
      <c r="R88" s="7">
        <f t="shared" si="30"/>
        <v>0.87606376680845643</v>
      </c>
      <c r="S88" s="7">
        <f t="shared" si="31"/>
        <v>0</v>
      </c>
      <c r="T88" s="4">
        <v>-6.160049758740474E-2</v>
      </c>
    </row>
    <row r="89" spans="5:20" ht="14.25" x14ac:dyDescent="0.45">
      <c r="E89">
        <v>86</v>
      </c>
      <c r="F89">
        <f t="shared" si="22"/>
        <v>1.3167488001932768</v>
      </c>
      <c r="G89">
        <f t="shared" si="23"/>
        <v>2099.5436821928774</v>
      </c>
      <c r="H89">
        <f t="shared" si="19"/>
        <v>2101.0365322724688</v>
      </c>
      <c r="I89">
        <f t="shared" si="20"/>
        <v>1706.4472410665794</v>
      </c>
      <c r="J89">
        <f t="shared" si="24"/>
        <v>0.20730645449374066</v>
      </c>
      <c r="K89">
        <f t="shared" si="27"/>
        <v>108.59999999999951</v>
      </c>
      <c r="L89">
        <f>MAX(0,-1/Theta*(K89-F89-Psi*G89))</f>
        <v>0</v>
      </c>
      <c r="M89">
        <f t="shared" si="25"/>
        <v>2.0730645449374068E-2</v>
      </c>
      <c r="N89">
        <f t="shared" si="26"/>
        <v>-2.0730645449374068E-2</v>
      </c>
      <c r="O89">
        <f t="shared" si="21"/>
        <v>0.14928500795913352</v>
      </c>
      <c r="P89" s="7">
        <f t="shared" ca="1" si="28"/>
        <v>-4.1133611372418964E-2</v>
      </c>
      <c r="Q89" s="7">
        <f t="shared" si="29"/>
        <v>-0.15873360812998047</v>
      </c>
      <c r="R89" s="7">
        <f t="shared" si="30"/>
        <v>0.85322362053328971</v>
      </c>
      <c r="S89" s="7">
        <f t="shared" si="31"/>
        <v>0</v>
      </c>
      <c r="T89" s="4">
        <v>-3.9648850348749765E-2</v>
      </c>
    </row>
    <row r="90" spans="5:20" ht="14.25" x14ac:dyDescent="0.45">
      <c r="E90">
        <v>87</v>
      </c>
      <c r="F90">
        <f t="shared" si="22"/>
        <v>1.3374794456426509</v>
      </c>
      <c r="G90">
        <f t="shared" si="23"/>
        <v>2099.6929672008364</v>
      </c>
      <c r="H90">
        <f t="shared" si="19"/>
        <v>2101.2704097748551</v>
      </c>
      <c r="I90">
        <f t="shared" si="20"/>
        <v>1628.5811456823108</v>
      </c>
      <c r="J90">
        <f t="shared" si="24"/>
        <v>0.25408195497101549</v>
      </c>
      <c r="K90">
        <f t="shared" si="27"/>
        <v>108.69999999999951</v>
      </c>
      <c r="L90">
        <f>MAX(0,-1/Theta*(K90-F90-Psi*G90))</f>
        <v>0</v>
      </c>
      <c r="M90">
        <f t="shared" si="25"/>
        <v>2.5408195497101549E-2</v>
      </c>
      <c r="N90">
        <f t="shared" si="26"/>
        <v>-2.5408195497101549E-2</v>
      </c>
      <c r="O90">
        <f t="shared" si="21"/>
        <v>0.15774425740187326</v>
      </c>
      <c r="P90" s="7">
        <f t="shared" ca="1" si="28"/>
        <v>2.5505491989453379E-2</v>
      </c>
      <c r="Q90" s="7">
        <f t="shared" si="29"/>
        <v>-0.20543800758557629</v>
      </c>
      <c r="R90" s="7">
        <f t="shared" si="30"/>
        <v>0.81429057284115536</v>
      </c>
      <c r="S90" s="7">
        <f t="shared" si="31"/>
        <v>0</v>
      </c>
      <c r="T90" s="4">
        <v>-6.2577760268593838E-2</v>
      </c>
    </row>
    <row r="91" spans="5:20" ht="14.25" x14ac:dyDescent="0.45">
      <c r="E91">
        <v>88</v>
      </c>
      <c r="F91">
        <f t="shared" si="22"/>
        <v>1.3628876411397524</v>
      </c>
      <c r="G91">
        <f t="shared" si="23"/>
        <v>2099.850711458238</v>
      </c>
      <c r="H91">
        <f t="shared" si="19"/>
        <v>2101.1309627524834</v>
      </c>
      <c r="I91">
        <f t="shared" si="20"/>
        <v>1674.7664151721547</v>
      </c>
      <c r="J91">
        <f t="shared" si="24"/>
        <v>0.22619255049668358</v>
      </c>
      <c r="K91">
        <f t="shared" si="27"/>
        <v>108.7999999999995</v>
      </c>
      <c r="L91">
        <f>MAX(0,-1/Theta*(K91-F91-Psi*G91))</f>
        <v>0</v>
      </c>
      <c r="M91">
        <f t="shared" si="25"/>
        <v>2.2619255049668358E-2</v>
      </c>
      <c r="N91">
        <f t="shared" si="26"/>
        <v>-2.2619255049668358E-2</v>
      </c>
      <c r="O91">
        <f t="shared" si="21"/>
        <v>0.12802512942453179</v>
      </c>
      <c r="P91" s="7">
        <f t="shared" ca="1" si="28"/>
        <v>4.2699760480059988E-2</v>
      </c>
      <c r="Q91" s="7">
        <f t="shared" si="29"/>
        <v>-0.17747347863604127</v>
      </c>
      <c r="R91" s="7">
        <f t="shared" si="30"/>
        <v>0.83738320758607732</v>
      </c>
      <c r="S91" s="7">
        <f t="shared" si="31"/>
        <v>0</v>
      </c>
      <c r="T91" s="4">
        <v>7.4207281909773985E-3</v>
      </c>
    </row>
    <row r="92" spans="5:20" ht="14.25" x14ac:dyDescent="0.45">
      <c r="E92">
        <v>89</v>
      </c>
      <c r="F92">
        <f t="shared" si="22"/>
        <v>1.3855068961894208</v>
      </c>
      <c r="G92">
        <f t="shared" si="23"/>
        <v>2099.9787365876628</v>
      </c>
      <c r="H92">
        <f t="shared" si="19"/>
        <v>2100.68502388974</v>
      </c>
      <c r="I92">
        <f t="shared" si="20"/>
        <v>1831.110184844757</v>
      </c>
      <c r="J92">
        <f t="shared" si="24"/>
        <v>0.13700477794803395</v>
      </c>
      <c r="K92">
        <f t="shared" si="27"/>
        <v>108.89999999999949</v>
      </c>
      <c r="L92">
        <f>MAX(0,-1/Theta*(K92-F92-Psi*G92))</f>
        <v>0</v>
      </c>
      <c r="M92">
        <f t="shared" si="25"/>
        <v>1.3700477794803396E-2</v>
      </c>
      <c r="N92">
        <f t="shared" si="26"/>
        <v>-1.3700477794803396E-2</v>
      </c>
      <c r="O92">
        <f t="shared" si="21"/>
        <v>7.0628730207727128E-2</v>
      </c>
      <c r="P92" s="7">
        <f t="shared" ca="1" si="28"/>
        <v>-3.9137688551789333E-2</v>
      </c>
      <c r="Q92" s="7">
        <f t="shared" si="29"/>
        <v>-8.8224739264310875E-2</v>
      </c>
      <c r="R92" s="7">
        <f t="shared" si="30"/>
        <v>0.91555509242237854</v>
      </c>
      <c r="S92" s="7">
        <f t="shared" si="31"/>
        <v>0</v>
      </c>
      <c r="T92" s="4">
        <v>7.1501391508126261E-2</v>
      </c>
    </row>
    <row r="93" spans="5:20" ht="14.25" x14ac:dyDescent="0.45">
      <c r="E93">
        <v>90</v>
      </c>
      <c r="F93">
        <f t="shared" si="22"/>
        <v>1.3992073739842241</v>
      </c>
      <c r="G93">
        <f t="shared" si="23"/>
        <v>2100.0493653178705</v>
      </c>
      <c r="H93">
        <f t="shared" si="19"/>
        <v>2100.5247797579232</v>
      </c>
      <c r="I93">
        <f t="shared" si="20"/>
        <v>1890.8092275534045</v>
      </c>
      <c r="J93">
        <f t="shared" si="24"/>
        <v>0.10495595158459373</v>
      </c>
      <c r="K93">
        <f t="shared" si="27"/>
        <v>108.99999999999949</v>
      </c>
      <c r="L93">
        <f>MAX(0,-1/Theta*(K93-F93-Psi*G93))</f>
        <v>0</v>
      </c>
      <c r="M93">
        <f t="shared" si="25"/>
        <v>1.0495595158459374E-2</v>
      </c>
      <c r="N93">
        <f t="shared" si="26"/>
        <v>-1.0495595158459374E-2</v>
      </c>
      <c r="O93">
        <f t="shared" si="21"/>
        <v>4.7541444005264569E-2</v>
      </c>
      <c r="P93" s="7">
        <f t="shared" ca="1" si="28"/>
        <v>1.8779738122671249E-2</v>
      </c>
      <c r="Q93" s="7">
        <f t="shared" si="29"/>
        <v>-5.6142280397229807E-2</v>
      </c>
      <c r="R93" s="7">
        <f t="shared" si="30"/>
        <v>0.94540461377670226</v>
      </c>
      <c r="S93" s="7">
        <f t="shared" si="31"/>
        <v>0</v>
      </c>
      <c r="T93" s="4">
        <v>2.3259984940649986E-2</v>
      </c>
    </row>
    <row r="94" spans="5:20" ht="14.25" x14ac:dyDescent="0.45">
      <c r="E94">
        <v>91</v>
      </c>
      <c r="F94">
        <f t="shared" si="22"/>
        <v>1.4097029691426834</v>
      </c>
      <c r="G94">
        <f t="shared" si="23"/>
        <v>2100.0969067618757</v>
      </c>
      <c r="H94">
        <f t="shared" si="19"/>
        <v>2100.3916213817456</v>
      </c>
      <c r="I94">
        <f t="shared" si="20"/>
        <v>1941.885121520565</v>
      </c>
      <c r="J94">
        <f t="shared" si="24"/>
        <v>7.8324276349134844E-2</v>
      </c>
      <c r="K94">
        <f t="shared" si="27"/>
        <v>109.09999999999948</v>
      </c>
      <c r="L94">
        <f>MAX(0,-1/Theta*(K94-F94-Psi*G94))</f>
        <v>0</v>
      </c>
      <c r="M94">
        <f t="shared" si="25"/>
        <v>7.8324276349134841E-3</v>
      </c>
      <c r="N94">
        <f t="shared" si="26"/>
        <v>-7.8324276349134841E-3</v>
      </c>
      <c r="O94">
        <f t="shared" si="21"/>
        <v>2.9471461986986469E-2</v>
      </c>
      <c r="P94" s="7">
        <f t="shared" ca="1" si="28"/>
        <v>9.807364416217608E-3</v>
      </c>
      <c r="Q94" s="7">
        <f t="shared" si="29"/>
        <v>-2.9487967167316533E-2</v>
      </c>
      <c r="R94" s="7">
        <f t="shared" si="30"/>
        <v>0.97094256076028251</v>
      </c>
      <c r="S94" s="7">
        <f t="shared" si="31"/>
        <v>0</v>
      </c>
      <c r="T94" s="4">
        <v>2.1040085190190294E-2</v>
      </c>
    </row>
    <row r="95" spans="5:20" ht="14.25" x14ac:dyDescent="0.45">
      <c r="E95">
        <v>92</v>
      </c>
      <c r="F95">
        <f t="shared" si="22"/>
        <v>1.417535396777597</v>
      </c>
      <c r="G95">
        <f t="shared" si="23"/>
        <v>2100.126378223863</v>
      </c>
      <c r="H95">
        <f t="shared" si="19"/>
        <v>2100.379958390678</v>
      </c>
      <c r="I95">
        <f t="shared" si="20"/>
        <v>1946.4473611643334</v>
      </c>
      <c r="J95">
        <f t="shared" si="24"/>
        <v>7.5991678135602175E-2</v>
      </c>
      <c r="K95">
        <f t="shared" si="27"/>
        <v>109.19999999999948</v>
      </c>
      <c r="L95">
        <f>MAX(0,-1/Theta*(K95-F95-Psi*G95))</f>
        <v>0</v>
      </c>
      <c r="M95">
        <f t="shared" si="25"/>
        <v>7.5991678135602179E-3</v>
      </c>
      <c r="N95">
        <f t="shared" si="26"/>
        <v>-7.5991678135602179E-3</v>
      </c>
      <c r="O95">
        <f t="shared" si="21"/>
        <v>2.5358016681502706E-2</v>
      </c>
      <c r="P95" s="7">
        <f t="shared" ca="1" si="28"/>
        <v>-8.8031312673413686E-2</v>
      </c>
      <c r="Q95" s="7">
        <f t="shared" si="29"/>
        <v>-2.7141335670318657E-2</v>
      </c>
      <c r="R95" s="7">
        <f t="shared" si="30"/>
        <v>0.97322368058216668</v>
      </c>
      <c r="S95" s="7">
        <f t="shared" si="31"/>
        <v>0</v>
      </c>
      <c r="T95" s="4">
        <v>-6.0216521973377641E-4</v>
      </c>
    </row>
    <row r="96" spans="5:20" ht="14.25" x14ac:dyDescent="0.45">
      <c r="E96">
        <v>93</v>
      </c>
      <c r="F96">
        <f t="shared" si="22"/>
        <v>1.4251345645911573</v>
      </c>
      <c r="G96">
        <f t="shared" si="23"/>
        <v>2100.1517362405443</v>
      </c>
      <c r="H96">
        <f t="shared" si="19"/>
        <v>2100.2390372224195</v>
      </c>
      <c r="I96">
        <f t="shared" si="20"/>
        <v>2002.1110582140027</v>
      </c>
      <c r="J96">
        <f t="shared" si="24"/>
        <v>4.7807444483933391E-2</v>
      </c>
      <c r="K96">
        <f t="shared" si="27"/>
        <v>109.29999999999947</v>
      </c>
      <c r="L96">
        <f>MAX(0,-1/Theta*(K96-F96-Psi*G96))</f>
        <v>0</v>
      </c>
      <c r="M96">
        <f t="shared" si="25"/>
        <v>4.7807444483933398E-3</v>
      </c>
      <c r="N96">
        <f t="shared" si="26"/>
        <v>-4.7807444483933398E-3</v>
      </c>
      <c r="O96">
        <f t="shared" si="21"/>
        <v>8.7300981875159788E-3</v>
      </c>
      <c r="P96" s="7">
        <f t="shared" ca="1" si="28"/>
        <v>2.0836033248776375E-2</v>
      </c>
      <c r="Q96" s="7">
        <f t="shared" si="29"/>
        <v>1.0549724278465164E-3</v>
      </c>
      <c r="R96" s="7">
        <f t="shared" si="30"/>
        <v>1.0010555291070014</v>
      </c>
      <c r="S96" s="7">
        <f t="shared" si="31"/>
        <v>0</v>
      </c>
      <c r="T96" s="4">
        <v>2.5482174531133307E-2</v>
      </c>
    </row>
    <row r="97" spans="2:20" ht="14.25" x14ac:dyDescent="0.45">
      <c r="E97">
        <v>94</v>
      </c>
      <c r="F97">
        <f t="shared" si="22"/>
        <v>1.4299153090395507</v>
      </c>
      <c r="G97">
        <f t="shared" si="23"/>
        <v>2100.160466338732</v>
      </c>
      <c r="H97">
        <f t="shared" si="19"/>
        <v>2100.3977450700545</v>
      </c>
      <c r="I97">
        <f t="shared" si="20"/>
        <v>1939.566976830683</v>
      </c>
      <c r="J97">
        <f t="shared" si="24"/>
        <v>7.9549014010912605E-2</v>
      </c>
      <c r="K97">
        <f t="shared" si="27"/>
        <v>109.39999999999947</v>
      </c>
      <c r="L97">
        <f>MAX(0,-1/Theta*(K97-F97-Psi*G97))</f>
        <v>0</v>
      </c>
      <c r="M97">
        <f t="shared" si="25"/>
        <v>7.9549014010912612E-3</v>
      </c>
      <c r="N97">
        <f t="shared" si="26"/>
        <v>-7.9549014010912612E-3</v>
      </c>
      <c r="O97">
        <f t="shared" si="21"/>
        <v>2.3727873132247626E-2</v>
      </c>
      <c r="P97" s="7">
        <f t="shared" ca="1" si="28"/>
        <v>-5.1120591824146744E-2</v>
      </c>
      <c r="Q97" s="7">
        <f t="shared" si="29"/>
        <v>-3.0682440218516901E-2</v>
      </c>
      <c r="R97" s="7">
        <f t="shared" si="30"/>
        <v>0.96978348841534145</v>
      </c>
      <c r="S97" s="7">
        <f t="shared" si="31"/>
        <v>0</v>
      </c>
      <c r="T97" s="4">
        <v>-3.1631915403578764E-2</v>
      </c>
    </row>
    <row r="98" spans="2:20" ht="14.25" x14ac:dyDescent="0.45">
      <c r="E98">
        <v>95</v>
      </c>
      <c r="F98">
        <f t="shared" si="22"/>
        <v>1.437870210440642</v>
      </c>
      <c r="G98">
        <f t="shared" si="23"/>
        <v>2100.1841942118645</v>
      </c>
      <c r="H98">
        <f t="shared" si="19"/>
        <v>2100.3087239638639</v>
      </c>
      <c r="I98">
        <f t="shared" si="20"/>
        <v>1974.4310080192247</v>
      </c>
      <c r="J98">
        <f t="shared" si="24"/>
        <v>6.1744792772748198E-2</v>
      </c>
      <c r="K98">
        <f t="shared" si="27"/>
        <v>109.49999999999946</v>
      </c>
      <c r="L98">
        <f>MAX(0,-1/Theta*(K98-F98-Psi*G98))</f>
        <v>0</v>
      </c>
      <c r="M98">
        <f t="shared" si="25"/>
        <v>6.1744792772748204E-3</v>
      </c>
      <c r="N98">
        <f t="shared" si="26"/>
        <v>-6.1744792772748204E-3</v>
      </c>
      <c r="O98">
        <f t="shared" si="21"/>
        <v>1.2452975199948924E-2</v>
      </c>
      <c r="P98" s="7">
        <f t="shared" ca="1" si="28"/>
        <v>5.8201384854229966E-2</v>
      </c>
      <c r="Q98" s="7">
        <f t="shared" si="29"/>
        <v>-1.2866920920288261E-2</v>
      </c>
      <c r="R98" s="7">
        <f t="shared" si="30"/>
        <v>0.98721550400961233</v>
      </c>
      <c r="S98" s="7">
        <f t="shared" si="31"/>
        <v>0</v>
      </c>
      <c r="T98" s="4">
        <v>1.4747275276376951E-2</v>
      </c>
    </row>
    <row r="99" spans="2:20" ht="14.25" x14ac:dyDescent="0.45">
      <c r="E99">
        <v>96</v>
      </c>
      <c r="F99">
        <f t="shared" si="22"/>
        <v>1.4440446897179169</v>
      </c>
      <c r="G99">
        <f t="shared" si="23"/>
        <v>2100.1966471870646</v>
      </c>
      <c r="H99">
        <f t="shared" si="19"/>
        <v>2099.8252305502074</v>
      </c>
      <c r="I99">
        <f t="shared" si="20"/>
        <v>2174.9047529213985</v>
      </c>
      <c r="J99">
        <f t="shared" si="24"/>
        <v>-3.4953889958549804E-2</v>
      </c>
      <c r="K99">
        <f t="shared" si="27"/>
        <v>109.59999999999945</v>
      </c>
      <c r="L99">
        <f>MAX(0,-1/Theta*(K99-F99-Psi*G99))</f>
        <v>0</v>
      </c>
      <c r="M99">
        <f t="shared" si="25"/>
        <v>-3.4953889958549804E-3</v>
      </c>
      <c r="N99">
        <f t="shared" si="26"/>
        <v>3.4953889958549804E-3</v>
      </c>
      <c r="O99">
        <f t="shared" si="21"/>
        <v>-3.7141663685724781E-2</v>
      </c>
      <c r="P99" s="7">
        <f t="shared" ca="1" si="28"/>
        <v>-4.0304239097927796E-2</v>
      </c>
      <c r="Q99" s="7">
        <f t="shared" si="29"/>
        <v>8.3837691261538505E-2</v>
      </c>
      <c r="R99" s="7">
        <f t="shared" si="30"/>
        <v>1.0874523764606994</v>
      </c>
      <c r="S99" s="7">
        <f t="shared" si="31"/>
        <v>0</v>
      </c>
      <c r="T99" s="4">
        <v>9.5417920089797936E-2</v>
      </c>
    </row>
    <row r="100" spans="2:20" ht="14.25" x14ac:dyDescent="0.45">
      <c r="E100">
        <v>97</v>
      </c>
      <c r="F100">
        <f t="shared" si="22"/>
        <v>1.440549300722062</v>
      </c>
      <c r="G100">
        <f t="shared" si="23"/>
        <v>2100.1595055233788</v>
      </c>
      <c r="H100">
        <f t="shared" si="19"/>
        <v>2099.6374318652133</v>
      </c>
      <c r="I100">
        <f t="shared" si="20"/>
        <v>2258.1071629008597</v>
      </c>
      <c r="J100">
        <f t="shared" si="24"/>
        <v>-7.2513626957315766E-2</v>
      </c>
      <c r="K100">
        <f t="shared" si="27"/>
        <v>109.69999999999945</v>
      </c>
      <c r="L100">
        <f>MAX(0,-1/Theta*(K100-F100-Psi*G100))</f>
        <v>0</v>
      </c>
      <c r="M100">
        <f t="shared" si="25"/>
        <v>-7.2513626957315773E-3</v>
      </c>
      <c r="N100">
        <f t="shared" si="26"/>
        <v>7.2513626957315773E-3</v>
      </c>
      <c r="O100">
        <f t="shared" si="21"/>
        <v>-5.2207365816548196E-2</v>
      </c>
      <c r="P100" s="7">
        <f t="shared" ca="1" si="28"/>
        <v>6.0867041445928187E-2</v>
      </c>
      <c r="Q100" s="7">
        <f t="shared" si="29"/>
        <v>0.12137974325344471</v>
      </c>
      <c r="R100" s="7">
        <f t="shared" si="30"/>
        <v>1.1290535814504299</v>
      </c>
      <c r="S100" s="7">
        <f t="shared" si="31"/>
        <v>0</v>
      </c>
      <c r="T100" s="4">
        <v>4.5925821118060053E-2</v>
      </c>
    </row>
    <row r="101" spans="2:20" ht="14.25" x14ac:dyDescent="0.45">
      <c r="C101" s="7"/>
    </row>
    <row r="102" spans="2:20" ht="14.25" x14ac:dyDescent="0.45">
      <c r="C102" s="7" t="s">
        <v>42</v>
      </c>
      <c r="F102" s="6">
        <f>STDEV((F4:F100))</f>
        <v>0.12532098186443558</v>
      </c>
      <c r="G102" s="6">
        <f t="shared" ref="G102:O102" si="32">STDEV((G4:G100))</f>
        <v>33.421825321968292</v>
      </c>
      <c r="H102" s="6">
        <f t="shared" si="32"/>
        <v>28.78332605597377</v>
      </c>
      <c r="I102" s="6">
        <f t="shared" si="32"/>
        <v>191.300070062526</v>
      </c>
      <c r="J102" s="6">
        <f t="shared" si="32"/>
        <v>9.2476621964032002E-2</v>
      </c>
      <c r="K102" s="6">
        <f t="shared" si="32"/>
        <v>2.8145455524232976</v>
      </c>
      <c r="L102" s="6">
        <f t="shared" si="32"/>
        <v>0.57740833764387611</v>
      </c>
      <c r="M102" s="6">
        <f t="shared" si="32"/>
        <v>9.247662196403203E-3</v>
      </c>
      <c r="N102" s="6">
        <f t="shared" si="32"/>
        <v>0.57566652111947592</v>
      </c>
      <c r="O102" s="6">
        <f t="shared" si="32"/>
        <v>0.67793763594275613</v>
      </c>
      <c r="P102" s="6">
        <f t="shared" ref="P102:S102" ca="1" si="33">STDEV(P4:P100)</f>
        <v>5.4677511329228816E-2</v>
      </c>
      <c r="Q102" s="6">
        <f t="shared" si="33"/>
        <v>9.6118978738526609E-2</v>
      </c>
      <c r="R102" s="6">
        <f t="shared" si="33"/>
        <v>9.5650035031263028E-2</v>
      </c>
      <c r="S102" s="6">
        <f t="shared" si="33"/>
        <v>2.8134166820624036E-2</v>
      </c>
      <c r="T102" s="4">
        <v>4.7996162991352724E-2</v>
      </c>
    </row>
    <row r="103" spans="2:20" ht="14.25" x14ac:dyDescent="0.45">
      <c r="B103" s="4" t="s">
        <v>80</v>
      </c>
      <c r="C103" s="7">
        <v>0.25</v>
      </c>
      <c r="F103" t="s">
        <v>4</v>
      </c>
      <c r="G103" t="s">
        <v>5</v>
      </c>
      <c r="H103" t="s">
        <v>7</v>
      </c>
      <c r="I103" t="s">
        <v>59</v>
      </c>
      <c r="J103" t="s">
        <v>63</v>
      </c>
      <c r="K103" t="s">
        <v>38</v>
      </c>
      <c r="L103" t="s">
        <v>8</v>
      </c>
      <c r="M103" t="s">
        <v>47</v>
      </c>
      <c r="N103" t="s">
        <v>53</v>
      </c>
      <c r="O103" t="s">
        <v>48</v>
      </c>
      <c r="P103" s="7" t="s">
        <v>35</v>
      </c>
      <c r="Q103" s="7" t="s">
        <v>36</v>
      </c>
      <c r="R103" s="7" t="s">
        <v>37</v>
      </c>
      <c r="S103" t="s">
        <v>81</v>
      </c>
      <c r="T103" s="4" t="s">
        <v>35</v>
      </c>
    </row>
    <row r="104" spans="2:20" ht="14.25" x14ac:dyDescent="0.45">
      <c r="B104" s="4" t="s">
        <v>79</v>
      </c>
      <c r="C104" s="7">
        <v>0.25</v>
      </c>
    </row>
    <row r="105" spans="2:20" x14ac:dyDescent="0.4">
      <c r="B105" s="4" t="s">
        <v>65</v>
      </c>
      <c r="C105" s="4">
        <v>1</v>
      </c>
    </row>
    <row r="106" spans="2:20" x14ac:dyDescent="0.4">
      <c r="B106" s="4" t="s">
        <v>66</v>
      </c>
      <c r="C106" s="4">
        <v>0.5</v>
      </c>
    </row>
    <row r="107" spans="2:20" x14ac:dyDescent="0.4">
      <c r="C107" s="4" t="s">
        <v>64</v>
      </c>
      <c r="E107" s="6">
        <f>C105*M102^2+C106*J102^2+C103*N102^2 + C104*S102^2</f>
        <v>8.74073507811607E-2</v>
      </c>
    </row>
  </sheetData>
  <sheetProtection selectLockedCells="1" selectUnlockedCells="1"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FF39-114F-44D4-8FFC-323AD205BCB7}">
  <dimension ref="A1:I75"/>
  <sheetViews>
    <sheetView topLeftCell="C47" workbookViewId="0">
      <selection activeCell="A41" sqref="A41"/>
    </sheetView>
  </sheetViews>
  <sheetFormatPr defaultRowHeight="12.75" x14ac:dyDescent="0.35"/>
  <sheetData>
    <row r="1" spans="1:9" ht="15.75" x14ac:dyDescent="0.35">
      <c r="A1" s="9" t="s">
        <v>70</v>
      </c>
      <c r="H1" s="9" t="s">
        <v>70</v>
      </c>
    </row>
    <row r="2" spans="1:9" x14ac:dyDescent="0.35">
      <c r="A2" t="s">
        <v>71</v>
      </c>
      <c r="B2" t="s">
        <v>72</v>
      </c>
      <c r="H2" t="s">
        <v>71</v>
      </c>
    </row>
    <row r="3" spans="1:9" x14ac:dyDescent="0.35">
      <c r="A3" t="s">
        <v>73</v>
      </c>
      <c r="B3" t="s">
        <v>74</v>
      </c>
      <c r="H3" t="s">
        <v>73</v>
      </c>
    </row>
    <row r="4" spans="1:9" x14ac:dyDescent="0.35">
      <c r="A4" s="10">
        <v>19725</v>
      </c>
      <c r="B4" t="s">
        <v>75</v>
      </c>
      <c r="H4" s="10">
        <v>19725</v>
      </c>
    </row>
    <row r="5" spans="1:9" x14ac:dyDescent="0.35">
      <c r="A5" t="s">
        <v>76</v>
      </c>
      <c r="H5" t="s">
        <v>76</v>
      </c>
    </row>
    <row r="6" spans="1:9" x14ac:dyDescent="0.35">
      <c r="A6" t="s">
        <v>77</v>
      </c>
      <c r="H6" t="s">
        <v>77</v>
      </c>
    </row>
    <row r="7" spans="1:9" x14ac:dyDescent="0.35">
      <c r="B7" t="s">
        <v>78</v>
      </c>
    </row>
    <row r="8" spans="1:9" x14ac:dyDescent="0.35">
      <c r="A8" s="10">
        <v>19725</v>
      </c>
      <c r="B8">
        <v>0.65145009756088201</v>
      </c>
      <c r="H8" s="10"/>
      <c r="I8" t="s">
        <v>83</v>
      </c>
    </row>
    <row r="9" spans="1:9" x14ac:dyDescent="0.35">
      <c r="A9" s="10">
        <v>20090</v>
      </c>
      <c r="B9">
        <v>0.67253059148788397</v>
      </c>
      <c r="C9">
        <f>LN(B9)-LN(B8)</f>
        <v>3.184680223419134E-2</v>
      </c>
      <c r="H9" s="10">
        <v>20090</v>
      </c>
      <c r="I9">
        <v>3.184680223419134E-2</v>
      </c>
    </row>
    <row r="10" spans="1:9" x14ac:dyDescent="0.35">
      <c r="A10" s="10">
        <v>20455</v>
      </c>
      <c r="B10">
        <v>0.66870439052581698</v>
      </c>
      <c r="C10">
        <f t="shared" ref="C10:C73" si="0">LN(B10)-LN(B9)</f>
        <v>-5.7055048411800424E-3</v>
      </c>
      <c r="H10" s="10">
        <v>20455</v>
      </c>
      <c r="I10">
        <v>-5.7055048411800424E-3</v>
      </c>
    </row>
    <row r="11" spans="1:9" x14ac:dyDescent="0.35">
      <c r="A11" s="10">
        <v>20821</v>
      </c>
      <c r="B11">
        <v>0.67597854137420599</v>
      </c>
      <c r="C11">
        <f t="shared" si="0"/>
        <v>1.0819237208320287E-2</v>
      </c>
      <c r="H11" s="10">
        <v>20821</v>
      </c>
      <c r="I11">
        <v>1.0819237208320287E-2</v>
      </c>
    </row>
    <row r="12" spans="1:9" x14ac:dyDescent="0.35">
      <c r="A12" s="10">
        <v>21186</v>
      </c>
      <c r="B12">
        <v>0.67719972133636397</v>
      </c>
      <c r="C12">
        <f t="shared" si="0"/>
        <v>1.8049067551978992E-3</v>
      </c>
      <c r="H12" s="10">
        <v>21186</v>
      </c>
      <c r="I12">
        <v>1.8049067551978992E-3</v>
      </c>
    </row>
    <row r="13" spans="1:9" x14ac:dyDescent="0.35">
      <c r="A13" s="10">
        <v>21551</v>
      </c>
      <c r="B13">
        <v>0.69634538888931197</v>
      </c>
      <c r="C13">
        <f t="shared" si="0"/>
        <v>2.7879546883040396E-2</v>
      </c>
      <c r="H13" s="10">
        <v>21551</v>
      </c>
      <c r="I13">
        <v>2.7879546883040396E-2</v>
      </c>
    </row>
    <row r="14" spans="1:9" x14ac:dyDescent="0.35">
      <c r="A14" s="10">
        <v>21916</v>
      </c>
      <c r="B14">
        <v>0.700092673301696</v>
      </c>
      <c r="C14">
        <f t="shared" si="0"/>
        <v>5.3669310634744671E-3</v>
      </c>
      <c r="H14" s="10">
        <v>21916</v>
      </c>
      <c r="I14">
        <v>5.3669310634744671E-3</v>
      </c>
    </row>
    <row r="15" spans="1:9" x14ac:dyDescent="0.35">
      <c r="A15" s="10">
        <v>22282</v>
      </c>
      <c r="B15">
        <v>0.70670336484909002</v>
      </c>
      <c r="C15">
        <f t="shared" si="0"/>
        <v>9.3982923282229236E-3</v>
      </c>
      <c r="H15" s="10">
        <v>22282</v>
      </c>
      <c r="I15">
        <v>9.3982923282229236E-3</v>
      </c>
    </row>
    <row r="16" spans="1:9" x14ac:dyDescent="0.35">
      <c r="A16" s="10">
        <v>22647</v>
      </c>
      <c r="B16">
        <v>0.72234892845153797</v>
      </c>
      <c r="C16">
        <f t="shared" si="0"/>
        <v>2.1897293514473282E-2</v>
      </c>
      <c r="H16" s="10">
        <v>22647</v>
      </c>
      <c r="I16">
        <v>2.1897293514473282E-2</v>
      </c>
    </row>
    <row r="17" spans="1:9" x14ac:dyDescent="0.35">
      <c r="A17" s="10">
        <v>23012</v>
      </c>
      <c r="B17">
        <v>0.73288094997405995</v>
      </c>
      <c r="C17">
        <f t="shared" si="0"/>
        <v>1.4474971372330225E-2</v>
      </c>
      <c r="H17" s="10">
        <v>23012</v>
      </c>
      <c r="I17">
        <v>1.4474971372330225E-2</v>
      </c>
    </row>
    <row r="18" spans="1:9" x14ac:dyDescent="0.35">
      <c r="A18" s="10">
        <v>23377</v>
      </c>
      <c r="B18">
        <v>0.74438595771789495</v>
      </c>
      <c r="C18">
        <f t="shared" si="0"/>
        <v>1.557638677037515E-2</v>
      </c>
      <c r="H18" s="10">
        <v>23377</v>
      </c>
      <c r="I18">
        <v>1.557638677037515E-2</v>
      </c>
    </row>
    <row r="19" spans="1:9" x14ac:dyDescent="0.35">
      <c r="A19" s="10">
        <v>23743</v>
      </c>
      <c r="B19">
        <v>0.75609701871871904</v>
      </c>
      <c r="C19">
        <f t="shared" si="0"/>
        <v>1.5610038887289124E-2</v>
      </c>
      <c r="H19" s="10">
        <v>23743</v>
      </c>
      <c r="I19">
        <v>1.5610038887289124E-2</v>
      </c>
    </row>
    <row r="20" spans="1:9" x14ac:dyDescent="0.35">
      <c r="A20" s="10">
        <v>24108</v>
      </c>
      <c r="B20">
        <v>0.76762306690215998</v>
      </c>
      <c r="C20">
        <f t="shared" si="0"/>
        <v>1.512911477803236E-2</v>
      </c>
      <c r="H20" s="10">
        <v>24108</v>
      </c>
      <c r="I20">
        <v>1.512911477803236E-2</v>
      </c>
    </row>
    <row r="21" spans="1:9" x14ac:dyDescent="0.35">
      <c r="A21" s="10">
        <v>24473</v>
      </c>
      <c r="B21">
        <v>0.76424193382263095</v>
      </c>
      <c r="C21">
        <f t="shared" si="0"/>
        <v>-4.41440801716253E-3</v>
      </c>
      <c r="H21" s="10">
        <v>24473</v>
      </c>
      <c r="I21">
        <v>-4.41440801716253E-3</v>
      </c>
    </row>
    <row r="22" spans="1:9" x14ac:dyDescent="0.35">
      <c r="A22" s="10">
        <v>24838</v>
      </c>
      <c r="B22">
        <v>0.77437168359756403</v>
      </c>
      <c r="C22">
        <f t="shared" si="0"/>
        <v>1.3167563346390354E-2</v>
      </c>
      <c r="H22" s="10">
        <v>24838</v>
      </c>
      <c r="I22">
        <v>1.3167563346390354E-2</v>
      </c>
    </row>
    <row r="23" spans="1:9" x14ac:dyDescent="0.35">
      <c r="A23" s="10">
        <v>25204</v>
      </c>
      <c r="B23">
        <v>0.76910656690597501</v>
      </c>
      <c r="C23">
        <f t="shared" si="0"/>
        <v>-6.8224312356537364E-3</v>
      </c>
      <c r="H23" s="10">
        <v>25204</v>
      </c>
      <c r="I23">
        <v>-6.8224312356537364E-3</v>
      </c>
    </row>
    <row r="24" spans="1:9" x14ac:dyDescent="0.35">
      <c r="A24" s="10">
        <v>25569</v>
      </c>
      <c r="B24">
        <v>0.76486903429031305</v>
      </c>
      <c r="C24">
        <f t="shared" si="0"/>
        <v>-5.524916291327453E-3</v>
      </c>
      <c r="H24" s="10">
        <v>25569</v>
      </c>
      <c r="I24">
        <v>-5.524916291327453E-3</v>
      </c>
    </row>
    <row r="25" spans="1:9" x14ac:dyDescent="0.35">
      <c r="A25" s="10">
        <v>25934</v>
      </c>
      <c r="B25">
        <v>0.78002732992172197</v>
      </c>
      <c r="C25">
        <f t="shared" si="0"/>
        <v>1.9624335266461429E-2</v>
      </c>
      <c r="H25" s="10">
        <v>25934</v>
      </c>
      <c r="I25">
        <v>1.9624335266461429E-2</v>
      </c>
    </row>
    <row r="26" spans="1:9" x14ac:dyDescent="0.35">
      <c r="A26" s="10">
        <v>26299</v>
      </c>
      <c r="B26">
        <v>0.79226070642471302</v>
      </c>
      <c r="C26">
        <f t="shared" si="0"/>
        <v>1.5561554995982496E-2</v>
      </c>
      <c r="H26" s="10">
        <v>26299</v>
      </c>
      <c r="I26">
        <v>1.5561554995982496E-2</v>
      </c>
    </row>
    <row r="27" spans="1:9" x14ac:dyDescent="0.35">
      <c r="A27" s="10">
        <v>26665</v>
      </c>
      <c r="B27">
        <v>0.80311542749404896</v>
      </c>
      <c r="C27">
        <f t="shared" si="0"/>
        <v>1.3607936512021301E-2</v>
      </c>
      <c r="H27" s="10">
        <v>26665</v>
      </c>
      <c r="I27">
        <v>1.3607936512021301E-2</v>
      </c>
    </row>
    <row r="28" spans="1:9" x14ac:dyDescent="0.35">
      <c r="A28" s="10">
        <v>27030</v>
      </c>
      <c r="B28">
        <v>0.78133898973464899</v>
      </c>
      <c r="C28">
        <f t="shared" si="0"/>
        <v>-2.7489347514926044E-2</v>
      </c>
      <c r="H28" s="10">
        <v>27030</v>
      </c>
      <c r="I28">
        <v>-2.7489347514926044E-2</v>
      </c>
    </row>
    <row r="29" spans="1:9" x14ac:dyDescent="0.35">
      <c r="A29" s="10">
        <v>27395</v>
      </c>
      <c r="B29">
        <v>0.78221350908279397</v>
      </c>
      <c r="C29">
        <f t="shared" si="0"/>
        <v>1.1186313731064712E-3</v>
      </c>
      <c r="H29" s="10">
        <v>27395</v>
      </c>
      <c r="I29">
        <v>1.1186313731064712E-3</v>
      </c>
    </row>
    <row r="30" spans="1:9" x14ac:dyDescent="0.35">
      <c r="A30" s="10">
        <v>27760</v>
      </c>
      <c r="B30">
        <v>0.79757809638976995</v>
      </c>
      <c r="C30">
        <f t="shared" si="0"/>
        <v>1.9452023574886124E-2</v>
      </c>
      <c r="H30" s="10">
        <v>27760</v>
      </c>
      <c r="I30">
        <v>1.9452023574886124E-2</v>
      </c>
    </row>
    <row r="31" spans="1:9" x14ac:dyDescent="0.35">
      <c r="A31" s="10">
        <v>28126</v>
      </c>
      <c r="B31">
        <v>0.80289691686630205</v>
      </c>
      <c r="C31">
        <f t="shared" si="0"/>
        <v>6.6465768140719361E-3</v>
      </c>
      <c r="H31" s="10">
        <v>28126</v>
      </c>
      <c r="I31">
        <v>6.6465768140719361E-3</v>
      </c>
    </row>
    <row r="32" spans="1:9" x14ac:dyDescent="0.35">
      <c r="A32" s="10">
        <v>28491</v>
      </c>
      <c r="B32">
        <v>0.80761951208114602</v>
      </c>
      <c r="C32">
        <f t="shared" si="0"/>
        <v>5.8647135366486358E-3</v>
      </c>
      <c r="H32" s="10">
        <v>28491</v>
      </c>
      <c r="I32">
        <v>5.8647135366486358E-3</v>
      </c>
    </row>
    <row r="33" spans="1:9" x14ac:dyDescent="0.35">
      <c r="A33" s="10">
        <v>28856</v>
      </c>
      <c r="B33">
        <v>0.80162811279296797</v>
      </c>
      <c r="C33">
        <f t="shared" si="0"/>
        <v>-7.4462461576378924E-3</v>
      </c>
      <c r="H33" s="10">
        <v>28856</v>
      </c>
      <c r="I33">
        <v>-7.4462461576378924E-3</v>
      </c>
    </row>
    <row r="34" spans="1:9" x14ac:dyDescent="0.35">
      <c r="A34" s="10">
        <v>29221</v>
      </c>
      <c r="B34">
        <v>0.78755289316177302</v>
      </c>
      <c r="C34">
        <f t="shared" si="0"/>
        <v>-1.7714266201172918E-2</v>
      </c>
      <c r="H34" s="10">
        <v>29221</v>
      </c>
      <c r="I34">
        <v>-1.7714266201172918E-2</v>
      </c>
    </row>
    <row r="35" spans="1:9" x14ac:dyDescent="0.35">
      <c r="A35" s="10">
        <v>29587</v>
      </c>
      <c r="B35">
        <v>0.79251265525817804</v>
      </c>
      <c r="C35">
        <f t="shared" si="0"/>
        <v>6.2779400400009566E-3</v>
      </c>
      <c r="H35" s="10">
        <v>29587</v>
      </c>
      <c r="I35">
        <v>6.2779400400009566E-3</v>
      </c>
    </row>
    <row r="36" spans="1:9" x14ac:dyDescent="0.35">
      <c r="A36" s="10">
        <v>29952</v>
      </c>
      <c r="B36">
        <v>0.77743268013000399</v>
      </c>
      <c r="C36">
        <f t="shared" si="0"/>
        <v>-1.9211419141078906E-2</v>
      </c>
      <c r="H36" s="10">
        <v>29952</v>
      </c>
      <c r="I36">
        <v>-1.9211419141078906E-2</v>
      </c>
    </row>
    <row r="37" spans="1:9" x14ac:dyDescent="0.35">
      <c r="A37" s="10">
        <v>30317</v>
      </c>
      <c r="B37">
        <v>0.79294013977050704</v>
      </c>
      <c r="C37">
        <f t="shared" si="0"/>
        <v>1.9750677735253103E-2</v>
      </c>
      <c r="H37" s="10">
        <v>30317</v>
      </c>
      <c r="I37">
        <v>1.9750677735253103E-2</v>
      </c>
    </row>
    <row r="38" spans="1:9" x14ac:dyDescent="0.35">
      <c r="A38" s="10">
        <v>30682</v>
      </c>
      <c r="B38">
        <v>0.81030017137527399</v>
      </c>
      <c r="C38">
        <f t="shared" si="0"/>
        <v>2.1657027964592013E-2</v>
      </c>
      <c r="H38" s="10">
        <v>30682</v>
      </c>
      <c r="I38">
        <v>2.1657027964592013E-2</v>
      </c>
    </row>
    <row r="39" spans="1:9" x14ac:dyDescent="0.35">
      <c r="A39" s="10">
        <v>31048</v>
      </c>
      <c r="B39">
        <v>0.81700694561004605</v>
      </c>
      <c r="C39">
        <f t="shared" si="0"/>
        <v>8.2428352198143651E-3</v>
      </c>
      <c r="H39" s="10">
        <v>31048</v>
      </c>
      <c r="I39">
        <v>8.2428352198143651E-3</v>
      </c>
    </row>
    <row r="40" spans="1:9" x14ac:dyDescent="0.35">
      <c r="A40" s="10">
        <v>31413</v>
      </c>
      <c r="B40">
        <v>0.82584768533706598</v>
      </c>
      <c r="C40">
        <f t="shared" si="0"/>
        <v>1.0762760016274908E-2</v>
      </c>
      <c r="H40" s="10">
        <v>31413</v>
      </c>
      <c r="I40">
        <v>1.0762760016274908E-2</v>
      </c>
    </row>
    <row r="41" spans="1:9" x14ac:dyDescent="0.35">
      <c r="A41" s="10">
        <v>31778</v>
      </c>
      <c r="B41">
        <v>0.82618790864944402</v>
      </c>
      <c r="C41">
        <f t="shared" si="0"/>
        <v>4.1188376137454852E-4</v>
      </c>
      <c r="H41" s="10">
        <v>31778</v>
      </c>
      <c r="I41">
        <v>4.1188376137454852E-4</v>
      </c>
    </row>
    <row r="42" spans="1:9" x14ac:dyDescent="0.35">
      <c r="A42" s="10">
        <v>32143</v>
      </c>
      <c r="B42">
        <v>0.83405160903930597</v>
      </c>
      <c r="C42">
        <f t="shared" si="0"/>
        <v>9.4730418260675076E-3</v>
      </c>
      <c r="H42" s="10">
        <v>32143</v>
      </c>
      <c r="I42">
        <v>9.4730418260675076E-3</v>
      </c>
    </row>
    <row r="43" spans="1:9" x14ac:dyDescent="0.35">
      <c r="A43" s="10">
        <v>32509</v>
      </c>
      <c r="B43">
        <v>0.83821856975555398</v>
      </c>
      <c r="C43">
        <f t="shared" si="0"/>
        <v>4.9836077847031091E-3</v>
      </c>
      <c r="H43" s="10">
        <v>32509</v>
      </c>
      <c r="I43">
        <v>4.9836077847031091E-3</v>
      </c>
    </row>
    <row r="44" spans="1:9" x14ac:dyDescent="0.35">
      <c r="A44" s="10">
        <v>32874</v>
      </c>
      <c r="B44">
        <v>0.84192866086959794</v>
      </c>
      <c r="C44">
        <f t="shared" si="0"/>
        <v>4.4163952738421608E-3</v>
      </c>
      <c r="H44" s="10">
        <v>32874</v>
      </c>
      <c r="I44">
        <v>4.4163952738421608E-3</v>
      </c>
    </row>
    <row r="45" spans="1:9" x14ac:dyDescent="0.35">
      <c r="A45" s="10">
        <v>33239</v>
      </c>
      <c r="B45">
        <v>0.83917188644409102</v>
      </c>
      <c r="C45">
        <f t="shared" si="0"/>
        <v>-3.2797287479836568E-3</v>
      </c>
      <c r="H45" s="10">
        <v>33239</v>
      </c>
      <c r="I45">
        <v>-3.2797287479836568E-3</v>
      </c>
    </row>
    <row r="46" spans="1:9" x14ac:dyDescent="0.35">
      <c r="A46" s="10">
        <v>33604</v>
      </c>
      <c r="B46">
        <v>0.86002874374389604</v>
      </c>
      <c r="C46">
        <f t="shared" si="0"/>
        <v>2.4550255550206845E-2</v>
      </c>
      <c r="H46" s="10">
        <v>33604</v>
      </c>
      <c r="I46">
        <v>2.4550255550206845E-2</v>
      </c>
    </row>
    <row r="47" spans="1:9" x14ac:dyDescent="0.35">
      <c r="A47" s="10">
        <v>33970</v>
      </c>
      <c r="B47">
        <v>0.86117106676101596</v>
      </c>
      <c r="C47">
        <f t="shared" si="0"/>
        <v>1.3273568563827998E-3</v>
      </c>
      <c r="H47" s="10">
        <v>33970</v>
      </c>
      <c r="I47">
        <v>1.3273568563827998E-3</v>
      </c>
    </row>
    <row r="48" spans="1:9" x14ac:dyDescent="0.35">
      <c r="A48" s="10">
        <v>34335</v>
      </c>
      <c r="B48">
        <v>0.86626672744750899</v>
      </c>
      <c r="C48">
        <f t="shared" si="0"/>
        <v>5.8996919989680874E-3</v>
      </c>
      <c r="H48" s="10">
        <v>34335</v>
      </c>
      <c r="I48">
        <v>5.8996919989680874E-3</v>
      </c>
    </row>
    <row r="49" spans="1:9" x14ac:dyDescent="0.35">
      <c r="A49" s="10">
        <v>34700</v>
      </c>
      <c r="B49">
        <v>0.864629566669464</v>
      </c>
      <c r="C49">
        <f t="shared" si="0"/>
        <v>-1.891691919179872E-3</v>
      </c>
      <c r="H49" s="10">
        <v>34700</v>
      </c>
      <c r="I49">
        <v>-1.891691919179872E-3</v>
      </c>
    </row>
    <row r="50" spans="1:9" x14ac:dyDescent="0.35">
      <c r="A50" s="10">
        <v>35065</v>
      </c>
      <c r="B50">
        <v>0.87230980396270696</v>
      </c>
      <c r="C50">
        <f t="shared" si="0"/>
        <v>8.843472002603131E-3</v>
      </c>
      <c r="H50" s="10">
        <v>35065</v>
      </c>
      <c r="I50">
        <v>8.843472002603131E-3</v>
      </c>
    </row>
    <row r="51" spans="1:9" x14ac:dyDescent="0.35">
      <c r="A51" s="10">
        <v>35431</v>
      </c>
      <c r="B51">
        <v>0.88011521100997903</v>
      </c>
      <c r="C51">
        <f t="shared" si="0"/>
        <v>8.9081799192044231E-3</v>
      </c>
      <c r="H51" s="10">
        <v>35431</v>
      </c>
      <c r="I51">
        <v>8.9081799192044231E-3</v>
      </c>
    </row>
    <row r="52" spans="1:9" x14ac:dyDescent="0.35">
      <c r="A52" s="10">
        <v>35796</v>
      </c>
      <c r="B52">
        <v>0.88878220319747903</v>
      </c>
      <c r="C52">
        <f t="shared" si="0"/>
        <v>9.7993942147565488E-3</v>
      </c>
      <c r="H52" s="10">
        <v>35796</v>
      </c>
      <c r="I52">
        <v>9.7993942147565488E-3</v>
      </c>
    </row>
    <row r="53" spans="1:9" x14ac:dyDescent="0.35">
      <c r="A53" s="10">
        <v>36161</v>
      </c>
      <c r="B53">
        <v>0.90098243951797397</v>
      </c>
      <c r="C53">
        <f t="shared" si="0"/>
        <v>1.3633552707483121E-2</v>
      </c>
      <c r="H53" s="10">
        <v>36161</v>
      </c>
      <c r="I53">
        <v>1.3633552707483121E-2</v>
      </c>
    </row>
    <row r="54" spans="1:9" x14ac:dyDescent="0.35">
      <c r="A54" s="10">
        <v>36526</v>
      </c>
      <c r="B54">
        <v>0.91017621755599898</v>
      </c>
      <c r="C54">
        <f t="shared" si="0"/>
        <v>1.0152459002671144E-2</v>
      </c>
      <c r="H54" s="10">
        <v>36526</v>
      </c>
      <c r="I54">
        <v>1.0152459002671144E-2</v>
      </c>
    </row>
    <row r="55" spans="1:9" x14ac:dyDescent="0.35">
      <c r="A55" s="10">
        <v>36892</v>
      </c>
      <c r="B55">
        <v>0.91184216737747104</v>
      </c>
      <c r="C55">
        <f t="shared" si="0"/>
        <v>1.8286865813274128E-3</v>
      </c>
      <c r="H55" s="10">
        <v>36892</v>
      </c>
      <c r="I55">
        <v>1.8286865813274128E-3</v>
      </c>
    </row>
    <row r="56" spans="1:9" x14ac:dyDescent="0.35">
      <c r="A56" s="10">
        <v>37257</v>
      </c>
      <c r="B56">
        <v>0.92409771680831898</v>
      </c>
      <c r="C56">
        <f t="shared" si="0"/>
        <v>1.3350907160414358E-2</v>
      </c>
      <c r="H56" s="10">
        <v>37257</v>
      </c>
      <c r="I56">
        <v>1.3350907160414358E-2</v>
      </c>
    </row>
    <row r="57" spans="1:9" x14ac:dyDescent="0.35">
      <c r="A57" s="10">
        <v>37622</v>
      </c>
      <c r="B57">
        <v>0.941850125789642</v>
      </c>
      <c r="C57">
        <f t="shared" si="0"/>
        <v>1.9028339612469268E-2</v>
      </c>
      <c r="H57" s="10">
        <v>37622</v>
      </c>
      <c r="I57">
        <v>1.9028339612469268E-2</v>
      </c>
    </row>
    <row r="58" spans="1:9" x14ac:dyDescent="0.35">
      <c r="A58" s="10">
        <v>37987</v>
      </c>
      <c r="B58">
        <v>0.95823287963867099</v>
      </c>
      <c r="C58">
        <f t="shared" si="0"/>
        <v>1.7244678038468249E-2</v>
      </c>
      <c r="H58" s="10">
        <v>37987</v>
      </c>
      <c r="I58">
        <v>1.7244678038468249E-2</v>
      </c>
    </row>
    <row r="59" spans="1:9" x14ac:dyDescent="0.35">
      <c r="A59" s="10">
        <v>38353</v>
      </c>
      <c r="B59">
        <v>0.96873217821121205</v>
      </c>
      <c r="C59">
        <f t="shared" si="0"/>
        <v>1.0897345990529071E-2</v>
      </c>
      <c r="H59" s="10">
        <v>38353</v>
      </c>
      <c r="I59">
        <v>1.0897345990529071E-2</v>
      </c>
    </row>
    <row r="60" spans="1:9" x14ac:dyDescent="0.35">
      <c r="A60" s="10">
        <v>38718</v>
      </c>
      <c r="B60">
        <v>0.96931028366088801</v>
      </c>
      <c r="C60">
        <f t="shared" si="0"/>
        <v>5.9658699764910186E-4</v>
      </c>
      <c r="H60" s="10">
        <v>38718</v>
      </c>
      <c r="I60">
        <v>5.9658699764910186E-4</v>
      </c>
    </row>
    <row r="61" spans="1:9" x14ac:dyDescent="0.35">
      <c r="A61" s="10">
        <v>39083</v>
      </c>
      <c r="B61">
        <v>0.96743232011795</v>
      </c>
      <c r="C61">
        <f t="shared" si="0"/>
        <v>-1.9393017201582326E-3</v>
      </c>
      <c r="H61" s="10">
        <v>39083</v>
      </c>
      <c r="I61">
        <v>-1.9393017201582326E-3</v>
      </c>
    </row>
    <row r="62" spans="1:9" x14ac:dyDescent="0.35">
      <c r="A62" s="10">
        <v>39448</v>
      </c>
      <c r="B62">
        <v>0.96109652519225997</v>
      </c>
      <c r="C62">
        <f t="shared" si="0"/>
        <v>-6.5706227166173886E-3</v>
      </c>
      <c r="H62" s="10">
        <v>39448</v>
      </c>
      <c r="I62">
        <v>-6.5706227166173886E-3</v>
      </c>
    </row>
    <row r="63" spans="1:9" x14ac:dyDescent="0.35">
      <c r="A63" s="10">
        <v>39814</v>
      </c>
      <c r="B63">
        <v>0.96138763427734297</v>
      </c>
      <c r="C63">
        <f t="shared" si="0"/>
        <v>3.0284679941215004E-4</v>
      </c>
      <c r="H63" s="10">
        <v>39814</v>
      </c>
      <c r="I63">
        <v>3.0284679941215004E-4</v>
      </c>
    </row>
    <row r="64" spans="1:9" x14ac:dyDescent="0.35">
      <c r="A64" s="10">
        <v>40179</v>
      </c>
      <c r="B64">
        <v>0.97715657949447599</v>
      </c>
      <c r="C64">
        <f t="shared" si="0"/>
        <v>1.6269211631555192E-2</v>
      </c>
      <c r="H64" s="10">
        <v>40179</v>
      </c>
      <c r="I64">
        <v>1.6269211631555192E-2</v>
      </c>
    </row>
    <row r="65" spans="1:9" x14ac:dyDescent="0.35">
      <c r="A65" s="10">
        <v>40544</v>
      </c>
      <c r="B65">
        <v>0.97521114349365201</v>
      </c>
      <c r="C65">
        <f t="shared" si="0"/>
        <v>-1.9928998229175182E-3</v>
      </c>
      <c r="H65" s="10">
        <v>40544</v>
      </c>
      <c r="I65">
        <v>-1.9928998229175182E-3</v>
      </c>
    </row>
    <row r="66" spans="1:9" x14ac:dyDescent="0.35">
      <c r="A66" s="10">
        <v>40909</v>
      </c>
      <c r="B66">
        <v>0.97766196727752597</v>
      </c>
      <c r="C66">
        <f t="shared" si="0"/>
        <v>2.5099685760706682E-3</v>
      </c>
      <c r="H66" s="10">
        <v>40909</v>
      </c>
      <c r="I66">
        <v>2.5099685760706682E-3</v>
      </c>
    </row>
    <row r="67" spans="1:9" x14ac:dyDescent="0.35">
      <c r="A67" s="10">
        <v>41275</v>
      </c>
      <c r="B67">
        <v>0.97949135303497303</v>
      </c>
      <c r="C67">
        <f t="shared" si="0"/>
        <v>1.869435849748944E-3</v>
      </c>
      <c r="H67" s="10">
        <v>41275</v>
      </c>
      <c r="I67">
        <v>1.869435849748944E-3</v>
      </c>
    </row>
    <row r="68" spans="1:9" x14ac:dyDescent="0.35">
      <c r="A68" s="10">
        <v>41640</v>
      </c>
      <c r="B68">
        <v>0.98405128717422397</v>
      </c>
      <c r="C68">
        <f t="shared" si="0"/>
        <v>4.6446073981335732E-3</v>
      </c>
      <c r="H68" s="10">
        <v>41640</v>
      </c>
      <c r="I68">
        <v>4.6446073981335732E-3</v>
      </c>
    </row>
    <row r="69" spans="1:9" x14ac:dyDescent="0.35">
      <c r="A69" s="10">
        <v>42005</v>
      </c>
      <c r="B69">
        <v>0.99289274215698198</v>
      </c>
      <c r="C69">
        <f t="shared" si="0"/>
        <v>8.9446274646328844E-3</v>
      </c>
      <c r="H69" s="10">
        <v>42005</v>
      </c>
      <c r="I69">
        <v>8.9446274646328844E-3</v>
      </c>
    </row>
    <row r="70" spans="1:9" x14ac:dyDescent="0.35">
      <c r="A70" s="10">
        <v>42370</v>
      </c>
      <c r="B70">
        <v>0.99372363090515103</v>
      </c>
      <c r="C70">
        <f t="shared" si="0"/>
        <v>8.3648640762658787E-4</v>
      </c>
      <c r="H70" s="10">
        <v>42370</v>
      </c>
      <c r="I70">
        <v>8.3648640762658787E-4</v>
      </c>
    </row>
    <row r="71" spans="1:9" x14ac:dyDescent="0.35">
      <c r="A71" s="10">
        <v>42736</v>
      </c>
      <c r="B71">
        <v>1</v>
      </c>
      <c r="C71">
        <f t="shared" si="0"/>
        <v>6.2961483038658931E-3</v>
      </c>
      <c r="H71" s="10">
        <v>42736</v>
      </c>
      <c r="I71">
        <v>6.2961483038658931E-3</v>
      </c>
    </row>
    <row r="72" spans="1:9" x14ac:dyDescent="0.35">
      <c r="A72" s="10">
        <v>43101</v>
      </c>
      <c r="B72">
        <v>1.0081659555435101</v>
      </c>
      <c r="C72">
        <f t="shared" si="0"/>
        <v>8.1327945337788324E-3</v>
      </c>
      <c r="H72" s="10">
        <v>43101</v>
      </c>
      <c r="I72">
        <v>8.1327945337788324E-3</v>
      </c>
    </row>
    <row r="73" spans="1:9" x14ac:dyDescent="0.35">
      <c r="A73" s="10">
        <v>43466</v>
      </c>
      <c r="B73">
        <v>1.01679623126983</v>
      </c>
      <c r="C73">
        <f t="shared" si="0"/>
        <v>8.5239398908445799E-3</v>
      </c>
      <c r="H73" s="10">
        <v>43466</v>
      </c>
      <c r="I73">
        <v>8.5239398908445799E-3</v>
      </c>
    </row>
    <row r="74" spans="1:9" x14ac:dyDescent="0.35">
      <c r="C74">
        <f>AVERAGE(C9:C73)</f>
        <v>6.8494033230499301E-3</v>
      </c>
      <c r="I74">
        <v>6.8494033230499301E-3</v>
      </c>
    </row>
    <row r="75" spans="1:9" x14ac:dyDescent="0.35">
      <c r="C75">
        <f>STDEV(C9:C73)</f>
        <v>1.077461652558916E-2</v>
      </c>
      <c r="I75">
        <v>1.077461652558916E-2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57F6-ACD8-4E7D-9AA2-1E1C5DB35CDA}">
  <dimension ref="A1:T114"/>
  <sheetViews>
    <sheetView topLeftCell="A92" workbookViewId="0">
      <selection activeCell="F114" sqref="F114"/>
    </sheetView>
  </sheetViews>
  <sheetFormatPr defaultRowHeight="13.9" x14ac:dyDescent="0.4"/>
  <cols>
    <col min="1" max="1" width="19.86328125" customWidth="1"/>
    <col min="2" max="2" width="16.1328125" customWidth="1"/>
    <col min="3" max="3" width="11.265625" customWidth="1"/>
    <col min="19" max="19" width="6.73046875" style="6" customWidth="1"/>
  </cols>
  <sheetData>
    <row r="1" spans="1:20" x14ac:dyDescent="0.4">
      <c r="A1" t="s">
        <v>54</v>
      </c>
      <c r="T1" t="s">
        <v>82</v>
      </c>
    </row>
    <row r="2" spans="1:20" ht="12.75" x14ac:dyDescent="0.35">
      <c r="A2" t="s">
        <v>0</v>
      </c>
      <c r="E2" t="s">
        <v>10</v>
      </c>
      <c r="F2" t="s">
        <v>4</v>
      </c>
      <c r="G2" t="s">
        <v>5</v>
      </c>
      <c r="H2" t="s">
        <v>59</v>
      </c>
      <c r="I2" t="s">
        <v>67</v>
      </c>
      <c r="J2" t="s">
        <v>7</v>
      </c>
      <c r="K2" t="s">
        <v>38</v>
      </c>
      <c r="L2" t="s">
        <v>8</v>
      </c>
      <c r="M2" t="s">
        <v>47</v>
      </c>
      <c r="N2" t="s">
        <v>53</v>
      </c>
      <c r="O2" t="s">
        <v>48</v>
      </c>
      <c r="P2" t="s">
        <v>35</v>
      </c>
      <c r="Q2" t="s">
        <v>36</v>
      </c>
      <c r="R2" t="s">
        <v>37</v>
      </c>
      <c r="S2" t="s">
        <v>81</v>
      </c>
      <c r="T2" t="s">
        <v>35</v>
      </c>
    </row>
    <row r="3" spans="1:20" ht="14.25" x14ac:dyDescent="0.45">
      <c r="A3" t="s">
        <v>11</v>
      </c>
      <c r="B3" t="s">
        <v>18</v>
      </c>
      <c r="E3">
        <v>0</v>
      </c>
      <c r="F3">
        <f>(Theta*Beta0_0)/Beta1+m_0-(Psi+Theta/Beta1)*ypot_0</f>
        <v>0.99999999999998579</v>
      </c>
      <c r="G3">
        <f>ypot_0</f>
        <v>2000</v>
      </c>
      <c r="H3">
        <f>$C$19*R3</f>
        <v>2000</v>
      </c>
      <c r="I3">
        <f>LN(G3/H3)</f>
        <v>0</v>
      </c>
      <c r="J3">
        <f>Beta0_0-Beta1*(L3-M3)</f>
        <v>2000</v>
      </c>
      <c r="K3">
        <f t="shared" ref="K3:K34" si="0">F3*($B$11*G3-$B$12*M3)</f>
        <v>999.99999999998579</v>
      </c>
      <c r="L3">
        <f>2</f>
        <v>2</v>
      </c>
      <c r="M3">
        <f t="shared" ref="M3:M34" si="1">Mi*I3</f>
        <v>0</v>
      </c>
      <c r="N3">
        <f>L3-M3</f>
        <v>2</v>
      </c>
      <c r="O3">
        <f t="shared" ref="O3:O34" si="2">Ni*(J3-G3)</f>
        <v>0</v>
      </c>
      <c r="P3">
        <v>0</v>
      </c>
      <c r="Q3">
        <v>0</v>
      </c>
      <c r="R3">
        <v>1</v>
      </c>
      <c r="S3" s="7">
        <v>0</v>
      </c>
      <c r="T3">
        <v>0</v>
      </c>
    </row>
    <row r="4" spans="1:20" ht="14.25" x14ac:dyDescent="0.45">
      <c r="A4" t="s">
        <v>12</v>
      </c>
      <c r="B4" t="s">
        <v>16</v>
      </c>
      <c r="E4">
        <v>1</v>
      </c>
      <c r="F4">
        <f t="shared" ref="F4:F35" si="3">F3+M3</f>
        <v>0.99999999999998579</v>
      </c>
      <c r="G4">
        <f t="shared" ref="G4:G35" si="4">G3+O3</f>
        <v>2000</v>
      </c>
      <c r="H4">
        <f t="shared" ref="H4:H67" si="5">$C$19*R4</f>
        <v>2000</v>
      </c>
      <c r="I4">
        <f t="shared" ref="I4:I67" si="6">LN(G4/H4)</f>
        <v>0</v>
      </c>
      <c r="J4">
        <f t="shared" ref="J4:J67" si="7">Beta0_1-Beta1*(L4-M4)</f>
        <v>2000</v>
      </c>
      <c r="K4">
        <f t="shared" si="0"/>
        <v>999.99999999998579</v>
      </c>
      <c r="L4">
        <f>2</f>
        <v>2</v>
      </c>
      <c r="M4">
        <f t="shared" si="1"/>
        <v>0</v>
      </c>
      <c r="N4">
        <f t="shared" ref="N4:N67" si="8">L4-M4</f>
        <v>2</v>
      </c>
      <c r="O4">
        <f t="shared" si="2"/>
        <v>0</v>
      </c>
      <c r="P4">
        <f>'Fixing Money'!P4</f>
        <v>0</v>
      </c>
      <c r="Q4">
        <f>$C$33*Q3+T4</f>
        <v>0</v>
      </c>
      <c r="R4">
        <f>EXP(Q4)</f>
        <v>1</v>
      </c>
      <c r="S4" s="7">
        <f>L4-L3</f>
        <v>0</v>
      </c>
      <c r="T4">
        <v>0</v>
      </c>
    </row>
    <row r="5" spans="1:20" ht="14.25" x14ac:dyDescent="0.45">
      <c r="A5" t="s">
        <v>13</v>
      </c>
      <c r="B5" t="s">
        <v>17</v>
      </c>
      <c r="E5">
        <v>2</v>
      </c>
      <c r="F5">
        <f t="shared" si="3"/>
        <v>0.99999999999998579</v>
      </c>
      <c r="G5">
        <f t="shared" si="4"/>
        <v>2000</v>
      </c>
      <c r="H5">
        <f t="shared" si="5"/>
        <v>1918.1403221292778</v>
      </c>
      <c r="I5">
        <f t="shared" si="6"/>
        <v>4.1791046123464765E-2</v>
      </c>
      <c r="J5">
        <f t="shared" si="7"/>
        <v>2000.2089552306172</v>
      </c>
      <c r="K5">
        <f t="shared" si="0"/>
        <v>999.79104476936845</v>
      </c>
      <c r="L5">
        <f>2</f>
        <v>2</v>
      </c>
      <c r="M5">
        <f t="shared" si="1"/>
        <v>4.1791046123464768E-3</v>
      </c>
      <c r="N5">
        <f t="shared" si="8"/>
        <v>1.9958208953876535</v>
      </c>
      <c r="O5">
        <f t="shared" si="2"/>
        <v>2.0895523061722088E-2</v>
      </c>
      <c r="P5">
        <f ca="1">'Fixing Money'!P5</f>
        <v>-3.2427153213624313E-2</v>
      </c>
      <c r="Q5">
        <f t="shared" ref="Q5:Q68" si="9">$C$33*Q4+T5</f>
        <v>-4.1791046123464744E-2</v>
      </c>
      <c r="R5">
        <f t="shared" ref="R5:R68" si="10">EXP(Q5)</f>
        <v>0.95907016106463894</v>
      </c>
      <c r="S5" s="7">
        <f t="shared" ref="S5:S68" si="11">L5-L4</f>
        <v>0</v>
      </c>
      <c r="T5">
        <v>-4.1791046123464744E-2</v>
      </c>
    </row>
    <row r="6" spans="1:20" ht="14.25" x14ac:dyDescent="0.45">
      <c r="A6" t="s">
        <v>14</v>
      </c>
      <c r="E6">
        <v>3</v>
      </c>
      <c r="F6">
        <f t="shared" si="3"/>
        <v>1.0041791046123323</v>
      </c>
      <c r="G6">
        <f t="shared" si="4"/>
        <v>2000.0208955230617</v>
      </c>
      <c r="H6">
        <f t="shared" si="5"/>
        <v>1915.0046674220559</v>
      </c>
      <c r="I6">
        <f t="shared" si="6"/>
        <v>4.3437568341146759E-2</v>
      </c>
      <c r="J6">
        <f t="shared" si="7"/>
        <v>2000.2171878417057</v>
      </c>
      <c r="K6">
        <f t="shared" si="0"/>
        <v>1003.9715005437348</v>
      </c>
      <c r="L6">
        <f>2</f>
        <v>2</v>
      </c>
      <c r="M6">
        <f t="shared" si="1"/>
        <v>4.3437568341146765E-3</v>
      </c>
      <c r="N6">
        <f t="shared" si="8"/>
        <v>1.9956562431658853</v>
      </c>
      <c r="O6">
        <f t="shared" si="2"/>
        <v>1.9629231864405485E-2</v>
      </c>
      <c r="P6">
        <f ca="1">'Fixing Money'!P6</f>
        <v>6.3067808893280272E-2</v>
      </c>
      <c r="Q6">
        <f t="shared" si="9"/>
        <v>-4.3427120634193364E-2</v>
      </c>
      <c r="R6">
        <f t="shared" si="10"/>
        <v>0.957502333711028</v>
      </c>
      <c r="S6" s="7">
        <f t="shared" si="11"/>
        <v>0</v>
      </c>
      <c r="T6">
        <v>-3.7256268169018622E-3</v>
      </c>
    </row>
    <row r="7" spans="1:20" ht="14.25" x14ac:dyDescent="0.45">
      <c r="A7" t="s">
        <v>15</v>
      </c>
      <c r="E7">
        <v>4</v>
      </c>
      <c r="F7">
        <f t="shared" si="3"/>
        <v>1.008522861446447</v>
      </c>
      <c r="G7">
        <f t="shared" si="4"/>
        <v>2000.0405247549261</v>
      </c>
      <c r="H7">
        <f t="shared" si="5"/>
        <v>1861.9895631415091</v>
      </c>
      <c r="I7">
        <f t="shared" si="6"/>
        <v>7.1521869080122466E-2</v>
      </c>
      <c r="J7">
        <f t="shared" si="7"/>
        <v>2000.3576093454005</v>
      </c>
      <c r="K7">
        <f t="shared" si="0"/>
        <v>1008.1826393170422</v>
      </c>
      <c r="L7">
        <f>2</f>
        <v>2</v>
      </c>
      <c r="M7">
        <f t="shared" si="1"/>
        <v>7.1521869080122466E-3</v>
      </c>
      <c r="N7">
        <f t="shared" si="8"/>
        <v>1.9928478130919878</v>
      </c>
      <c r="O7">
        <f t="shared" si="2"/>
        <v>3.1708459047445105E-2</v>
      </c>
      <c r="P7">
        <f ca="1">'Fixing Money'!P7</f>
        <v>0.17506393755008656</v>
      </c>
      <c r="Q7">
        <f t="shared" si="9"/>
        <v>-7.1501606907938595E-2</v>
      </c>
      <c r="R7">
        <f t="shared" si="10"/>
        <v>0.93099478157075455</v>
      </c>
      <c r="S7" s="7">
        <f t="shared" si="11"/>
        <v>0</v>
      </c>
      <c r="T7">
        <v>-3.0245842305454903E-2</v>
      </c>
    </row>
    <row r="8" spans="1:20" ht="14.25" x14ac:dyDescent="0.45">
      <c r="E8">
        <v>5</v>
      </c>
      <c r="F8">
        <f t="shared" si="3"/>
        <v>1.0156750483544592</v>
      </c>
      <c r="G8">
        <f t="shared" si="4"/>
        <v>2000.0722332139735</v>
      </c>
      <c r="H8">
        <f t="shared" si="5"/>
        <v>1899.5451103028913</v>
      </c>
      <c r="I8">
        <f t="shared" si="6"/>
        <v>5.1568854636902688E-2</v>
      </c>
      <c r="J8">
        <f t="shared" si="7"/>
        <v>2000.2578442731844</v>
      </c>
      <c r="K8">
        <f t="shared" si="0"/>
        <v>1015.4498450963722</v>
      </c>
      <c r="L8">
        <f>2</f>
        <v>2</v>
      </c>
      <c r="M8">
        <f t="shared" si="1"/>
        <v>5.1568854636902693E-3</v>
      </c>
      <c r="N8">
        <f t="shared" si="8"/>
        <v>1.9948431145363097</v>
      </c>
      <c r="O8">
        <f t="shared" si="2"/>
        <v>1.8561105921094168E-2</v>
      </c>
      <c r="P8">
        <f ca="1">'Fixing Money'!P8</f>
        <v>-1.5373144961980416E-2</v>
      </c>
      <c r="Q8">
        <f t="shared" si="9"/>
        <v>-5.153273868210493E-2</v>
      </c>
      <c r="R8">
        <f t="shared" si="10"/>
        <v>0.94977255515144565</v>
      </c>
      <c r="S8" s="7">
        <f t="shared" si="11"/>
        <v>0</v>
      </c>
      <c r="T8">
        <v>1.6393787880436737E-2</v>
      </c>
    </row>
    <row r="9" spans="1:20" ht="14.25" x14ac:dyDescent="0.45">
      <c r="A9" t="s">
        <v>19</v>
      </c>
      <c r="E9">
        <v>6</v>
      </c>
      <c r="F9">
        <f t="shared" si="3"/>
        <v>1.0208319338181495</v>
      </c>
      <c r="G9">
        <f t="shared" si="4"/>
        <v>2000.0907943198945</v>
      </c>
      <c r="H9">
        <f t="shared" si="5"/>
        <v>1837.9078407149632</v>
      </c>
      <c r="I9">
        <f t="shared" si="6"/>
        <v>8.456469508219977E-2</v>
      </c>
      <c r="J9">
        <f t="shared" si="7"/>
        <v>2000.422823475411</v>
      </c>
      <c r="K9">
        <f t="shared" si="0"/>
        <v>1020.4466449826608</v>
      </c>
      <c r="L9">
        <f>2</f>
        <v>2</v>
      </c>
      <c r="M9">
        <f t="shared" si="1"/>
        <v>8.4564695082199777E-3</v>
      </c>
      <c r="N9">
        <f t="shared" si="8"/>
        <v>1.9915435304917801</v>
      </c>
      <c r="O9">
        <f t="shared" si="2"/>
        <v>3.3202915551646582E-2</v>
      </c>
      <c r="P9">
        <f ca="1">'Fixing Money'!P9</f>
        <v>-3.9132544927021985E-2</v>
      </c>
      <c r="Q9">
        <f t="shared" si="9"/>
        <v>-8.4519298952672378E-2</v>
      </c>
      <c r="R9">
        <f t="shared" si="10"/>
        <v>0.91895392035748158</v>
      </c>
      <c r="S9" s="7">
        <f t="shared" si="11"/>
        <v>0</v>
      </c>
      <c r="T9">
        <v>-3.5563197204672707E-2</v>
      </c>
    </row>
    <row r="10" spans="1:20" ht="14.25" x14ac:dyDescent="0.45">
      <c r="A10" t="s">
        <v>1</v>
      </c>
      <c r="B10">
        <v>0.05</v>
      </c>
      <c r="E10">
        <v>7</v>
      </c>
      <c r="F10">
        <f t="shared" si="3"/>
        <v>1.0292884033263694</v>
      </c>
      <c r="G10">
        <f t="shared" si="4"/>
        <v>2000.123997235446</v>
      </c>
      <c r="H10">
        <f t="shared" si="5"/>
        <v>1910.5672076548601</v>
      </c>
      <c r="I10">
        <f t="shared" si="6"/>
        <v>4.5809011924807616E-2</v>
      </c>
      <c r="J10">
        <f t="shared" si="7"/>
        <v>2000.229045059624</v>
      </c>
      <c r="K10">
        <f t="shared" si="0"/>
        <v>1029.1164643609038</v>
      </c>
      <c r="L10">
        <f>2</f>
        <v>2</v>
      </c>
      <c r="M10">
        <f t="shared" si="1"/>
        <v>4.5809011924807614E-3</v>
      </c>
      <c r="N10">
        <f t="shared" si="8"/>
        <v>1.9954190988075193</v>
      </c>
      <c r="O10">
        <f t="shared" si="2"/>
        <v>1.0504782417797287E-2</v>
      </c>
      <c r="P10">
        <f ca="1">'Fixing Money'!P10</f>
        <v>-6.3226408607765343E-3</v>
      </c>
      <c r="Q10">
        <f t="shared" si="9"/>
        <v>-4.5747015228919503E-2</v>
      </c>
      <c r="R10">
        <f t="shared" si="10"/>
        <v>0.95528360382743005</v>
      </c>
      <c r="S10" s="7">
        <f t="shared" si="11"/>
        <v>0</v>
      </c>
      <c r="T10">
        <v>3.4546318776119252E-2</v>
      </c>
    </row>
    <row r="11" spans="1:20" ht="14.25" x14ac:dyDescent="0.45">
      <c r="A11" t="s">
        <v>2</v>
      </c>
      <c r="B11">
        <v>0.5</v>
      </c>
      <c r="E11">
        <v>8</v>
      </c>
      <c r="F11">
        <f t="shared" si="3"/>
        <v>1.0338693045188501</v>
      </c>
      <c r="G11">
        <f t="shared" si="4"/>
        <v>2000.1345020178637</v>
      </c>
      <c r="H11">
        <f t="shared" si="5"/>
        <v>2062.3792562101539</v>
      </c>
      <c r="I11">
        <f t="shared" si="6"/>
        <v>-3.0645865761832106E-2</v>
      </c>
      <c r="J11">
        <f t="shared" si="7"/>
        <v>1999.8467706711908</v>
      </c>
      <c r="K11">
        <f t="shared" si="0"/>
        <v>1034.0972523722905</v>
      </c>
      <c r="L11">
        <f>2</f>
        <v>2</v>
      </c>
      <c r="M11">
        <f t="shared" si="1"/>
        <v>-3.0645865761832107E-3</v>
      </c>
      <c r="N11">
        <f t="shared" si="8"/>
        <v>2.0030645865761834</v>
      </c>
      <c r="O11">
        <f t="shared" si="2"/>
        <v>-2.8773134667289924E-2</v>
      </c>
      <c r="P11">
        <f ca="1">'Fixing Money'!P11</f>
        <v>-2.2154893485448687E-2</v>
      </c>
      <c r="Q11">
        <f t="shared" si="9"/>
        <v>3.0713114509516234E-2</v>
      </c>
      <c r="R11">
        <f t="shared" si="10"/>
        <v>1.031189628105077</v>
      </c>
      <c r="S11" s="7">
        <f t="shared" si="11"/>
        <v>0</v>
      </c>
      <c r="T11">
        <v>7.4172778976989762E-2</v>
      </c>
    </row>
    <row r="12" spans="1:20" ht="14.25" x14ac:dyDescent="0.45">
      <c r="A12" t="s">
        <v>3</v>
      </c>
      <c r="B12">
        <v>50</v>
      </c>
      <c r="C12" t="s">
        <v>0</v>
      </c>
      <c r="E12">
        <v>9</v>
      </c>
      <c r="F12">
        <f t="shared" si="3"/>
        <v>1.0308047179426669</v>
      </c>
      <c r="G12">
        <f t="shared" si="4"/>
        <v>2000.1057288831964</v>
      </c>
      <c r="H12">
        <f t="shared" si="5"/>
        <v>2140.8542480146371</v>
      </c>
      <c r="I12">
        <f t="shared" si="6"/>
        <v>-6.8004887093077879E-2</v>
      </c>
      <c r="J12">
        <f t="shared" si="7"/>
        <v>1999.6599755645345</v>
      </c>
      <c r="K12">
        <f t="shared" si="0"/>
        <v>1031.2097096507712</v>
      </c>
      <c r="L12">
        <f>2</f>
        <v>2</v>
      </c>
      <c r="M12">
        <f t="shared" si="1"/>
        <v>-6.8004887093077882E-3</v>
      </c>
      <c r="N12">
        <f t="shared" si="8"/>
        <v>2.0068004887093078</v>
      </c>
      <c r="O12">
        <f t="shared" si="2"/>
        <v>-4.4575331866190032E-2</v>
      </c>
      <c r="P12">
        <f ca="1">'Fixing Money'!P12</f>
        <v>5.8675603748081173E-2</v>
      </c>
      <c r="Q12">
        <f t="shared" si="9"/>
        <v>6.805775013740066E-2</v>
      </c>
      <c r="R12">
        <f t="shared" si="10"/>
        <v>1.0704271240073184</v>
      </c>
      <c r="S12" s="7">
        <f t="shared" si="11"/>
        <v>0</v>
      </c>
      <c r="T12">
        <v>3.8880291353360241E-2</v>
      </c>
    </row>
    <row r="13" spans="1:20" ht="14.25" x14ac:dyDescent="0.45">
      <c r="A13" t="s">
        <v>9</v>
      </c>
      <c r="B13">
        <v>0.1</v>
      </c>
      <c r="E13">
        <v>10</v>
      </c>
      <c r="F13">
        <f t="shared" si="3"/>
        <v>1.0240042292333591</v>
      </c>
      <c r="G13">
        <f t="shared" si="4"/>
        <v>2000.0611535513303</v>
      </c>
      <c r="H13">
        <f t="shared" si="5"/>
        <v>2034.0883824094115</v>
      </c>
      <c r="I13">
        <f t="shared" si="6"/>
        <v>-1.6869992326186398E-2</v>
      </c>
      <c r="J13">
        <f t="shared" si="7"/>
        <v>1999.915650038369</v>
      </c>
      <c r="K13">
        <f t="shared" si="0"/>
        <v>1024.1219146984022</v>
      </c>
      <c r="L13">
        <f>2</f>
        <v>2</v>
      </c>
      <c r="M13">
        <f t="shared" si="1"/>
        <v>-1.6869992326186399E-3</v>
      </c>
      <c r="N13">
        <f t="shared" si="8"/>
        <v>2.0016869992326187</v>
      </c>
      <c r="O13">
        <f t="shared" si="2"/>
        <v>-1.4550351296134068E-2</v>
      </c>
      <c r="P13">
        <f ca="1">'Fixing Money'!P13</f>
        <v>0.11716060657818801</v>
      </c>
      <c r="Q13">
        <f t="shared" si="9"/>
        <v>1.6900568634391419E-2</v>
      </c>
      <c r="R13">
        <f t="shared" si="10"/>
        <v>1.0170441912047057</v>
      </c>
      <c r="S13" s="7">
        <f t="shared" si="11"/>
        <v>0</v>
      </c>
      <c r="T13">
        <v>-4.7754293996139202E-2</v>
      </c>
    </row>
    <row r="14" spans="1:20" ht="14.25" x14ac:dyDescent="0.45">
      <c r="A14" t="s">
        <v>6</v>
      </c>
      <c r="B14">
        <v>0.1</v>
      </c>
      <c r="E14">
        <v>11</v>
      </c>
      <c r="F14">
        <f t="shared" si="3"/>
        <v>1.0223172300007404</v>
      </c>
      <c r="G14">
        <f t="shared" si="4"/>
        <v>2000.0466032000343</v>
      </c>
      <c r="H14">
        <f t="shared" si="5"/>
        <v>1914.7579629434629</v>
      </c>
      <c r="I14">
        <f t="shared" si="6"/>
        <v>4.3579257351630075E-2</v>
      </c>
      <c r="J14">
        <f t="shared" si="7"/>
        <v>2000.2178962867581</v>
      </c>
      <c r="K14">
        <f t="shared" si="0"/>
        <v>1022.1182924996185</v>
      </c>
      <c r="L14">
        <f>2</f>
        <v>2</v>
      </c>
      <c r="M14">
        <f t="shared" si="1"/>
        <v>4.3579257351630081E-3</v>
      </c>
      <c r="N14">
        <f t="shared" si="8"/>
        <v>1.9956420742648371</v>
      </c>
      <c r="O14">
        <f t="shared" si="2"/>
        <v>1.7129308672383558E-2</v>
      </c>
      <c r="P14">
        <f ca="1">'Fixing Money'!P14</f>
        <v>4.0820445036267923E-2</v>
      </c>
      <c r="Q14">
        <f t="shared" si="9"/>
        <v>-4.3555956023091078E-2</v>
      </c>
      <c r="R14">
        <f t="shared" si="10"/>
        <v>0.95737898147173139</v>
      </c>
      <c r="S14" s="7">
        <f t="shared" si="11"/>
        <v>0</v>
      </c>
      <c r="T14">
        <v>-5.9611496225762922E-2</v>
      </c>
    </row>
    <row r="15" spans="1:20" ht="14.25" x14ac:dyDescent="0.45">
      <c r="C15" t="s">
        <v>0</v>
      </c>
      <c r="E15">
        <v>12</v>
      </c>
      <c r="F15">
        <f t="shared" si="3"/>
        <v>1.0266751557359033</v>
      </c>
      <c r="G15">
        <f t="shared" si="4"/>
        <v>2000.0637325087066</v>
      </c>
      <c r="H15">
        <f t="shared" si="5"/>
        <v>1792.6735128840421</v>
      </c>
      <c r="I15">
        <f t="shared" si="6"/>
        <v>0.10947095812227006</v>
      </c>
      <c r="J15">
        <f t="shared" si="7"/>
        <v>2000.5473547906113</v>
      </c>
      <c r="K15">
        <f t="shared" si="0"/>
        <v>1026.1459164626604</v>
      </c>
      <c r="L15">
        <f>2</f>
        <v>2</v>
      </c>
      <c r="M15">
        <f t="shared" si="1"/>
        <v>1.0947095812227007E-2</v>
      </c>
      <c r="N15">
        <f t="shared" si="8"/>
        <v>1.9890529041877729</v>
      </c>
      <c r="O15">
        <f t="shared" si="2"/>
        <v>4.8362228190467253E-2</v>
      </c>
      <c r="P15">
        <f ca="1">'Fixing Money'!P15</f>
        <v>6.5941602703341803E-2</v>
      </c>
      <c r="Q15">
        <f t="shared" si="9"/>
        <v>-0.10943909237563498</v>
      </c>
      <c r="R15">
        <f t="shared" si="10"/>
        <v>0.89633675644202104</v>
      </c>
      <c r="S15" s="7">
        <f t="shared" si="11"/>
        <v>0</v>
      </c>
      <c r="T15">
        <v>-6.806093415369846E-2</v>
      </c>
    </row>
    <row r="16" spans="1:20" ht="14.25" x14ac:dyDescent="0.45">
      <c r="A16" t="s">
        <v>20</v>
      </c>
      <c r="B16" t="s">
        <v>21</v>
      </c>
      <c r="C16" t="s">
        <v>22</v>
      </c>
      <c r="E16">
        <v>13</v>
      </c>
      <c r="F16">
        <f t="shared" si="3"/>
        <v>1.0376222515481304</v>
      </c>
      <c r="G16">
        <f t="shared" si="4"/>
        <v>2000.112094736897</v>
      </c>
      <c r="H16">
        <f t="shared" si="5"/>
        <v>1960.9370782284011</v>
      </c>
      <c r="I16">
        <f t="shared" si="6"/>
        <v>1.9780766232366975E-2</v>
      </c>
      <c r="J16">
        <f t="shared" si="7"/>
        <v>2000.0989038311618</v>
      </c>
      <c r="K16">
        <f t="shared" si="0"/>
        <v>1037.5777827287964</v>
      </c>
      <c r="L16">
        <f>2</f>
        <v>2</v>
      </c>
      <c r="M16">
        <f t="shared" si="1"/>
        <v>1.9780766232366975E-3</v>
      </c>
      <c r="N16">
        <f t="shared" si="8"/>
        <v>1.9980219233767633</v>
      </c>
      <c r="O16">
        <f t="shared" si="2"/>
        <v>-1.3190905735200433E-3</v>
      </c>
      <c r="P16">
        <f ca="1">'Fixing Money'!P16</f>
        <v>-8.5539969644031294E-2</v>
      </c>
      <c r="Q16">
        <f t="shared" si="9"/>
        <v>-1.9724720434513524E-2</v>
      </c>
      <c r="R16">
        <f t="shared" si="10"/>
        <v>0.98046853911420051</v>
      </c>
      <c r="S16" s="7">
        <f t="shared" si="11"/>
        <v>0</v>
      </c>
      <c r="T16">
        <v>8.424241732233971E-2</v>
      </c>
    </row>
    <row r="17" spans="1:20" ht="14.25" x14ac:dyDescent="0.45">
      <c r="A17" t="s">
        <v>23</v>
      </c>
      <c r="B17">
        <v>100</v>
      </c>
      <c r="C17">
        <v>100</v>
      </c>
      <c r="E17">
        <v>14</v>
      </c>
      <c r="F17">
        <f t="shared" si="3"/>
        <v>1.039600328171367</v>
      </c>
      <c r="G17">
        <f t="shared" si="4"/>
        <v>2000.1107756463234</v>
      </c>
      <c r="H17">
        <f t="shared" si="5"/>
        <v>1804.0115926951191</v>
      </c>
      <c r="I17">
        <f t="shared" si="6"/>
        <v>0.10318971912353167</v>
      </c>
      <c r="J17">
        <f t="shared" si="7"/>
        <v>2000.5159485956176</v>
      </c>
      <c r="K17">
        <f t="shared" si="0"/>
        <v>1039.121529041179</v>
      </c>
      <c r="L17">
        <f>2</f>
        <v>2</v>
      </c>
      <c r="M17">
        <f t="shared" si="1"/>
        <v>1.0318971912353168E-2</v>
      </c>
      <c r="N17">
        <f t="shared" si="8"/>
        <v>1.9896810280876469</v>
      </c>
      <c r="O17">
        <f t="shared" si="2"/>
        <v>4.0517294929418315E-2</v>
      </c>
      <c r="P17">
        <f ca="1">'Fixing Money'!P17</f>
        <v>-2.5298067749105937E-2</v>
      </c>
      <c r="Q17">
        <f t="shared" si="9"/>
        <v>-0.10313433283421884</v>
      </c>
      <c r="R17">
        <f t="shared" si="10"/>
        <v>0.90200579634755962</v>
      </c>
      <c r="S17" s="7">
        <f t="shared" si="11"/>
        <v>0</v>
      </c>
      <c r="T17">
        <v>-8.4395848421430997E-2</v>
      </c>
    </row>
    <row r="18" spans="1:20" ht="14.25" x14ac:dyDescent="0.45">
      <c r="A18" t="s">
        <v>24</v>
      </c>
      <c r="B18">
        <v>2100</v>
      </c>
      <c r="C18">
        <v>2100</v>
      </c>
      <c r="E18">
        <v>15</v>
      </c>
      <c r="F18">
        <f t="shared" si="3"/>
        <v>1.0499193000837201</v>
      </c>
      <c r="G18">
        <f t="shared" si="4"/>
        <v>2000.1512929412529</v>
      </c>
      <c r="H18">
        <f t="shared" si="5"/>
        <v>1776.9211177607363</v>
      </c>
      <c r="I18">
        <f t="shared" si="6"/>
        <v>0.11834066666281157</v>
      </c>
      <c r="J18">
        <f t="shared" si="7"/>
        <v>2000.5917033333139</v>
      </c>
      <c r="K18">
        <f t="shared" si="0"/>
        <v>1049.3774820236438</v>
      </c>
      <c r="L18">
        <f>2</f>
        <v>2</v>
      </c>
      <c r="M18">
        <f t="shared" si="1"/>
        <v>1.1834066666281158E-2</v>
      </c>
      <c r="N18">
        <f t="shared" si="8"/>
        <v>1.9881659333337189</v>
      </c>
      <c r="O18">
        <f t="shared" si="2"/>
        <v>4.4041039206103964E-2</v>
      </c>
      <c r="P18">
        <f ca="1">'Fixing Money'!P18</f>
        <v>-1.1113111480318688E-2</v>
      </c>
      <c r="Q18">
        <f t="shared" si="9"/>
        <v>-0.11826502305323505</v>
      </c>
      <c r="R18">
        <f t="shared" si="10"/>
        <v>0.88846055888036812</v>
      </c>
      <c r="S18" s="7">
        <f t="shared" si="11"/>
        <v>0</v>
      </c>
      <c r="T18">
        <v>-2.0287406860727147E-2</v>
      </c>
    </row>
    <row r="19" spans="1:20" ht="14.25" x14ac:dyDescent="0.45">
      <c r="A19" t="s">
        <v>34</v>
      </c>
      <c r="B19">
        <v>2000</v>
      </c>
      <c r="C19">
        <v>2000</v>
      </c>
      <c r="E19">
        <v>16</v>
      </c>
      <c r="F19">
        <f t="shared" si="3"/>
        <v>1.0617533667500012</v>
      </c>
      <c r="G19">
        <f t="shared" si="4"/>
        <v>2000.1953339804591</v>
      </c>
      <c r="H19">
        <f t="shared" si="5"/>
        <v>1770.7316367772073</v>
      </c>
      <c r="I19">
        <f t="shared" si="6"/>
        <v>0.12185202749118636</v>
      </c>
      <c r="J19">
        <f t="shared" si="7"/>
        <v>2000.609260137456</v>
      </c>
      <c r="K19">
        <f t="shared" si="0"/>
        <v>1061.2101810035274</v>
      </c>
      <c r="L19">
        <f>2</f>
        <v>2</v>
      </c>
      <c r="M19">
        <f t="shared" si="1"/>
        <v>1.2185202749118636E-2</v>
      </c>
      <c r="N19">
        <f t="shared" si="8"/>
        <v>1.9878147972508813</v>
      </c>
      <c r="O19">
        <f t="shared" si="2"/>
        <v>4.1392615699692215E-2</v>
      </c>
      <c r="P19">
        <f ca="1">'Fixing Money'!P19</f>
        <v>6.0955149461171899E-2</v>
      </c>
      <c r="Q19">
        <f t="shared" si="9"/>
        <v>-0.12175436527006689</v>
      </c>
      <c r="R19">
        <f t="shared" si="10"/>
        <v>0.88536581838860362</v>
      </c>
      <c r="S19" s="7">
        <f t="shared" si="11"/>
        <v>0</v>
      </c>
      <c r="T19">
        <v>-9.4025933694935893E-3</v>
      </c>
    </row>
    <row r="20" spans="1:20" ht="14.25" x14ac:dyDescent="0.45">
      <c r="E20">
        <v>17</v>
      </c>
      <c r="F20">
        <f t="shared" si="3"/>
        <v>1.0739385694991199</v>
      </c>
      <c r="G20">
        <f t="shared" si="4"/>
        <v>2000.2367265961589</v>
      </c>
      <c r="H20">
        <f t="shared" si="5"/>
        <v>1763.0348469022424</v>
      </c>
      <c r="I20">
        <f t="shared" si="6"/>
        <v>0.12622886794848173</v>
      </c>
      <c r="J20">
        <f t="shared" si="7"/>
        <v>2000.6311443397424</v>
      </c>
      <c r="K20">
        <f t="shared" si="0"/>
        <v>1073.3878741607703</v>
      </c>
      <c r="L20">
        <f>2</f>
        <v>2</v>
      </c>
      <c r="M20">
        <f t="shared" si="1"/>
        <v>1.2622886794848173E-2</v>
      </c>
      <c r="N20">
        <f t="shared" si="8"/>
        <v>1.9873771132051519</v>
      </c>
      <c r="O20">
        <f t="shared" si="2"/>
        <v>3.9441774358351722E-2</v>
      </c>
      <c r="P20">
        <f ca="1">'Fixing Money'!P20</f>
        <v>-3.4670115415746598E-2</v>
      </c>
      <c r="Q20">
        <f t="shared" si="9"/>
        <v>-0.12611051165478479</v>
      </c>
      <c r="R20">
        <f t="shared" si="10"/>
        <v>0.88151742345112116</v>
      </c>
      <c r="S20" s="7">
        <f t="shared" si="11"/>
        <v>0</v>
      </c>
      <c r="T20">
        <v>-1.0443864648221241E-2</v>
      </c>
    </row>
    <row r="21" spans="1:20" ht="14.25" x14ac:dyDescent="0.45">
      <c r="A21" t="s">
        <v>25</v>
      </c>
      <c r="B21" t="s">
        <v>26</v>
      </c>
      <c r="C21" t="s">
        <v>27</v>
      </c>
      <c r="E21">
        <v>18</v>
      </c>
      <c r="F21">
        <f t="shared" si="3"/>
        <v>1.0865614562939681</v>
      </c>
      <c r="G21">
        <f t="shared" si="4"/>
        <v>2000.2761683705171</v>
      </c>
      <c r="H21">
        <f t="shared" si="5"/>
        <v>1872.0643875867333</v>
      </c>
      <c r="I21">
        <f t="shared" si="6"/>
        <v>6.6243482670173923E-2</v>
      </c>
      <c r="J21">
        <f t="shared" si="7"/>
        <v>2000.3312174133509</v>
      </c>
      <c r="K21">
        <f t="shared" si="0"/>
        <v>1086.3516051723934</v>
      </c>
      <c r="L21">
        <f>2</f>
        <v>2</v>
      </c>
      <c r="M21">
        <f t="shared" si="1"/>
        <v>6.624348267017393E-3</v>
      </c>
      <c r="N21">
        <f t="shared" si="8"/>
        <v>1.9933756517329826</v>
      </c>
      <c r="O21">
        <f t="shared" si="2"/>
        <v>5.5049042833843487E-3</v>
      </c>
      <c r="P21">
        <f ca="1">'Fixing Money'!P21</f>
        <v>-1.0745591578504453E-2</v>
      </c>
      <c r="Q21">
        <f t="shared" si="9"/>
        <v>-6.6105408017659018E-2</v>
      </c>
      <c r="R21">
        <f t="shared" si="10"/>
        <v>0.93603219379336666</v>
      </c>
      <c r="S21" s="7">
        <f t="shared" si="11"/>
        <v>0</v>
      </c>
      <c r="T21">
        <v>5.3699578054386521E-2</v>
      </c>
    </row>
    <row r="22" spans="1:20" ht="14.25" x14ac:dyDescent="0.45">
      <c r="A22" t="s">
        <v>28</v>
      </c>
      <c r="B22">
        <f>(Theta*Beta0_0)/Beta1+m_0-(Psi+Theta/Beta1)*ybar0</f>
        <v>0.99999999999998579</v>
      </c>
      <c r="C22">
        <f>(Theta*Beta0_1)/Beta1+m_1-(Psi+Theta/Beta1)*ybar1</f>
        <v>0.99999999999998579</v>
      </c>
      <c r="E22">
        <v>19</v>
      </c>
      <c r="F22">
        <f t="shared" si="3"/>
        <v>1.0931858045609855</v>
      </c>
      <c r="G22">
        <f t="shared" si="4"/>
        <v>2000.2816732748006</v>
      </c>
      <c r="H22">
        <f t="shared" si="5"/>
        <v>1890.4638903705718</v>
      </c>
      <c r="I22">
        <f t="shared" si="6"/>
        <v>5.6465763685340134E-2</v>
      </c>
      <c r="J22">
        <f t="shared" si="7"/>
        <v>2000.2823288184268</v>
      </c>
      <c r="K22">
        <f t="shared" si="0"/>
        <v>1093.031127317231</v>
      </c>
      <c r="L22">
        <f>2</f>
        <v>2</v>
      </c>
      <c r="M22">
        <f t="shared" si="1"/>
        <v>5.6465763685340136E-3</v>
      </c>
      <c r="N22">
        <f t="shared" si="8"/>
        <v>1.9943534236314659</v>
      </c>
      <c r="O22">
        <f t="shared" si="2"/>
        <v>6.5554362618058806E-5</v>
      </c>
      <c r="P22">
        <f ca="1">'Fixing Money'!P22</f>
        <v>-3.3274869523351951E-2</v>
      </c>
      <c r="Q22">
        <f t="shared" si="9"/>
        <v>-5.6324936964488072E-2</v>
      </c>
      <c r="R22">
        <f t="shared" si="10"/>
        <v>0.94523194518528586</v>
      </c>
      <c r="S22" s="7">
        <f t="shared" si="11"/>
        <v>0</v>
      </c>
      <c r="T22">
        <v>6.475200652287994E-3</v>
      </c>
    </row>
    <row r="23" spans="1:20" ht="14.25" x14ac:dyDescent="0.45">
      <c r="A23" t="s">
        <v>29</v>
      </c>
      <c r="B23">
        <f>ypot0</f>
        <v>2000</v>
      </c>
      <c r="C23">
        <f>ypot1</f>
        <v>2000</v>
      </c>
      <c r="E23">
        <v>20</v>
      </c>
      <c r="F23">
        <f t="shared" si="3"/>
        <v>1.0988323809295195</v>
      </c>
      <c r="G23">
        <f t="shared" si="4"/>
        <v>2000.2817388291633</v>
      </c>
      <c r="H23">
        <f t="shared" si="5"/>
        <v>1981.989298532972</v>
      </c>
      <c r="I23">
        <f t="shared" si="6"/>
        <v>9.1870034876039199E-3</v>
      </c>
      <c r="J23">
        <f t="shared" si="7"/>
        <v>2000.0459350174381</v>
      </c>
      <c r="K23">
        <f t="shared" si="0"/>
        <v>1098.9366979191648</v>
      </c>
      <c r="L23">
        <f>2</f>
        <v>2</v>
      </c>
      <c r="M23">
        <f t="shared" si="1"/>
        <v>9.1870034876039204E-4</v>
      </c>
      <c r="N23">
        <f t="shared" si="8"/>
        <v>1.9990812996512397</v>
      </c>
      <c r="O23">
        <f t="shared" si="2"/>
        <v>-2.3580381172519083E-2</v>
      </c>
      <c r="P23">
        <f ca="1">'Fixing Money'!P23</f>
        <v>4.2426730357729023E-2</v>
      </c>
      <c r="Q23">
        <f t="shared" si="9"/>
        <v>-9.0461439941865382E-3</v>
      </c>
      <c r="R23">
        <f t="shared" si="10"/>
        <v>0.99099464926648606</v>
      </c>
      <c r="S23" s="7">
        <f t="shared" si="11"/>
        <v>0</v>
      </c>
      <c r="T23">
        <v>4.4462546122077125E-2</v>
      </c>
    </row>
    <row r="24" spans="1:20" ht="14.25" x14ac:dyDescent="0.45">
      <c r="E24">
        <v>21</v>
      </c>
      <c r="F24">
        <f t="shared" si="3"/>
        <v>1.0997510812782798</v>
      </c>
      <c r="G24">
        <f t="shared" si="4"/>
        <v>2000.2581584479908</v>
      </c>
      <c r="H24">
        <f t="shared" si="5"/>
        <v>1873.4658121543373</v>
      </c>
      <c r="I24">
        <f t="shared" si="6"/>
        <v>6.548616048500816E-2</v>
      </c>
      <c r="J24">
        <f t="shared" si="7"/>
        <v>2000.3274308024249</v>
      </c>
      <c r="K24">
        <f t="shared" si="0"/>
        <v>1099.5329439154286</v>
      </c>
      <c r="L24">
        <f>2</f>
        <v>2</v>
      </c>
      <c r="M24">
        <f t="shared" si="1"/>
        <v>6.5486160485008164E-3</v>
      </c>
      <c r="N24">
        <f t="shared" si="8"/>
        <v>1.9934513839514991</v>
      </c>
      <c r="O24">
        <f t="shared" si="2"/>
        <v>6.9272354434133376E-3</v>
      </c>
      <c r="P24">
        <f ca="1">'Fixing Money'!P24</f>
        <v>9.7560914853067726E-2</v>
      </c>
      <c r="Q24">
        <f t="shared" si="9"/>
        <v>-6.5357089591018949E-2</v>
      </c>
      <c r="R24">
        <f t="shared" si="10"/>
        <v>0.93673290607716864</v>
      </c>
      <c r="S24" s="7">
        <f t="shared" si="11"/>
        <v>0</v>
      </c>
      <c r="T24">
        <v>-5.6763252796541736E-2</v>
      </c>
    </row>
    <row r="25" spans="1:20" ht="14.25" x14ac:dyDescent="0.45">
      <c r="A25" t="s">
        <v>30</v>
      </c>
      <c r="B25" t="s">
        <v>31</v>
      </c>
      <c r="C25" t="s">
        <v>32</v>
      </c>
      <c r="E25">
        <v>22</v>
      </c>
      <c r="F25">
        <f t="shared" si="3"/>
        <v>1.1062996973267807</v>
      </c>
      <c r="G25">
        <f t="shared" si="4"/>
        <v>2000.2650856834343</v>
      </c>
      <c r="H25">
        <f t="shared" si="5"/>
        <v>1827.1103419793653</v>
      </c>
      <c r="I25">
        <f t="shared" si="6"/>
        <v>9.0544043874414989E-2</v>
      </c>
      <c r="J25">
        <f t="shared" si="7"/>
        <v>2000.4527202193722</v>
      </c>
      <c r="K25">
        <f t="shared" si="0"/>
        <v>1105.9454851907901</v>
      </c>
      <c r="L25">
        <f>2</f>
        <v>2</v>
      </c>
      <c r="M25">
        <f t="shared" si="1"/>
        <v>9.0544043874414993E-3</v>
      </c>
      <c r="N25">
        <f t="shared" si="8"/>
        <v>1.9909455956125586</v>
      </c>
      <c r="O25">
        <f t="shared" si="2"/>
        <v>1.8763453593783199E-2</v>
      </c>
      <c r="P25">
        <f ca="1">'Fixing Money'!P25</f>
        <v>-4.3523727537317404E-2</v>
      </c>
      <c r="Q25">
        <f t="shared" si="9"/>
        <v>-9.0411509815724267E-2</v>
      </c>
      <c r="R25">
        <f t="shared" si="10"/>
        <v>0.91355517098968264</v>
      </c>
      <c r="S25" s="7">
        <f t="shared" si="11"/>
        <v>0</v>
      </c>
      <c r="T25">
        <v>-2.8322274704256262E-2</v>
      </c>
    </row>
    <row r="26" spans="1:20" ht="14.25" x14ac:dyDescent="0.45">
      <c r="A26" t="s">
        <v>49</v>
      </c>
      <c r="B26">
        <f>IF((Ni*(Beta1*Mi-((Beta1*Psi)/Theta)-1))^2-4*(Ni*Beta1*Mi)/Theta&gt;0,(Ni*(Beta1*Mi-((Beta1*Psi)/Theta)-1)+SQRT((Ni*(Beta1*Mi-((Beta1*Psi)/Theta)-1))^2-4*(Ni*Beta1*Mi)/Theta))/2,((Ni*(Beta1*Mi-((Beta1*Psi)/Theta)-1))/2))</f>
        <v>-0.05</v>
      </c>
      <c r="C26">
        <f>IF((Ni*((Beta1*Mi-(Beta1*Psi)/Theta)-1)^2-4*(Ni*Beta1*Mi)/Theta)&gt;0, 0, +SQRT(-(Ni*((Beta1*Mi-(Beta1*Psi)/Theta)-1)^2-4*(Ni*Beta1*Mi)/Theta))/2)</f>
        <v>0.98742088290657493</v>
      </c>
      <c r="E26">
        <v>23</v>
      </c>
      <c r="F26">
        <f t="shared" si="3"/>
        <v>1.1153541017142221</v>
      </c>
      <c r="G26">
        <f t="shared" si="4"/>
        <v>2000.283849137028</v>
      </c>
      <c r="H26">
        <f t="shared" si="5"/>
        <v>1797.6170422897292</v>
      </c>
      <c r="I26">
        <f t="shared" si="6"/>
        <v>0.10682717263456748</v>
      </c>
      <c r="J26">
        <f t="shared" si="7"/>
        <v>2000.5341358631729</v>
      </c>
      <c r="K26">
        <f t="shared" si="0"/>
        <v>1114.9166472379857</v>
      </c>
      <c r="L26">
        <f>2</f>
        <v>2</v>
      </c>
      <c r="M26">
        <f t="shared" si="1"/>
        <v>1.0682717263456749E-2</v>
      </c>
      <c r="N26">
        <f t="shared" si="8"/>
        <v>1.9893172827365433</v>
      </c>
      <c r="O26">
        <f t="shared" si="2"/>
        <v>2.5028672614485006E-2</v>
      </c>
      <c r="P26">
        <f ca="1">'Fixing Money'!P26</f>
        <v>-2.8108664737315991E-2</v>
      </c>
      <c r="Q26">
        <f t="shared" si="9"/>
        <v>-0.10668525813639235</v>
      </c>
      <c r="R26">
        <f t="shared" si="10"/>
        <v>0.89880852114486454</v>
      </c>
      <c r="S26" s="7">
        <f t="shared" si="11"/>
        <v>0</v>
      </c>
      <c r="T26">
        <v>-2.0794323811454296E-2</v>
      </c>
    </row>
    <row r="27" spans="1:20" ht="14.25" x14ac:dyDescent="0.45">
      <c r="A27" t="s">
        <v>50</v>
      </c>
      <c r="B27">
        <f>IF((Ni*(Beta1*Mi-((Beta1*Psi)/Theta)-1))^2-4*(Ni*Beta1*Mi)/Theta&gt;0,(Ni*(Beta1*Mi-((Beta1*Psi)/Theta)-1)-SQRT((Ni*(Beta1*Mi-((Beta1*Psi)/Theta)-1))^2-4*(Ni*Beta1*Mi)/Theta))/2,((Ni*(Beta1*Mi-((Beta1*Psi)/Theta)-1))/2))</f>
        <v>-0.05</v>
      </c>
      <c r="C27">
        <f>IF((Ni*((Beta1*Mi-(Beta1*Psi)/Theta)-1)^2-4*(Ni*Beta1*Mi)/Theta)&gt;0, 0, -SQRT(-(Ni*((Beta1*Mi-(Beta1*Psi)/Theta)-1)^2-4*(Ni*Beta1*Mi)/Theta))/2)</f>
        <v>-0.98742088290657493</v>
      </c>
      <c r="E27">
        <v>24</v>
      </c>
      <c r="F27">
        <f t="shared" si="3"/>
        <v>1.1260368189776788</v>
      </c>
      <c r="G27">
        <f t="shared" si="4"/>
        <v>2000.3088778096426</v>
      </c>
      <c r="H27">
        <f t="shared" si="5"/>
        <v>1638.4452286589758</v>
      </c>
      <c r="I27">
        <f t="shared" si="6"/>
        <v>0.19955384667560097</v>
      </c>
      <c r="J27">
        <f t="shared" si="7"/>
        <v>2000.997769233378</v>
      </c>
      <c r="K27">
        <f t="shared" si="0"/>
        <v>1125.0871979771634</v>
      </c>
      <c r="L27">
        <f>2</f>
        <v>2</v>
      </c>
      <c r="M27">
        <f t="shared" si="1"/>
        <v>1.9955384667560097E-2</v>
      </c>
      <c r="N27">
        <f t="shared" si="8"/>
        <v>1.9800446153324398</v>
      </c>
      <c r="O27">
        <f t="shared" si="2"/>
        <v>6.8889142373541296E-2</v>
      </c>
      <c r="P27">
        <f ca="1">'Fixing Money'!P27</f>
        <v>-4.8638078302434412E-2</v>
      </c>
      <c r="Q27">
        <f t="shared" si="9"/>
        <v>-0.19939941969523955</v>
      </c>
      <c r="R27">
        <f t="shared" si="10"/>
        <v>0.81922261432948795</v>
      </c>
      <c r="S27" s="7">
        <f t="shared" si="11"/>
        <v>0</v>
      </c>
      <c r="T27">
        <v>-9.804842446566682E-2</v>
      </c>
    </row>
    <row r="28" spans="1:20" ht="14.25" x14ac:dyDescent="0.45">
      <c r="E28">
        <v>25</v>
      </c>
      <c r="F28">
        <f t="shared" si="3"/>
        <v>1.145992203645239</v>
      </c>
      <c r="G28">
        <f t="shared" si="4"/>
        <v>2000.3777669520161</v>
      </c>
      <c r="H28">
        <f t="shared" si="5"/>
        <v>1623.9869250910644</v>
      </c>
      <c r="I28">
        <f t="shared" si="6"/>
        <v>0.20845185554493953</v>
      </c>
      <c r="J28">
        <f t="shared" si="7"/>
        <v>2001.0422592777247</v>
      </c>
      <c r="K28">
        <f t="shared" si="0"/>
        <v>1145.0142416296922</v>
      </c>
      <c r="L28">
        <f>2</f>
        <v>2</v>
      </c>
      <c r="M28">
        <f t="shared" si="1"/>
        <v>2.0845185554493953E-2</v>
      </c>
      <c r="N28">
        <f t="shared" si="8"/>
        <v>1.979154814445506</v>
      </c>
      <c r="O28">
        <f t="shared" si="2"/>
        <v>6.6449232570857927E-2</v>
      </c>
      <c r="P28">
        <f ca="1">'Fixing Money'!P28</f>
        <v>-0.10672244190418126</v>
      </c>
      <c r="Q28">
        <f t="shared" si="9"/>
        <v>-0.20826298990516934</v>
      </c>
      <c r="R28">
        <f t="shared" si="10"/>
        <v>0.81199346254553217</v>
      </c>
      <c r="S28" s="7">
        <f t="shared" si="11"/>
        <v>0</v>
      </c>
      <c r="T28">
        <v>-1.8833541194691779E-2</v>
      </c>
    </row>
    <row r="29" spans="1:20" ht="14.25" x14ac:dyDescent="0.45">
      <c r="A29" t="s">
        <v>33</v>
      </c>
      <c r="E29">
        <v>26</v>
      </c>
      <c r="F29">
        <f t="shared" si="3"/>
        <v>1.166837389199733</v>
      </c>
      <c r="G29">
        <f t="shared" si="4"/>
        <v>2000.444216184587</v>
      </c>
      <c r="H29">
        <f t="shared" si="5"/>
        <v>1662.8796725255838</v>
      </c>
      <c r="I29">
        <f t="shared" si="6"/>
        <v>0.1848184220640125</v>
      </c>
      <c r="J29">
        <f t="shared" si="7"/>
        <v>2000.9240921103201</v>
      </c>
      <c r="K29">
        <f t="shared" si="0"/>
        <v>1166.018288000879</v>
      </c>
      <c r="L29">
        <f>2</f>
        <v>2</v>
      </c>
      <c r="M29">
        <f t="shared" si="1"/>
        <v>1.8481842206401252E-2</v>
      </c>
      <c r="N29">
        <f t="shared" si="8"/>
        <v>1.9815181577935987</v>
      </c>
      <c r="O29">
        <f t="shared" si="2"/>
        <v>4.7987592573304032E-2</v>
      </c>
      <c r="P29">
        <f ca="1">'Fixing Money'!P29</f>
        <v>4.9406403270777586E-3</v>
      </c>
      <c r="Q29">
        <f t="shared" si="9"/>
        <v>-0.1845963386340696</v>
      </c>
      <c r="R29">
        <f t="shared" si="10"/>
        <v>0.83143983626279194</v>
      </c>
      <c r="S29" s="7">
        <f t="shared" si="11"/>
        <v>0</v>
      </c>
      <c r="T29">
        <v>1.3253501775841262E-2</v>
      </c>
    </row>
    <row r="30" spans="1:20" ht="14.25" x14ac:dyDescent="0.45">
      <c r="A30" t="s">
        <v>51</v>
      </c>
      <c r="B30">
        <f>IF(C26=0,ABS(1+B26),SQRT((1+B26)^2+C26^2))</f>
        <v>1.3702189606044721</v>
      </c>
      <c r="E30">
        <v>27</v>
      </c>
      <c r="F30">
        <f t="shared" si="3"/>
        <v>1.1853192314061343</v>
      </c>
      <c r="G30">
        <f t="shared" si="4"/>
        <v>2000.4922037771603</v>
      </c>
      <c r="H30">
        <f t="shared" si="5"/>
        <v>1693.106153453283</v>
      </c>
      <c r="I30">
        <f t="shared" si="6"/>
        <v>0.16682844959506721</v>
      </c>
      <c r="J30">
        <f t="shared" si="7"/>
        <v>2000.8341422479753</v>
      </c>
      <c r="K30">
        <f t="shared" si="0"/>
        <v>1184.6222158593002</v>
      </c>
      <c r="L30">
        <f>2</f>
        <v>2</v>
      </c>
      <c r="M30">
        <f t="shared" si="1"/>
        <v>1.6682844959506723E-2</v>
      </c>
      <c r="N30">
        <f t="shared" si="8"/>
        <v>1.9833171550404933</v>
      </c>
      <c r="O30">
        <f t="shared" si="2"/>
        <v>3.4193847081496642E-2</v>
      </c>
      <c r="P30">
        <f ca="1">'Fixing Money'!P30</f>
        <v>-2.9626297407839192E-2</v>
      </c>
      <c r="Q30">
        <f t="shared" si="9"/>
        <v>-0.16658237798458936</v>
      </c>
      <c r="R30">
        <f t="shared" si="10"/>
        <v>0.84655307672664148</v>
      </c>
      <c r="S30" s="7">
        <f t="shared" si="11"/>
        <v>0</v>
      </c>
      <c r="T30">
        <v>8.7841437177767472E-3</v>
      </c>
    </row>
    <row r="31" spans="1:20" ht="14.25" x14ac:dyDescent="0.45">
      <c r="A31" t="s">
        <v>52</v>
      </c>
      <c r="B31">
        <f>IF(B27=0,ABS(1+B27),SQRT((1+B27)^2+C27^2))</f>
        <v>1.3702189606044721</v>
      </c>
      <c r="E31">
        <v>28</v>
      </c>
      <c r="F31">
        <f t="shared" si="3"/>
        <v>1.2020020763656409</v>
      </c>
      <c r="G31">
        <f t="shared" si="4"/>
        <v>2000.5263976242418</v>
      </c>
      <c r="H31">
        <f t="shared" si="5"/>
        <v>1824.7913883003166</v>
      </c>
      <c r="I31">
        <f t="shared" si="6"/>
        <v>9.1944672021161133E-2</v>
      </c>
      <c r="J31">
        <f t="shared" si="7"/>
        <v>2000.4597233601057</v>
      </c>
      <c r="K31">
        <f t="shared" si="0"/>
        <v>1201.7658534509062</v>
      </c>
      <c r="L31">
        <f>2</f>
        <v>2</v>
      </c>
      <c r="M31">
        <f t="shared" si="1"/>
        <v>9.1944672021161133E-3</v>
      </c>
      <c r="N31">
        <f t="shared" si="8"/>
        <v>1.990805532797884</v>
      </c>
      <c r="O31">
        <f t="shared" si="2"/>
        <v>-6.6674264136054266E-3</v>
      </c>
      <c r="P31">
        <f ca="1">'Fixing Money'!P31</f>
        <v>-6.1758251808646192E-2</v>
      </c>
      <c r="Q31">
        <f t="shared" si="9"/>
        <v>-9.1681507839771179E-2</v>
      </c>
      <c r="R31">
        <f t="shared" si="10"/>
        <v>0.91239569415015831</v>
      </c>
      <c r="S31" s="7">
        <f t="shared" si="11"/>
        <v>0</v>
      </c>
      <c r="T31">
        <v>6.6571751245588714E-2</v>
      </c>
    </row>
    <row r="32" spans="1:20" ht="14.25" x14ac:dyDescent="0.45">
      <c r="E32">
        <v>29</v>
      </c>
      <c r="F32">
        <f t="shared" si="3"/>
        <v>1.211196543567757</v>
      </c>
      <c r="G32">
        <f t="shared" si="4"/>
        <v>2000.5197301978283</v>
      </c>
      <c r="H32">
        <f t="shared" si="5"/>
        <v>1782.761729776968</v>
      </c>
      <c r="I32">
        <f t="shared" si="6"/>
        <v>0.115243316397909</v>
      </c>
      <c r="J32">
        <f t="shared" si="7"/>
        <v>2000.5762165819895</v>
      </c>
      <c r="K32">
        <f t="shared" si="0"/>
        <v>1210.8133797449034</v>
      </c>
      <c r="L32">
        <f>2</f>
        <v>2</v>
      </c>
      <c r="M32">
        <f t="shared" si="1"/>
        <v>1.15243316397909E-2</v>
      </c>
      <c r="N32">
        <f t="shared" si="8"/>
        <v>1.9884756683602092</v>
      </c>
      <c r="O32">
        <f t="shared" si="2"/>
        <v>5.6486384161189562E-3</v>
      </c>
      <c r="P32">
        <f ca="1">'Fixing Money'!P32</f>
        <v>3.5584458670602048E-3</v>
      </c>
      <c r="Q32">
        <f t="shared" si="9"/>
        <v>-0.11498348505808129</v>
      </c>
      <c r="R32">
        <f t="shared" si="10"/>
        <v>0.891380864888484</v>
      </c>
      <c r="S32" s="7">
        <f t="shared" si="11"/>
        <v>0</v>
      </c>
      <c r="T32">
        <v>-2.7886052610298667E-2</v>
      </c>
    </row>
    <row r="33" spans="2:20" ht="14.25" x14ac:dyDescent="0.45">
      <c r="B33" t="s">
        <v>40</v>
      </c>
      <c r="C33">
        <v>0.95</v>
      </c>
      <c r="E33">
        <v>30</v>
      </c>
      <c r="F33">
        <f t="shared" si="3"/>
        <v>1.2227208752075478</v>
      </c>
      <c r="G33">
        <f t="shared" si="4"/>
        <v>2000.5253788362443</v>
      </c>
      <c r="H33">
        <f t="shared" si="5"/>
        <v>1820.3320085139919</v>
      </c>
      <c r="I33">
        <f t="shared" si="6"/>
        <v>9.4390928769021609E-2</v>
      </c>
      <c r="J33">
        <f t="shared" si="7"/>
        <v>2000.471954643845</v>
      </c>
      <c r="K33">
        <f t="shared" si="0"/>
        <v>1222.4650022476012</v>
      </c>
      <c r="L33">
        <f>2</f>
        <v>2</v>
      </c>
      <c r="M33">
        <f t="shared" si="1"/>
        <v>9.4390928769021616E-3</v>
      </c>
      <c r="N33">
        <f t="shared" si="8"/>
        <v>1.9905609071230979</v>
      </c>
      <c r="O33">
        <f t="shared" si="2"/>
        <v>-5.3424192399234016E-3</v>
      </c>
      <c r="P33">
        <f ca="1">'Fixing Money'!P33</f>
        <v>-1.3825631015169976E-2</v>
      </c>
      <c r="Q33">
        <f t="shared" si="9"/>
        <v>-9.4128273847723404E-2</v>
      </c>
      <c r="R33">
        <f t="shared" si="10"/>
        <v>0.91016600425699601</v>
      </c>
      <c r="S33" s="7">
        <f t="shared" si="11"/>
        <v>0</v>
      </c>
      <c r="T33">
        <v>1.5106036957453821E-2</v>
      </c>
    </row>
    <row r="34" spans="2:20" ht="14.25" x14ac:dyDescent="0.45">
      <c r="B34" t="s">
        <v>41</v>
      </c>
      <c r="C34">
        <v>0.05</v>
      </c>
      <c r="E34">
        <v>31</v>
      </c>
      <c r="F34">
        <f t="shared" si="3"/>
        <v>1.2321599680844499</v>
      </c>
      <c r="G34">
        <f t="shared" si="4"/>
        <v>2000.5200364170043</v>
      </c>
      <c r="H34">
        <f t="shared" si="5"/>
        <v>1853.9544291502916</v>
      </c>
      <c r="I34">
        <f t="shared" si="6"/>
        <v>7.6086277874332087E-2</v>
      </c>
      <c r="J34">
        <f t="shared" si="7"/>
        <v>2000.3804313893716</v>
      </c>
      <c r="K34">
        <f t="shared" si="0"/>
        <v>1232.0115997833529</v>
      </c>
      <c r="L34">
        <f>2</f>
        <v>2</v>
      </c>
      <c r="M34">
        <f t="shared" si="1"/>
        <v>7.6086277874332087E-3</v>
      </c>
      <c r="N34">
        <f t="shared" si="8"/>
        <v>1.9923913722125668</v>
      </c>
      <c r="O34">
        <f t="shared" si="2"/>
        <v>-1.3960502763279693E-2</v>
      </c>
      <c r="P34">
        <f ca="1">'Fixing Money'!P34</f>
        <v>-5.3551320301777429E-2</v>
      </c>
      <c r="Q34">
        <f t="shared" si="9"/>
        <v>-7.5826293464705527E-2</v>
      </c>
      <c r="R34">
        <f t="shared" si="10"/>
        <v>0.92697721457514581</v>
      </c>
      <c r="S34" s="7">
        <f t="shared" si="11"/>
        <v>0</v>
      </c>
      <c r="T34">
        <v>1.3595566690631703E-2</v>
      </c>
    </row>
    <row r="35" spans="2:20" ht="14.25" x14ac:dyDescent="0.45">
      <c r="E35">
        <v>32</v>
      </c>
      <c r="F35">
        <f t="shared" si="3"/>
        <v>1.2397685958718832</v>
      </c>
      <c r="G35">
        <f t="shared" si="4"/>
        <v>2000.5060759142411</v>
      </c>
      <c r="H35">
        <f t="shared" si="5"/>
        <v>1684.2381006112564</v>
      </c>
      <c r="I35">
        <f t="shared" si="6"/>
        <v>0.17208689077116551</v>
      </c>
      <c r="J35">
        <f t="shared" si="7"/>
        <v>2000.8604344538558</v>
      </c>
      <c r="K35">
        <f t="shared" ref="K35:K66" si="12">F35*($B$11*G35-$B$12*M35)</f>
        <v>1239.015564769988</v>
      </c>
      <c r="L35">
        <f>2</f>
        <v>2</v>
      </c>
      <c r="M35">
        <f t="shared" ref="M35:M66" si="13">Mi*I35</f>
        <v>1.7208689077116552E-2</v>
      </c>
      <c r="N35">
        <f t="shared" si="8"/>
        <v>1.9827913109228834</v>
      </c>
      <c r="O35">
        <f t="shared" ref="O35:O66" si="14">Ni*(J35-G35)</f>
        <v>3.5435853961462274E-2</v>
      </c>
      <c r="P35">
        <f ca="1">'Fixing Money'!P35</f>
        <v>6.1811668386152034E-2</v>
      </c>
      <c r="Q35">
        <f t="shared" si="9"/>
        <v>-0.17183388482274936</v>
      </c>
      <c r="R35">
        <f t="shared" si="10"/>
        <v>0.84211905030562817</v>
      </c>
      <c r="S35" s="7">
        <f t="shared" si="11"/>
        <v>0</v>
      </c>
      <c r="T35">
        <v>-9.9798906031279125E-2</v>
      </c>
    </row>
    <row r="36" spans="2:20" ht="14.25" x14ac:dyDescent="0.45">
      <c r="E36">
        <v>33</v>
      </c>
      <c r="F36">
        <f t="shared" ref="F36:F67" si="15">F35+M35</f>
        <v>1.2569772849489997</v>
      </c>
      <c r="G36">
        <f t="shared" ref="G36:G67" si="16">G35+O35</f>
        <v>2000.5415117682026</v>
      </c>
      <c r="H36">
        <f t="shared" si="5"/>
        <v>1637.4471873202683</v>
      </c>
      <c r="I36">
        <f t="shared" si="6"/>
        <v>0.20027946380728145</v>
      </c>
      <c r="J36">
        <f t="shared" si="7"/>
        <v>2001.0013973190364</v>
      </c>
      <c r="K36">
        <f t="shared" si="12"/>
        <v>1256.0588852618437</v>
      </c>
      <c r="L36">
        <f>2</f>
        <v>2</v>
      </c>
      <c r="M36">
        <f t="shared" si="13"/>
        <v>2.0027946380728148E-2</v>
      </c>
      <c r="N36">
        <f t="shared" si="8"/>
        <v>1.9799720536192718</v>
      </c>
      <c r="O36">
        <f t="shared" si="14"/>
        <v>4.5988555083386021E-2</v>
      </c>
      <c r="P36">
        <f ca="1">'Fixing Money'!P36</f>
        <v>-3.9967132606355165E-3</v>
      </c>
      <c r="Q36">
        <f t="shared" si="9"/>
        <v>-0.20000874457093973</v>
      </c>
      <c r="R36">
        <f t="shared" si="10"/>
        <v>0.81872359366013414</v>
      </c>
      <c r="S36" s="7">
        <f t="shared" si="11"/>
        <v>0</v>
      </c>
      <c r="T36">
        <v>-3.6766553989327842E-2</v>
      </c>
    </row>
    <row r="37" spans="2:20" ht="14.25" x14ac:dyDescent="0.45">
      <c r="C37" s="8" t="s">
        <v>0</v>
      </c>
      <c r="E37">
        <v>34</v>
      </c>
      <c r="F37">
        <f t="shared" si="15"/>
        <v>1.277005231329728</v>
      </c>
      <c r="G37">
        <f t="shared" si="16"/>
        <v>2000.5875003232859</v>
      </c>
      <c r="H37">
        <f t="shared" si="5"/>
        <v>1689.5395300605853</v>
      </c>
      <c r="I37">
        <f t="shared" si="6"/>
        <v>0.16898486319623801</v>
      </c>
      <c r="J37">
        <f t="shared" si="7"/>
        <v>2000.8449243159812</v>
      </c>
      <c r="K37">
        <f t="shared" si="12"/>
        <v>1276.3013790512643</v>
      </c>
      <c r="L37">
        <f>2</f>
        <v>2</v>
      </c>
      <c r="M37">
        <f t="shared" si="13"/>
        <v>1.68984863196238E-2</v>
      </c>
      <c r="N37">
        <f t="shared" si="8"/>
        <v>1.9831015136803762</v>
      </c>
      <c r="O37">
        <f t="shared" si="14"/>
        <v>2.5742399269529415E-2</v>
      </c>
      <c r="P37">
        <f ca="1">'Fixing Money'!P37</f>
        <v>-0.11545841670478672</v>
      </c>
      <c r="Q37">
        <f t="shared" si="9"/>
        <v>-0.16869115617072658</v>
      </c>
      <c r="R37">
        <f t="shared" si="10"/>
        <v>0.84476976503029266</v>
      </c>
      <c r="S37" s="7">
        <f t="shared" si="11"/>
        <v>0</v>
      </c>
      <c r="T37">
        <v>2.131715117166616E-2</v>
      </c>
    </row>
    <row r="38" spans="2:20" ht="14.25" x14ac:dyDescent="0.45">
      <c r="E38">
        <v>35</v>
      </c>
      <c r="F38">
        <f t="shared" si="15"/>
        <v>1.2939037176493517</v>
      </c>
      <c r="G38">
        <f t="shared" si="16"/>
        <v>2000.6132427225555</v>
      </c>
      <c r="H38">
        <f t="shared" si="5"/>
        <v>1550.9428416653345</v>
      </c>
      <c r="I38">
        <f t="shared" si="6"/>
        <v>0.2545907239762657</v>
      </c>
      <c r="J38">
        <f t="shared" si="7"/>
        <v>2001.2729536198813</v>
      </c>
      <c r="K38">
        <f t="shared" si="12"/>
        <v>1292.65337674746</v>
      </c>
      <c r="L38">
        <f>2</f>
        <v>2</v>
      </c>
      <c r="M38">
        <f t="shared" si="13"/>
        <v>2.545907239762657E-2</v>
      </c>
      <c r="N38">
        <f t="shared" si="8"/>
        <v>1.9745409276023733</v>
      </c>
      <c r="O38">
        <f t="shared" si="14"/>
        <v>6.5971089732579466E-2</v>
      </c>
      <c r="P38">
        <f ca="1">'Fixing Money'!P38</f>
        <v>-7.3591784982610278E-2</v>
      </c>
      <c r="Q38">
        <f t="shared" si="9"/>
        <v>-0.25428414961371049</v>
      </c>
      <c r="R38">
        <f t="shared" si="10"/>
        <v>0.77547142083266729</v>
      </c>
      <c r="S38" s="7">
        <f t="shared" si="11"/>
        <v>0</v>
      </c>
      <c r="T38">
        <v>-9.4027551251520222E-2</v>
      </c>
    </row>
    <row r="39" spans="2:20" ht="14.25" x14ac:dyDescent="0.45">
      <c r="E39">
        <v>36</v>
      </c>
      <c r="F39">
        <f t="shared" si="15"/>
        <v>1.3193627900469784</v>
      </c>
      <c r="G39">
        <f t="shared" si="16"/>
        <v>2000.679213812288</v>
      </c>
      <c r="H39">
        <f t="shared" si="5"/>
        <v>1605.6034116940457</v>
      </c>
      <c r="I39">
        <f t="shared" si="6"/>
        <v>0.21998708644325526</v>
      </c>
      <c r="J39">
        <f t="shared" si="7"/>
        <v>2001.0999354322162</v>
      </c>
      <c r="K39">
        <f t="shared" si="12"/>
        <v>1318.3596408814674</v>
      </c>
      <c r="L39">
        <f>2</f>
        <v>2</v>
      </c>
      <c r="M39">
        <f t="shared" si="13"/>
        <v>2.1998708644325529E-2</v>
      </c>
      <c r="N39">
        <f t="shared" si="8"/>
        <v>1.9780012913556744</v>
      </c>
      <c r="O39">
        <f t="shared" si="14"/>
        <v>4.2072161992814473E-2</v>
      </c>
      <c r="P39">
        <f ca="1">'Fixing Money'!P39</f>
        <v>-6.7292139730132358E-2</v>
      </c>
      <c r="Q39">
        <f t="shared" si="9"/>
        <v>-0.21964753719048408</v>
      </c>
      <c r="R39">
        <f t="shared" si="10"/>
        <v>0.80280170584702282</v>
      </c>
      <c r="S39" s="7">
        <f t="shared" si="11"/>
        <v>0</v>
      </c>
      <c r="T39">
        <v>2.1922404942540896E-2</v>
      </c>
    </row>
    <row r="40" spans="2:20" ht="14.25" x14ac:dyDescent="0.45">
      <c r="E40">
        <v>37</v>
      </c>
      <c r="F40">
        <f t="shared" si="15"/>
        <v>1.3413614986913041</v>
      </c>
      <c r="G40">
        <f t="shared" si="16"/>
        <v>2000.7212859742808</v>
      </c>
      <c r="H40">
        <f t="shared" si="5"/>
        <v>1519.9799799736638</v>
      </c>
      <c r="I40">
        <f t="shared" si="6"/>
        <v>0.27481059482954712</v>
      </c>
      <c r="J40">
        <f t="shared" si="7"/>
        <v>2001.3740529741476</v>
      </c>
      <c r="K40">
        <f t="shared" si="12"/>
        <v>1340.0021495523431</v>
      </c>
      <c r="L40">
        <f>2</f>
        <v>2</v>
      </c>
      <c r="M40">
        <f t="shared" si="13"/>
        <v>2.7481059482954713E-2</v>
      </c>
      <c r="N40">
        <f t="shared" si="8"/>
        <v>1.9725189405170453</v>
      </c>
      <c r="O40">
        <f t="shared" si="14"/>
        <v>6.5276699986679884E-2</v>
      </c>
      <c r="P40">
        <f ca="1">'Fixing Money'!P40</f>
        <v>-6.8782832176422476E-2</v>
      </c>
      <c r="Q40">
        <f t="shared" si="9"/>
        <v>-0.27445001685845771</v>
      </c>
      <c r="R40">
        <f t="shared" si="10"/>
        <v>0.75998998998683187</v>
      </c>
      <c r="S40" s="7">
        <f t="shared" si="11"/>
        <v>0</v>
      </c>
      <c r="T40">
        <v>-6.5784856527497854E-2</v>
      </c>
    </row>
    <row r="41" spans="2:20" ht="14.25" x14ac:dyDescent="0.45">
      <c r="E41">
        <v>38</v>
      </c>
      <c r="F41">
        <f t="shared" si="15"/>
        <v>1.3688425581742587</v>
      </c>
      <c r="G41">
        <f t="shared" si="16"/>
        <v>2000.7865626742675</v>
      </c>
      <c r="H41">
        <f t="shared" si="5"/>
        <v>1502.1702298294963</v>
      </c>
      <c r="I41">
        <f t="shared" si="6"/>
        <v>0.28662950222319833</v>
      </c>
      <c r="J41">
        <f t="shared" si="7"/>
        <v>2001.433147511116</v>
      </c>
      <c r="K41">
        <f t="shared" si="12"/>
        <v>1367.4191451005061</v>
      </c>
      <c r="L41">
        <f>2</f>
        <v>2</v>
      </c>
      <c r="M41">
        <f t="shared" si="13"/>
        <v>2.8662950222319836E-2</v>
      </c>
      <c r="N41">
        <f t="shared" si="8"/>
        <v>1.9713370497776801</v>
      </c>
      <c r="O41">
        <f t="shared" si="14"/>
        <v>6.465848368484331E-2</v>
      </c>
      <c r="P41">
        <f ca="1">'Fixing Money'!P41</f>
        <v>3.5360534219727617E-2</v>
      </c>
      <c r="Q41">
        <f t="shared" si="9"/>
        <v>-0.28623629820089924</v>
      </c>
      <c r="R41">
        <f t="shared" si="10"/>
        <v>0.75108511491474816</v>
      </c>
      <c r="S41" s="7">
        <f t="shared" si="11"/>
        <v>0</v>
      </c>
      <c r="T41">
        <v>-2.550878218536444E-2</v>
      </c>
    </row>
    <row r="42" spans="2:20" ht="14.25" x14ac:dyDescent="0.45">
      <c r="E42">
        <v>39</v>
      </c>
      <c r="F42">
        <f t="shared" si="15"/>
        <v>1.3975055083965786</v>
      </c>
      <c r="G42">
        <f t="shared" si="16"/>
        <v>2000.8512211579523</v>
      </c>
      <c r="H42">
        <f t="shared" si="5"/>
        <v>1579.7318941101878</v>
      </c>
      <c r="I42">
        <f t="shared" si="6"/>
        <v>0.23631755522410142</v>
      </c>
      <c r="J42">
        <f t="shared" si="7"/>
        <v>2001.1815877761205</v>
      </c>
      <c r="K42">
        <f t="shared" si="12"/>
        <v>1396.4490260993471</v>
      </c>
      <c r="L42">
        <f>2</f>
        <v>2</v>
      </c>
      <c r="M42">
        <f t="shared" si="13"/>
        <v>2.3631755522410144E-2</v>
      </c>
      <c r="N42">
        <f t="shared" si="8"/>
        <v>1.9763682444775899</v>
      </c>
      <c r="O42">
        <f t="shared" si="14"/>
        <v>3.3036661816822743E-2</v>
      </c>
      <c r="P42">
        <f ca="1">'Fixing Money'!P42</f>
        <v>-2.1579615952527324E-2</v>
      </c>
      <c r="Q42">
        <f t="shared" si="9"/>
        <v>-0.23589203519161686</v>
      </c>
      <c r="R42">
        <f t="shared" si="10"/>
        <v>0.78986594705509394</v>
      </c>
      <c r="S42" s="7">
        <f t="shared" si="11"/>
        <v>0</v>
      </c>
      <c r="T42">
        <v>3.6032448099237419E-2</v>
      </c>
    </row>
    <row r="43" spans="2:20" ht="14.25" x14ac:dyDescent="0.45">
      <c r="E43">
        <v>40</v>
      </c>
      <c r="F43">
        <f t="shared" si="15"/>
        <v>1.4211372639189888</v>
      </c>
      <c r="G43">
        <f t="shared" si="16"/>
        <v>2000.8842578197691</v>
      </c>
      <c r="H43">
        <f t="shared" si="5"/>
        <v>1782.7021698678482</v>
      </c>
      <c r="I43">
        <f t="shared" si="6"/>
        <v>0.11545892560410875</v>
      </c>
      <c r="J43">
        <f t="shared" si="7"/>
        <v>2000.5772946280206</v>
      </c>
      <c r="K43">
        <f t="shared" si="12"/>
        <v>1420.9451748801414</v>
      </c>
      <c r="L43">
        <f>2</f>
        <v>2</v>
      </c>
      <c r="M43">
        <f t="shared" si="13"/>
        <v>1.1545892560410876E-2</v>
      </c>
      <c r="N43">
        <f t="shared" si="8"/>
        <v>1.9884541074395892</v>
      </c>
      <c r="O43">
        <f t="shared" si="14"/>
        <v>-3.0696319174853673E-2</v>
      </c>
      <c r="P43">
        <f ca="1">'Fixing Money'!P43</f>
        <v>3.04335133158414E-2</v>
      </c>
      <c r="Q43">
        <f t="shared" si="9"/>
        <v>-0.11501689440441142</v>
      </c>
      <c r="R43">
        <f t="shared" si="10"/>
        <v>0.89135108493392412</v>
      </c>
      <c r="S43" s="7">
        <f t="shared" si="11"/>
        <v>0</v>
      </c>
      <c r="T43">
        <v>0.10908053902762459</v>
      </c>
    </row>
    <row r="44" spans="2:20" ht="14.25" x14ac:dyDescent="0.45">
      <c r="E44">
        <v>41</v>
      </c>
      <c r="F44">
        <f t="shared" si="15"/>
        <v>1.4326831564793996</v>
      </c>
      <c r="G44">
        <f t="shared" si="16"/>
        <v>2000.8535615005942</v>
      </c>
      <c r="H44">
        <f t="shared" si="5"/>
        <v>1924.080107326743</v>
      </c>
      <c r="I44">
        <f t="shared" si="6"/>
        <v>3.9125883063762926E-2</v>
      </c>
      <c r="J44">
        <f t="shared" si="7"/>
        <v>2000.1956294153188</v>
      </c>
      <c r="K44">
        <f t="shared" si="12"/>
        <v>1433.0143231036209</v>
      </c>
      <c r="L44">
        <f>2</f>
        <v>2</v>
      </c>
      <c r="M44">
        <f t="shared" si="13"/>
        <v>3.9125883063762931E-3</v>
      </c>
      <c r="N44">
        <f t="shared" si="8"/>
        <v>1.9960874116936238</v>
      </c>
      <c r="O44">
        <f t="shared" si="14"/>
        <v>-6.5793208527543362E-2</v>
      </c>
      <c r="P44">
        <f ca="1">'Fixing Money'!P44</f>
        <v>-4.8360833043725474E-2</v>
      </c>
      <c r="Q44">
        <f t="shared" si="9"/>
        <v>-3.8699193358466874E-2</v>
      </c>
      <c r="R44">
        <f t="shared" si="10"/>
        <v>0.96204005366337153</v>
      </c>
      <c r="S44" s="7">
        <f t="shared" si="11"/>
        <v>0</v>
      </c>
      <c r="T44">
        <v>7.0566856325723959E-2</v>
      </c>
    </row>
    <row r="45" spans="2:20" ht="14.25" x14ac:dyDescent="0.45">
      <c r="E45">
        <v>42</v>
      </c>
      <c r="F45">
        <f t="shared" si="15"/>
        <v>1.4365957447857758</v>
      </c>
      <c r="G45">
        <f t="shared" si="16"/>
        <v>2000.7877682920666</v>
      </c>
      <c r="H45">
        <f t="shared" si="5"/>
        <v>2031.7765726511818</v>
      </c>
      <c r="I45">
        <f t="shared" si="6"/>
        <v>-1.5369582112878801E-2</v>
      </c>
      <c r="J45">
        <f t="shared" si="7"/>
        <v>1999.9231520894357</v>
      </c>
      <c r="K45">
        <f t="shared" si="12"/>
        <v>1437.2719964552184</v>
      </c>
      <c r="L45">
        <f>2</f>
        <v>2</v>
      </c>
      <c r="M45">
        <f t="shared" si="13"/>
        <v>-1.5369582112878801E-3</v>
      </c>
      <c r="N45">
        <f t="shared" si="8"/>
        <v>2.0015369582112879</v>
      </c>
      <c r="O45">
        <f t="shared" si="14"/>
        <v>-8.6461620263094119E-2</v>
      </c>
      <c r="P45">
        <f ca="1">'Fixing Money'!P45</f>
        <v>9.0855314497824465E-3</v>
      </c>
      <c r="Q45">
        <f t="shared" si="9"/>
        <v>1.5763388706915626E-2</v>
      </c>
      <c r="R45">
        <f t="shared" si="10"/>
        <v>1.0158882863255909</v>
      </c>
      <c r="S45" s="7">
        <f t="shared" si="11"/>
        <v>0</v>
      </c>
      <c r="T45">
        <v>5.2527622397459152E-2</v>
      </c>
    </row>
    <row r="46" spans="2:20" ht="14.25" x14ac:dyDescent="0.45">
      <c r="E46">
        <v>43</v>
      </c>
      <c r="F46">
        <f t="shared" si="15"/>
        <v>1.4350587865744879</v>
      </c>
      <c r="G46">
        <f t="shared" si="16"/>
        <v>2000.7013066718036</v>
      </c>
      <c r="H46">
        <f t="shared" si="5"/>
        <v>2007.3671858875941</v>
      </c>
      <c r="I46">
        <f t="shared" si="6"/>
        <v>-3.3262332587424138E-3</v>
      </c>
      <c r="J46">
        <f t="shared" si="7"/>
        <v>1999.9833688337062</v>
      </c>
      <c r="K46">
        <f t="shared" si="12"/>
        <v>1435.5858614265362</v>
      </c>
      <c r="L46">
        <f>2</f>
        <v>2</v>
      </c>
      <c r="M46">
        <f t="shared" si="13"/>
        <v>-3.3262332587424143E-4</v>
      </c>
      <c r="N46">
        <f t="shared" si="8"/>
        <v>2.0003326233258742</v>
      </c>
      <c r="O46">
        <f t="shared" si="14"/>
        <v>-7.1793783809744133E-2</v>
      </c>
      <c r="P46">
        <f ca="1">'Fixing Money'!P46</f>
        <v>6.7294543769308254E-2</v>
      </c>
      <c r="Q46">
        <f t="shared" si="9"/>
        <v>3.6768251301313466E-3</v>
      </c>
      <c r="R46">
        <f t="shared" si="10"/>
        <v>1.0036835929437971</v>
      </c>
      <c r="S46" s="7">
        <f t="shared" si="11"/>
        <v>0</v>
      </c>
      <c r="T46">
        <v>-1.1298394141438498E-2</v>
      </c>
    </row>
    <row r="47" spans="2:20" ht="14.25" x14ac:dyDescent="0.45">
      <c r="E47">
        <v>44</v>
      </c>
      <c r="F47">
        <f t="shared" si="15"/>
        <v>1.4347261632486137</v>
      </c>
      <c r="G47">
        <f t="shared" si="16"/>
        <v>2000.629512887994</v>
      </c>
      <c r="H47">
        <f t="shared" si="5"/>
        <v>1999.8598472167619</v>
      </c>
      <c r="I47">
        <f t="shared" si="6"/>
        <v>3.847857656636532E-4</v>
      </c>
      <c r="J47">
        <f t="shared" si="7"/>
        <v>2000.0019239288283</v>
      </c>
      <c r="K47">
        <f t="shared" si="12"/>
        <v>1435.174992242841</v>
      </c>
      <c r="L47">
        <f>2</f>
        <v>2</v>
      </c>
      <c r="M47">
        <f t="shared" si="13"/>
        <v>3.8478576566365323E-5</v>
      </c>
      <c r="N47">
        <f t="shared" si="8"/>
        <v>1.9999615214234336</v>
      </c>
      <c r="O47">
        <f t="shared" si="14"/>
        <v>-6.2758895916567789E-2</v>
      </c>
      <c r="P47">
        <f ca="1">'Fixing Money'!P47</f>
        <v>-5.9300403994689978E-2</v>
      </c>
      <c r="Q47">
        <f t="shared" si="9"/>
        <v>-7.0078847084038224E-5</v>
      </c>
      <c r="R47">
        <f t="shared" si="10"/>
        <v>0.99992992360838096</v>
      </c>
      <c r="S47" s="7">
        <f t="shared" si="11"/>
        <v>0</v>
      </c>
      <c r="T47">
        <v>-3.5630627207088174E-3</v>
      </c>
    </row>
    <row r="48" spans="2:20" ht="14.25" x14ac:dyDescent="0.45">
      <c r="E48">
        <v>45</v>
      </c>
      <c r="F48">
        <f t="shared" si="15"/>
        <v>1.43476464182518</v>
      </c>
      <c r="G48">
        <f t="shared" si="16"/>
        <v>2000.5667539920773</v>
      </c>
      <c r="H48">
        <f t="shared" si="5"/>
        <v>2216.1863203426747</v>
      </c>
      <c r="I48">
        <f t="shared" si="6"/>
        <v>-0.10235732751526037</v>
      </c>
      <c r="J48">
        <f t="shared" si="7"/>
        <v>1999.4882133624237</v>
      </c>
      <c r="K48">
        <f t="shared" si="12"/>
        <v>1435.9055144911561</v>
      </c>
      <c r="L48">
        <f>2</f>
        <v>2</v>
      </c>
      <c r="M48">
        <f t="shared" si="13"/>
        <v>-1.0235732751526038E-2</v>
      </c>
      <c r="N48">
        <f t="shared" si="8"/>
        <v>2.0102357327515259</v>
      </c>
      <c r="O48">
        <f t="shared" si="14"/>
        <v>-0.10785406296536167</v>
      </c>
      <c r="P48">
        <f ca="1">'Fixing Money'!P48</f>
        <v>-2.0034659034361049E-2</v>
      </c>
      <c r="Q48">
        <f t="shared" si="9"/>
        <v>0.10264066436762172</v>
      </c>
      <c r="R48">
        <f t="shared" si="10"/>
        <v>1.1080931601713373</v>
      </c>
      <c r="S48" s="7">
        <f t="shared" si="11"/>
        <v>0</v>
      </c>
      <c r="T48">
        <v>0.10270723927235155</v>
      </c>
    </row>
    <row r="49" spans="5:20" ht="14.25" x14ac:dyDescent="0.45">
      <c r="E49">
        <v>46</v>
      </c>
      <c r="F49">
        <f t="shared" si="15"/>
        <v>1.4245289090736539</v>
      </c>
      <c r="G49">
        <f t="shared" si="16"/>
        <v>2000.458899929112</v>
      </c>
      <c r="H49">
        <f t="shared" si="5"/>
        <v>2236.568259568332</v>
      </c>
      <c r="I49">
        <f t="shared" si="6"/>
        <v>-0.11156605993032061</v>
      </c>
      <c r="J49">
        <f t="shared" si="7"/>
        <v>1999.4421697003484</v>
      </c>
      <c r="K49">
        <f t="shared" si="12"/>
        <v>1425.6504125695608</v>
      </c>
      <c r="L49">
        <f>2</f>
        <v>2</v>
      </c>
      <c r="M49">
        <f t="shared" si="13"/>
        <v>-1.1156605993032061E-2</v>
      </c>
      <c r="N49">
        <f t="shared" si="8"/>
        <v>2.0111566059930319</v>
      </c>
      <c r="O49">
        <f t="shared" si="14"/>
        <v>-0.10167302287636631</v>
      </c>
      <c r="P49">
        <f ca="1">'Fixing Money'!P49</f>
        <v>-6.7354782691868148E-2</v>
      </c>
      <c r="Q49">
        <f t="shared" si="9"/>
        <v>0.11179548357525949</v>
      </c>
      <c r="R49">
        <f t="shared" si="10"/>
        <v>1.1182841297841659</v>
      </c>
      <c r="S49" s="7">
        <f t="shared" si="11"/>
        <v>0</v>
      </c>
      <c r="T49">
        <v>1.4286852426018862E-2</v>
      </c>
    </row>
    <row r="50" spans="5:20" ht="14.25" x14ac:dyDescent="0.45">
      <c r="E50">
        <v>47</v>
      </c>
      <c r="F50">
        <f t="shared" si="15"/>
        <v>1.4133723030806218</v>
      </c>
      <c r="G50">
        <f t="shared" si="16"/>
        <v>2000.3572269062356</v>
      </c>
      <c r="H50">
        <f t="shared" si="5"/>
        <v>2300.9801589071858</v>
      </c>
      <c r="I50">
        <f t="shared" si="6"/>
        <v>-0.14000941013942866</v>
      </c>
      <c r="J50">
        <f t="shared" si="7"/>
        <v>1999.2999529493029</v>
      </c>
      <c r="K50">
        <f t="shared" si="12"/>
        <v>1414.6141775005246</v>
      </c>
      <c r="L50">
        <f>2</f>
        <v>2</v>
      </c>
      <c r="M50">
        <f t="shared" si="13"/>
        <v>-1.4000941013942867E-2</v>
      </c>
      <c r="N50">
        <f t="shared" si="8"/>
        <v>2.014000941013943</v>
      </c>
      <c r="O50">
        <f t="shared" si="14"/>
        <v>-0.10572739569327042</v>
      </c>
      <c r="P50">
        <f ca="1">'Fixing Money'!P50</f>
        <v>4.552449528928753E-2</v>
      </c>
      <c r="Q50">
        <f t="shared" si="9"/>
        <v>0.14018800764306288</v>
      </c>
      <c r="R50">
        <f t="shared" si="10"/>
        <v>1.1504900794535928</v>
      </c>
      <c r="S50" s="7">
        <f t="shared" si="11"/>
        <v>0</v>
      </c>
      <c r="T50">
        <v>3.3982298246566359E-2</v>
      </c>
    </row>
    <row r="51" spans="5:20" ht="14.25" x14ac:dyDescent="0.45">
      <c r="E51">
        <v>48</v>
      </c>
      <c r="F51">
        <f t="shared" si="15"/>
        <v>1.399371362066679</v>
      </c>
      <c r="G51">
        <f t="shared" si="16"/>
        <v>2000.2514995105423</v>
      </c>
      <c r="H51">
        <f t="shared" si="5"/>
        <v>2219.8426133341341</v>
      </c>
      <c r="I51">
        <f t="shared" si="6"/>
        <v>-0.10416337606711332</v>
      </c>
      <c r="J51">
        <f t="shared" si="7"/>
        <v>1999.4791831196644</v>
      </c>
      <c r="K51">
        <f t="shared" si="12"/>
        <v>1400.2761489002148</v>
      </c>
      <c r="L51">
        <f>2</f>
        <v>2</v>
      </c>
      <c r="M51">
        <f t="shared" si="13"/>
        <v>-1.0416337606711332E-2</v>
      </c>
      <c r="N51">
        <f t="shared" si="8"/>
        <v>2.0104163376067112</v>
      </c>
      <c r="O51">
        <f t="shared" si="14"/>
        <v>-7.7231639087790432E-2</v>
      </c>
      <c r="P51">
        <f ca="1">'Fixing Money'!P51</f>
        <v>4.163043861881309E-2</v>
      </c>
      <c r="Q51">
        <f t="shared" si="9"/>
        <v>0.10428911791654667</v>
      </c>
      <c r="R51">
        <f t="shared" si="10"/>
        <v>1.109921306667067</v>
      </c>
      <c r="S51" s="7">
        <f t="shared" si="11"/>
        <v>0</v>
      </c>
      <c r="T51">
        <v>-2.8889489344363074E-2</v>
      </c>
    </row>
    <row r="52" spans="5:20" ht="14.25" x14ac:dyDescent="0.45">
      <c r="E52">
        <v>49</v>
      </c>
      <c r="F52">
        <f t="shared" si="15"/>
        <v>1.3889550244599678</v>
      </c>
      <c r="G52">
        <f t="shared" si="16"/>
        <v>2000.1742678714545</v>
      </c>
      <c r="H52">
        <f t="shared" si="5"/>
        <v>2329.9360023074046</v>
      </c>
      <c r="I52">
        <f t="shared" si="6"/>
        <v>-0.15260648967980109</v>
      </c>
      <c r="J52">
        <f t="shared" si="7"/>
        <v>1999.2369675516011</v>
      </c>
      <c r="K52">
        <f t="shared" si="12"/>
        <v>1390.1358673308268</v>
      </c>
      <c r="L52">
        <f>2</f>
        <v>2</v>
      </c>
      <c r="M52">
        <f t="shared" si="13"/>
        <v>-1.5260648967980109E-2</v>
      </c>
      <c r="N52">
        <f t="shared" si="8"/>
        <v>2.0152606489679803</v>
      </c>
      <c r="O52">
        <f t="shared" si="14"/>
        <v>-9.3730031985342077E-2</v>
      </c>
      <c r="P52">
        <f ca="1">'Fixing Money'!P52</f>
        <v>9.2826852901619752E-2</v>
      </c>
      <c r="Q52">
        <f t="shared" si="9"/>
        <v>0.15269361981958743</v>
      </c>
      <c r="R52">
        <f t="shared" si="10"/>
        <v>1.1649680011537022</v>
      </c>
      <c r="S52" s="7">
        <f t="shared" si="11"/>
        <v>0</v>
      </c>
      <c r="T52">
        <v>5.3618957798868085E-2</v>
      </c>
    </row>
    <row r="53" spans="5:20" ht="14.25" x14ac:dyDescent="0.45">
      <c r="E53">
        <v>50</v>
      </c>
      <c r="F53">
        <f t="shared" si="15"/>
        <v>1.3736943754919877</v>
      </c>
      <c r="G53">
        <f t="shared" si="16"/>
        <v>2000.0805378394691</v>
      </c>
      <c r="H53">
        <f t="shared" si="5"/>
        <v>2455.2785743779395</v>
      </c>
      <c r="I53">
        <f t="shared" si="6"/>
        <v>-0.20505277839179278</v>
      </c>
      <c r="J53">
        <f t="shared" si="7"/>
        <v>1998.974736108041</v>
      </c>
      <c r="K53">
        <f t="shared" si="12"/>
        <v>1375.1580919223131</v>
      </c>
      <c r="L53">
        <f>2</f>
        <v>2</v>
      </c>
      <c r="M53">
        <f t="shared" si="13"/>
        <v>-2.050527783917928E-2</v>
      </c>
      <c r="N53">
        <f t="shared" si="8"/>
        <v>2.0205052778391792</v>
      </c>
      <c r="O53">
        <f t="shared" si="14"/>
        <v>-0.11058017314280733</v>
      </c>
      <c r="P53">
        <f ca="1">'Fixing Money'!P53</f>
        <v>3.2544032071742716E-2</v>
      </c>
      <c r="Q53">
        <f t="shared" si="9"/>
        <v>0.20509304650075619</v>
      </c>
      <c r="R53">
        <f t="shared" si="10"/>
        <v>1.2276392871889699</v>
      </c>
      <c r="S53" s="7">
        <f t="shared" si="11"/>
        <v>0</v>
      </c>
      <c r="T53">
        <v>6.0034107672148153E-2</v>
      </c>
    </row>
    <row r="54" spans="5:20" ht="14.25" x14ac:dyDescent="0.45">
      <c r="E54">
        <v>51</v>
      </c>
      <c r="F54">
        <f t="shared" si="15"/>
        <v>1.3531890976528085</v>
      </c>
      <c r="G54">
        <f t="shared" si="16"/>
        <v>1999.9699576663263</v>
      </c>
      <c r="H54">
        <f t="shared" si="5"/>
        <v>2435.5564891099348</v>
      </c>
      <c r="I54">
        <f t="shared" si="6"/>
        <v>-0.19704310876566905</v>
      </c>
      <c r="J54">
        <f t="shared" si="7"/>
        <v>1999.0147844561716</v>
      </c>
      <c r="K54">
        <f t="shared" si="12"/>
        <v>1354.5019541063573</v>
      </c>
      <c r="L54">
        <f>2</f>
        <v>2</v>
      </c>
      <c r="M54">
        <f t="shared" si="13"/>
        <v>-1.9704310876566905E-2</v>
      </c>
      <c r="N54">
        <f t="shared" si="8"/>
        <v>2.0197043108765671</v>
      </c>
      <c r="O54">
        <f t="shared" si="14"/>
        <v>-9.5517321015472598E-2</v>
      </c>
      <c r="P54">
        <f ca="1">'Fixing Money'!P54</f>
        <v>5.4580631340534175E-2</v>
      </c>
      <c r="Q54">
        <f t="shared" si="9"/>
        <v>0.19702808748601333</v>
      </c>
      <c r="R54">
        <f t="shared" si="10"/>
        <v>1.2177782445549674</v>
      </c>
      <c r="S54" s="7">
        <f t="shared" si="11"/>
        <v>0</v>
      </c>
      <c r="T54">
        <v>2.1896933102949563E-3</v>
      </c>
    </row>
    <row r="55" spans="5:20" ht="14.25" x14ac:dyDescent="0.45">
      <c r="E55">
        <v>52</v>
      </c>
      <c r="F55">
        <f t="shared" si="15"/>
        <v>1.3334847867762416</v>
      </c>
      <c r="G55">
        <f t="shared" si="16"/>
        <v>1999.8744403453109</v>
      </c>
      <c r="H55">
        <f t="shared" si="5"/>
        <v>2188.7468728502681</v>
      </c>
      <c r="I55">
        <f t="shared" si="6"/>
        <v>-9.0244777117297448E-2</v>
      </c>
      <c r="J55">
        <f t="shared" si="7"/>
        <v>1999.5487761144136</v>
      </c>
      <c r="K55">
        <f t="shared" si="12"/>
        <v>1334.0027710184208</v>
      </c>
      <c r="L55">
        <f>2</f>
        <v>2</v>
      </c>
      <c r="M55">
        <f t="shared" si="13"/>
        <v>-9.0244777117297458E-3</v>
      </c>
      <c r="N55">
        <f t="shared" si="8"/>
        <v>2.0090244777117299</v>
      </c>
      <c r="O55">
        <f t="shared" si="14"/>
        <v>-3.2566423089724593E-2</v>
      </c>
      <c r="P55">
        <f ca="1">'Fixing Money'!P55</f>
        <v>-4.3258096274711763E-2</v>
      </c>
      <c r="Q55">
        <f t="shared" si="9"/>
        <v>9.018199531921707E-2</v>
      </c>
      <c r="R55">
        <f t="shared" si="10"/>
        <v>1.0943734364251341</v>
      </c>
      <c r="S55" s="7">
        <f t="shared" si="11"/>
        <v>0</v>
      </c>
      <c r="T55">
        <v>-9.6994687792495579E-2</v>
      </c>
    </row>
    <row r="56" spans="5:20" ht="14.25" x14ac:dyDescent="0.45">
      <c r="E56">
        <v>53</v>
      </c>
      <c r="F56">
        <f t="shared" si="15"/>
        <v>1.324460309064512</v>
      </c>
      <c r="G56">
        <f t="shared" si="16"/>
        <v>1999.8418739222211</v>
      </c>
      <c r="H56">
        <f t="shared" si="5"/>
        <v>2098.0626821166302</v>
      </c>
      <c r="I56">
        <f t="shared" si="6"/>
        <v>-4.7946272213715203E-2</v>
      </c>
      <c r="J56">
        <f t="shared" si="7"/>
        <v>1999.7602686389314</v>
      </c>
      <c r="K56">
        <f t="shared" si="12"/>
        <v>1324.6731078801622</v>
      </c>
      <c r="L56">
        <f>2</f>
        <v>2</v>
      </c>
      <c r="M56">
        <f t="shared" si="13"/>
        <v>-4.794627221371521E-3</v>
      </c>
      <c r="N56">
        <f t="shared" si="8"/>
        <v>2.0047946272213717</v>
      </c>
      <c r="O56">
        <f t="shared" si="14"/>
        <v>-8.16052832897185E-3</v>
      </c>
      <c r="P56">
        <f ca="1">'Fixing Money'!P56</f>
        <v>1.5300020753999423E-3</v>
      </c>
      <c r="Q56">
        <f t="shared" si="9"/>
        <v>4.7867206049179004E-2</v>
      </c>
      <c r="R56">
        <f t="shared" si="10"/>
        <v>1.0490313410583152</v>
      </c>
      <c r="S56" s="7">
        <f t="shared" si="11"/>
        <v>0</v>
      </c>
      <c r="T56">
        <v>-3.7805689504077214E-2</v>
      </c>
    </row>
    <row r="57" spans="5:20" ht="14.25" x14ac:dyDescent="0.45">
      <c r="E57">
        <v>54</v>
      </c>
      <c r="F57">
        <f t="shared" si="15"/>
        <v>1.3196656818431405</v>
      </c>
      <c r="G57">
        <f t="shared" si="16"/>
        <v>1999.8337133938921</v>
      </c>
      <c r="H57">
        <f t="shared" si="5"/>
        <v>2001.5248560763453</v>
      </c>
      <c r="I57">
        <f t="shared" si="6"/>
        <v>-8.4528429721366044E-4</v>
      </c>
      <c r="J57">
        <f t="shared" si="7"/>
        <v>1999.995773578514</v>
      </c>
      <c r="K57">
        <f t="shared" si="12"/>
        <v>1319.5615379428173</v>
      </c>
      <c r="L57">
        <f>2</f>
        <v>2</v>
      </c>
      <c r="M57">
        <f t="shared" si="13"/>
        <v>-8.452842972136605E-5</v>
      </c>
      <c r="N57">
        <f t="shared" si="8"/>
        <v>2.0000845284297215</v>
      </c>
      <c r="O57">
        <f t="shared" si="14"/>
        <v>1.6206018462185057E-2</v>
      </c>
      <c r="P57">
        <f ca="1">'Fixing Money'!P57</f>
        <v>0.1006792817678675</v>
      </c>
      <c r="Q57">
        <f t="shared" si="9"/>
        <v>7.6213753756367714E-4</v>
      </c>
      <c r="R57">
        <f t="shared" si="10"/>
        <v>1.0007624280381726</v>
      </c>
      <c r="S57" s="7">
        <f t="shared" si="11"/>
        <v>0</v>
      </c>
      <c r="T57">
        <v>-4.4711708209156376E-2</v>
      </c>
    </row>
    <row r="58" spans="5:20" ht="14.25" x14ac:dyDescent="0.45">
      <c r="E58">
        <v>55</v>
      </c>
      <c r="F58">
        <f t="shared" si="15"/>
        <v>1.3195811534134192</v>
      </c>
      <c r="G58">
        <f t="shared" si="16"/>
        <v>1999.8499194123542</v>
      </c>
      <c r="H58">
        <f t="shared" si="5"/>
        <v>2023.7293494479723</v>
      </c>
      <c r="I58">
        <f t="shared" si="6"/>
        <v>-1.1869884404887827E-2</v>
      </c>
      <c r="J58">
        <f t="shared" si="7"/>
        <v>1999.9406505779755</v>
      </c>
      <c r="K58">
        <f t="shared" si="12"/>
        <v>1319.5604480347133</v>
      </c>
      <c r="L58">
        <f>2</f>
        <v>2</v>
      </c>
      <c r="M58">
        <f t="shared" si="13"/>
        <v>-1.1869884404887828E-3</v>
      </c>
      <c r="N58">
        <f t="shared" si="8"/>
        <v>2.0011869884404887</v>
      </c>
      <c r="O58">
        <f t="shared" si="14"/>
        <v>9.0731165621264157E-3</v>
      </c>
      <c r="P58">
        <f ca="1">'Fixing Money'!P58</f>
        <v>3.5066516302235687E-2</v>
      </c>
      <c r="Q58">
        <f t="shared" si="9"/>
        <v>1.1794841295401206E-2</v>
      </c>
      <c r="R58">
        <f t="shared" si="10"/>
        <v>1.0118646747239861</v>
      </c>
      <c r="S58" s="7">
        <f t="shared" si="11"/>
        <v>0</v>
      </c>
      <c r="T58">
        <v>1.1070810634715713E-2</v>
      </c>
    </row>
    <row r="59" spans="5:20" ht="14.25" x14ac:dyDescent="0.45">
      <c r="E59">
        <v>56</v>
      </c>
      <c r="F59">
        <f t="shared" si="15"/>
        <v>1.3183941649729305</v>
      </c>
      <c r="G59">
        <f t="shared" si="16"/>
        <v>1999.8589925289164</v>
      </c>
      <c r="H59">
        <f t="shared" si="5"/>
        <v>2019.4391342158883</v>
      </c>
      <c r="I59">
        <f t="shared" si="6"/>
        <v>-9.7431421917919137E-3</v>
      </c>
      <c r="J59">
        <f t="shared" si="7"/>
        <v>1999.951284289041</v>
      </c>
      <c r="K59">
        <f t="shared" si="12"/>
        <v>1318.3654397684541</v>
      </c>
      <c r="L59">
        <f>2</f>
        <v>2</v>
      </c>
      <c r="M59">
        <f t="shared" si="13"/>
        <v>-9.7431421917919139E-4</v>
      </c>
      <c r="N59">
        <f t="shared" si="8"/>
        <v>2.0009743142191794</v>
      </c>
      <c r="O59">
        <f t="shared" si="14"/>
        <v>9.2291760124680877E-3</v>
      </c>
      <c r="P59">
        <f ca="1">'Fixing Money'!P59</f>
        <v>-6.0606236771063859E-2</v>
      </c>
      <c r="Q59">
        <f t="shared" si="9"/>
        <v>9.6726359707449139E-3</v>
      </c>
      <c r="R59">
        <f t="shared" si="10"/>
        <v>1.0097195671079442</v>
      </c>
      <c r="S59" s="7">
        <f t="shared" si="11"/>
        <v>0</v>
      </c>
      <c r="T59">
        <v>-1.5324632598862297E-3</v>
      </c>
    </row>
    <row r="60" spans="5:20" ht="14.25" x14ac:dyDescent="0.45">
      <c r="E60">
        <v>57</v>
      </c>
      <c r="F60">
        <f t="shared" si="15"/>
        <v>1.3174198507537513</v>
      </c>
      <c r="G60">
        <f t="shared" si="16"/>
        <v>1999.8682217049288</v>
      </c>
      <c r="H60">
        <f t="shared" si="5"/>
        <v>1939.4345690963848</v>
      </c>
      <c r="I60">
        <f t="shared" si="6"/>
        <v>3.0684817877551108E-2</v>
      </c>
      <c r="J60">
        <f t="shared" si="7"/>
        <v>2000.1534240893877</v>
      </c>
      <c r="K60">
        <f t="shared" si="12"/>
        <v>1317.1309231418954</v>
      </c>
      <c r="L60">
        <f>2</f>
        <v>2</v>
      </c>
      <c r="M60">
        <f t="shared" si="13"/>
        <v>3.0684817877551108E-3</v>
      </c>
      <c r="N60">
        <f t="shared" si="8"/>
        <v>1.9969315182122449</v>
      </c>
      <c r="O60">
        <f t="shared" si="14"/>
        <v>2.8520238445889846E-2</v>
      </c>
      <c r="P60">
        <f ca="1">'Fixing Money'!P60</f>
        <v>-4.1549788621880281E-2</v>
      </c>
      <c r="Q60">
        <f t="shared" si="9"/>
        <v>-3.0750709195871993E-2</v>
      </c>
      <c r="R60">
        <f t="shared" si="10"/>
        <v>0.96971728454819239</v>
      </c>
      <c r="S60" s="7">
        <f t="shared" si="11"/>
        <v>0</v>
      </c>
      <c r="T60">
        <v>-3.9939713368079659E-2</v>
      </c>
    </row>
    <row r="61" spans="5:20" ht="14.25" x14ac:dyDescent="0.45">
      <c r="E61">
        <v>58</v>
      </c>
      <c r="F61">
        <f t="shared" si="15"/>
        <v>1.3204883325415064</v>
      </c>
      <c r="G61">
        <f t="shared" si="16"/>
        <v>1999.8967419433748</v>
      </c>
      <c r="H61">
        <f t="shared" si="5"/>
        <v>1978.7994324376621</v>
      </c>
      <c r="I61">
        <f t="shared" si="6"/>
        <v>1.0605236648909912E-2</v>
      </c>
      <c r="J61">
        <f t="shared" si="7"/>
        <v>2000.0530261832446</v>
      </c>
      <c r="K61">
        <f t="shared" si="12"/>
        <v>1320.3501365557056</v>
      </c>
      <c r="L61">
        <f>2</f>
        <v>2</v>
      </c>
      <c r="M61">
        <f t="shared" si="13"/>
        <v>1.0605236648909913E-3</v>
      </c>
      <c r="N61">
        <f t="shared" si="8"/>
        <v>1.9989394763351089</v>
      </c>
      <c r="O61">
        <f t="shared" si="14"/>
        <v>1.5628423986981943E-2</v>
      </c>
      <c r="P61">
        <f ca="1">'Fixing Money'!P61</f>
        <v>-9.168667377111423E-4</v>
      </c>
      <c r="Q61">
        <f t="shared" si="9"/>
        <v>-1.0656867010046575E-2</v>
      </c>
      <c r="R61">
        <f t="shared" si="10"/>
        <v>0.98939971621883105</v>
      </c>
      <c r="S61" s="7">
        <f t="shared" si="11"/>
        <v>0</v>
      </c>
      <c r="T61">
        <v>1.8556306726031816E-2</v>
      </c>
    </row>
    <row r="62" spans="5:20" ht="14.25" x14ac:dyDescent="0.45">
      <c r="E62">
        <v>59</v>
      </c>
      <c r="F62">
        <f t="shared" si="15"/>
        <v>1.3215488562063975</v>
      </c>
      <c r="G62">
        <f t="shared" si="16"/>
        <v>1999.9123703673617</v>
      </c>
      <c r="H62">
        <f t="shared" si="5"/>
        <v>1985.7470307269807</v>
      </c>
      <c r="I62">
        <f t="shared" si="6"/>
        <v>7.1081835441968583E-3</v>
      </c>
      <c r="J62">
        <f t="shared" si="7"/>
        <v>2000.0355409177209</v>
      </c>
      <c r="K62">
        <f t="shared" si="12"/>
        <v>1321.4439837268435</v>
      </c>
      <c r="L62">
        <f>2</f>
        <v>2</v>
      </c>
      <c r="M62">
        <f t="shared" si="13"/>
        <v>7.1081835441968587E-4</v>
      </c>
      <c r="N62">
        <f t="shared" si="8"/>
        <v>1.9992891816455802</v>
      </c>
      <c r="O62">
        <f t="shared" si="14"/>
        <v>1.2317055035919112E-2</v>
      </c>
      <c r="P62">
        <f ca="1">'Fixing Money'!P62</f>
        <v>-0.11076877366017286</v>
      </c>
      <c r="Q62">
        <f t="shared" si="9"/>
        <v>-7.151999320413065E-3</v>
      </c>
      <c r="R62">
        <f t="shared" si="10"/>
        <v>0.99287351536349033</v>
      </c>
      <c r="S62" s="7">
        <f t="shared" si="11"/>
        <v>0</v>
      </c>
      <c r="T62">
        <v>2.9720243391311817E-3</v>
      </c>
    </row>
    <row r="63" spans="5:20" ht="14.25" x14ac:dyDescent="0.45">
      <c r="E63">
        <v>60</v>
      </c>
      <c r="F63">
        <f t="shared" si="15"/>
        <v>1.3222596745608173</v>
      </c>
      <c r="G63">
        <f t="shared" si="16"/>
        <v>1999.9246874223977</v>
      </c>
      <c r="H63">
        <f t="shared" si="5"/>
        <v>1975.5467511581946</v>
      </c>
      <c r="I63">
        <f t="shared" si="6"/>
        <v>1.226432749160049E-2</v>
      </c>
      <c r="J63">
        <f t="shared" si="7"/>
        <v>2000.0613216374579</v>
      </c>
      <c r="K63">
        <f t="shared" si="12"/>
        <v>1322.1288000402531</v>
      </c>
      <c r="L63">
        <f>2</f>
        <v>2</v>
      </c>
      <c r="M63">
        <f t="shared" si="13"/>
        <v>1.2264327491600491E-3</v>
      </c>
      <c r="N63">
        <f t="shared" si="8"/>
        <v>1.99877356725084</v>
      </c>
      <c r="O63">
        <f t="shared" si="14"/>
        <v>1.3663421506021223E-2</v>
      </c>
      <c r="P63">
        <f ca="1">'Fixing Money'!P63</f>
        <v>5.8188979205004588E-3</v>
      </c>
      <c r="Q63">
        <f t="shared" si="9"/>
        <v>-1.2301984489417498E-2</v>
      </c>
      <c r="R63">
        <f t="shared" si="10"/>
        <v>0.98777337557909728</v>
      </c>
      <c r="S63" s="7">
        <f t="shared" si="11"/>
        <v>0</v>
      </c>
      <c r="T63">
        <v>-5.5075851350250872E-3</v>
      </c>
    </row>
    <row r="64" spans="5:20" ht="14.25" x14ac:dyDescent="0.45">
      <c r="E64">
        <v>61</v>
      </c>
      <c r="F64">
        <f t="shared" si="15"/>
        <v>1.3234861073099773</v>
      </c>
      <c r="G64">
        <f t="shared" si="16"/>
        <v>1999.9383508439037</v>
      </c>
      <c r="H64">
        <f t="shared" si="5"/>
        <v>2149.3591469138323</v>
      </c>
      <c r="I64">
        <f t="shared" si="6"/>
        <v>-7.2053370997842162E-2</v>
      </c>
      <c r="J64">
        <f t="shared" si="7"/>
        <v>1999.6397331450107</v>
      </c>
      <c r="K64">
        <f t="shared" si="12"/>
        <v>1323.9221195866692</v>
      </c>
      <c r="L64">
        <f>2</f>
        <v>2</v>
      </c>
      <c r="M64">
        <f t="shared" si="13"/>
        <v>-7.2053370997842165E-3</v>
      </c>
      <c r="N64">
        <f t="shared" si="8"/>
        <v>2.0072053370997844</v>
      </c>
      <c r="O64">
        <f t="shared" si="14"/>
        <v>-2.986176988929401E-2</v>
      </c>
      <c r="P64">
        <f ca="1">'Fixing Money'!P64</f>
        <v>-2.006485549787599E-2</v>
      </c>
      <c r="Q64">
        <f t="shared" si="9"/>
        <v>7.2022545944706848E-2</v>
      </c>
      <c r="R64">
        <f t="shared" si="10"/>
        <v>1.0746795734569161</v>
      </c>
      <c r="S64" s="7">
        <f t="shared" si="11"/>
        <v>0</v>
      </c>
      <c r="T64">
        <v>8.3709431209653476E-2</v>
      </c>
    </row>
    <row r="65" spans="5:20" ht="14.25" x14ac:dyDescent="0.45">
      <c r="E65">
        <v>62</v>
      </c>
      <c r="F65">
        <f t="shared" si="15"/>
        <v>1.3162807702101931</v>
      </c>
      <c r="G65">
        <f t="shared" si="16"/>
        <v>1999.9084890740144</v>
      </c>
      <c r="H65">
        <f t="shared" si="5"/>
        <v>2131.0977303735044</v>
      </c>
      <c r="I65">
        <f t="shared" si="6"/>
        <v>-6.3535789288092628E-2</v>
      </c>
      <c r="J65">
        <f t="shared" si="7"/>
        <v>1999.6823210535595</v>
      </c>
      <c r="K65">
        <f t="shared" si="12"/>
        <v>1316.6386978624237</v>
      </c>
      <c r="L65">
        <f>2</f>
        <v>2</v>
      </c>
      <c r="M65">
        <f t="shared" si="13"/>
        <v>-6.3535789288092634E-3</v>
      </c>
      <c r="N65">
        <f t="shared" si="8"/>
        <v>2.0063535789288092</v>
      </c>
      <c r="O65">
        <f t="shared" si="14"/>
        <v>-2.2616802045490658E-2</v>
      </c>
      <c r="P65">
        <f ca="1">'Fixing Money'!P65</f>
        <v>-5.6747392140174324E-2</v>
      </c>
      <c r="Q65">
        <f t="shared" si="9"/>
        <v>6.3490032778286534E-2</v>
      </c>
      <c r="R65">
        <f t="shared" si="10"/>
        <v>1.0655488651867522</v>
      </c>
      <c r="S65" s="7">
        <f t="shared" si="11"/>
        <v>0</v>
      </c>
      <c r="T65">
        <v>-4.9313858691849731E-3</v>
      </c>
    </row>
    <row r="66" spans="5:20" ht="14.25" x14ac:dyDescent="0.45">
      <c r="E66">
        <v>63</v>
      </c>
      <c r="F66">
        <f t="shared" si="15"/>
        <v>1.3099271912813839</v>
      </c>
      <c r="G66">
        <f t="shared" si="16"/>
        <v>1999.8858722719688</v>
      </c>
      <c r="H66">
        <f t="shared" si="5"/>
        <v>2029.8779781135615</v>
      </c>
      <c r="I66">
        <f t="shared" si="6"/>
        <v>-1.4885566875669692E-2</v>
      </c>
      <c r="J66">
        <f t="shared" si="7"/>
        <v>1999.9255721656216</v>
      </c>
      <c r="K66">
        <f t="shared" si="12"/>
        <v>1309.9499368183106</v>
      </c>
      <c r="L66">
        <f>2</f>
        <v>2</v>
      </c>
      <c r="M66">
        <f t="shared" si="13"/>
        <v>-1.4885566875669693E-3</v>
      </c>
      <c r="N66">
        <f t="shared" si="8"/>
        <v>2.0014885566875669</v>
      </c>
      <c r="O66">
        <f t="shared" si="14"/>
        <v>3.9699893652823453E-3</v>
      </c>
      <c r="P66">
        <f ca="1">'Fixing Money'!P66</f>
        <v>-4.9365521641684534E-2</v>
      </c>
      <c r="Q66">
        <f t="shared" si="9"/>
        <v>1.4828501383449863E-2</v>
      </c>
      <c r="R66">
        <f t="shared" si="10"/>
        <v>1.0149389890567808</v>
      </c>
      <c r="S66" s="7">
        <f t="shared" si="11"/>
        <v>0</v>
      </c>
      <c r="T66">
        <v>-4.5487029755922344E-2</v>
      </c>
    </row>
    <row r="67" spans="5:20" ht="14.25" x14ac:dyDescent="0.45">
      <c r="E67">
        <v>64</v>
      </c>
      <c r="F67">
        <f t="shared" si="15"/>
        <v>1.308438634593817</v>
      </c>
      <c r="G67">
        <f t="shared" si="16"/>
        <v>1999.889842261334</v>
      </c>
      <c r="H67">
        <f t="shared" si="5"/>
        <v>1910.2704494621094</v>
      </c>
      <c r="I67">
        <f t="shared" si="6"/>
        <v>4.5847271562005742E-2</v>
      </c>
      <c r="J67">
        <f t="shared" si="7"/>
        <v>2000.2292363578101</v>
      </c>
      <c r="K67">
        <f t="shared" ref="K67:K100" si="17">F67*($B$11*G67-$B$12*M67)</f>
        <v>1308.0666255662197</v>
      </c>
      <c r="L67">
        <f>2</f>
        <v>2</v>
      </c>
      <c r="M67">
        <f t="shared" ref="M67:M100" si="18">Mi*I67</f>
        <v>4.5847271562005744E-3</v>
      </c>
      <c r="N67">
        <f t="shared" si="8"/>
        <v>1.9954152728437995</v>
      </c>
      <c r="O67">
        <f t="shared" ref="O67:O100" si="19">Ni*(J67-G67)</f>
        <v>3.3939409647609865E-2</v>
      </c>
      <c r="P67">
        <f ca="1">'Fixing Money'!P67</f>
        <v>3.3755690788477941E-2</v>
      </c>
      <c r="Q67">
        <f t="shared" si="9"/>
        <v>-4.5902351948235207E-2</v>
      </c>
      <c r="R67">
        <f t="shared" si="10"/>
        <v>0.95513522473105472</v>
      </c>
      <c r="S67" s="7">
        <f t="shared" si="11"/>
        <v>0</v>
      </c>
      <c r="T67">
        <v>-5.9989428262512572E-2</v>
      </c>
    </row>
    <row r="68" spans="5:20" ht="14.25" x14ac:dyDescent="0.45">
      <c r="E68">
        <v>65</v>
      </c>
      <c r="F68">
        <f t="shared" ref="F68:F100" si="20">F67+M67</f>
        <v>1.3130233617500175</v>
      </c>
      <c r="G68">
        <f t="shared" ref="G68:G100" si="21">G67+O67</f>
        <v>1999.9237816709817</v>
      </c>
      <c r="H68">
        <f t="shared" ref="H68:H100" si="22">$C$19*R68</f>
        <v>1961.3654723299353</v>
      </c>
      <c r="I68">
        <f t="shared" ref="I68:I100" si="23">LN(G68/H68)</f>
        <v>1.9468170432333173E-2</v>
      </c>
      <c r="J68">
        <f t="shared" ref="J68:J100" si="24">Beta0_1-Beta1*(L68-M68)</f>
        <v>2000.0973408521618</v>
      </c>
      <c r="K68">
        <f t="shared" si="17"/>
        <v>1312.8455127137793</v>
      </c>
      <c r="L68">
        <f>2</f>
        <v>2</v>
      </c>
      <c r="M68">
        <f t="shared" si="18"/>
        <v>1.9468170432333173E-3</v>
      </c>
      <c r="N68">
        <f t="shared" ref="N68:N100" si="25">L68-M68</f>
        <v>1.9980531829567667</v>
      </c>
      <c r="O68">
        <f t="shared" si="19"/>
        <v>1.7355918118005322E-2</v>
      </c>
      <c r="P68">
        <f ca="1">'Fixing Money'!P68</f>
        <v>2.1231353133960976E-2</v>
      </c>
      <c r="Q68">
        <f t="shared" si="9"/>
        <v>-1.9506280323014984E-2</v>
      </c>
      <c r="R68">
        <f t="shared" si="10"/>
        <v>0.98068273616496759</v>
      </c>
      <c r="S68" s="7">
        <f t="shared" si="11"/>
        <v>0</v>
      </c>
      <c r="T68">
        <v>2.4100954027808458E-2</v>
      </c>
    </row>
    <row r="69" spans="5:20" ht="14.25" x14ac:dyDescent="0.45">
      <c r="E69">
        <v>66</v>
      </c>
      <c r="F69">
        <f t="shared" si="20"/>
        <v>1.3149701787932508</v>
      </c>
      <c r="G69">
        <f t="shared" si="21"/>
        <v>1999.9411375890998</v>
      </c>
      <c r="H69">
        <f t="shared" si="22"/>
        <v>2034.7864981403684</v>
      </c>
      <c r="I69">
        <f t="shared" si="23"/>
        <v>-1.7273149550476583E-2</v>
      </c>
      <c r="J69">
        <f t="shared" si="24"/>
        <v>1999.9136342522477</v>
      </c>
      <c r="K69">
        <f t="shared" si="17"/>
        <v>1315.0450460185216</v>
      </c>
      <c r="L69">
        <f>2</f>
        <v>2</v>
      </c>
      <c r="M69">
        <f t="shared" si="18"/>
        <v>-1.7273149550476583E-3</v>
      </c>
      <c r="N69">
        <f t="shared" si="25"/>
        <v>2.0017273149550476</v>
      </c>
      <c r="O69">
        <f t="shared" si="19"/>
        <v>-2.7503336852078065E-3</v>
      </c>
      <c r="P69">
        <f ca="1">'Fixing Money'!P69</f>
        <v>-5.2543150083943217E-2</v>
      </c>
      <c r="Q69">
        <f t="shared" ref="Q69:Q100" si="26">$C$33*Q68+T69</f>
        <v>1.7243717911920139E-2</v>
      </c>
      <c r="R69">
        <f t="shared" ref="R69:R100" si="27">EXP(Q69)</f>
        <v>1.0173932490701842</v>
      </c>
      <c r="S69" s="7">
        <f t="shared" ref="S69:S100" si="28">L69-L68</f>
        <v>0</v>
      </c>
      <c r="T69">
        <v>3.5774684218784374E-2</v>
      </c>
    </row>
    <row r="70" spans="5:20" ht="14.25" x14ac:dyDescent="0.45">
      <c r="E70">
        <v>67</v>
      </c>
      <c r="F70">
        <f t="shared" si="20"/>
        <v>1.3132428638382032</v>
      </c>
      <c r="G70">
        <f t="shared" si="21"/>
        <v>1999.9383872554145</v>
      </c>
      <c r="H70">
        <f t="shared" si="22"/>
        <v>2168.8494100677171</v>
      </c>
      <c r="I70">
        <f t="shared" si="23"/>
        <v>-8.1080427444600908E-2</v>
      </c>
      <c r="J70">
        <f t="shared" si="24"/>
        <v>1999.5945978627769</v>
      </c>
      <c r="K70">
        <f t="shared" si="17"/>
        <v>1313.7347990533217</v>
      </c>
      <c r="L70">
        <f>2</f>
        <v>2</v>
      </c>
      <c r="M70">
        <f t="shared" si="18"/>
        <v>-8.1080427444600919E-3</v>
      </c>
      <c r="N70">
        <f t="shared" si="25"/>
        <v>2.00810804274446</v>
      </c>
      <c r="O70">
        <f t="shared" si="19"/>
        <v>-3.4378939263751816E-2</v>
      </c>
      <c r="P70">
        <f ca="1">'Fixing Money'!P70</f>
        <v>-8.2730295077972187E-3</v>
      </c>
      <c r="Q70">
        <f t="shared" si="26"/>
        <v>8.1049620597782257E-2</v>
      </c>
      <c r="R70">
        <f t="shared" si="27"/>
        <v>1.0844247050338587</v>
      </c>
      <c r="S70" s="7">
        <f t="shared" si="28"/>
        <v>0</v>
      </c>
      <c r="T70">
        <v>6.466808858145813E-2</v>
      </c>
    </row>
    <row r="71" spans="5:20" ht="14.25" x14ac:dyDescent="0.45">
      <c r="E71">
        <v>68</v>
      </c>
      <c r="F71">
        <f t="shared" si="20"/>
        <v>1.305134821093743</v>
      </c>
      <c r="G71">
        <f t="shared" si="21"/>
        <v>1999.9040083161508</v>
      </c>
      <c r="H71">
        <f t="shared" si="22"/>
        <v>2031.239307005467</v>
      </c>
      <c r="I71">
        <f t="shared" si="23"/>
        <v>-1.5546919272408576E-2</v>
      </c>
      <c r="J71">
        <f t="shared" si="24"/>
        <v>1999.922265403638</v>
      </c>
      <c r="K71">
        <f t="shared" si="17"/>
        <v>1305.1736341776952</v>
      </c>
      <c r="L71">
        <f>2</f>
        <v>2</v>
      </c>
      <c r="M71">
        <f t="shared" si="18"/>
        <v>-1.5546919272408576E-3</v>
      </c>
      <c r="N71">
        <f t="shared" si="25"/>
        <v>2.0015546919272409</v>
      </c>
      <c r="O71">
        <f t="shared" si="19"/>
        <v>1.8257087487199898E-3</v>
      </c>
      <c r="P71">
        <f ca="1">'Fixing Money'!P71</f>
        <v>3.3312733373142712E-3</v>
      </c>
      <c r="Q71">
        <f t="shared" si="26"/>
        <v>1.5498922278646632E-2</v>
      </c>
      <c r="R71">
        <f t="shared" si="27"/>
        <v>1.0156196535027335</v>
      </c>
      <c r="S71" s="7">
        <f t="shared" si="28"/>
        <v>0</v>
      </c>
      <c r="T71">
        <v>-6.149821728924651E-2</v>
      </c>
    </row>
    <row r="72" spans="5:20" ht="14.25" x14ac:dyDescent="0.45">
      <c r="E72">
        <v>69</v>
      </c>
      <c r="F72">
        <f t="shared" si="20"/>
        <v>1.3035801291665021</v>
      </c>
      <c r="G72">
        <f t="shared" si="21"/>
        <v>1999.9058340248996</v>
      </c>
      <c r="H72">
        <f t="shared" si="22"/>
        <v>2106.1614103064699</v>
      </c>
      <c r="I72">
        <f t="shared" si="23"/>
        <v>-5.1766957381395778E-2</v>
      </c>
      <c r="J72">
        <f t="shared" si="24"/>
        <v>1999.7411652130929</v>
      </c>
      <c r="K72">
        <f t="shared" si="17"/>
        <v>1303.8561646044589</v>
      </c>
      <c r="L72">
        <f>2</f>
        <v>2</v>
      </c>
      <c r="M72">
        <f t="shared" si="18"/>
        <v>-5.1766957381395784E-3</v>
      </c>
      <c r="N72">
        <f t="shared" si="25"/>
        <v>2.0051766957381396</v>
      </c>
      <c r="O72">
        <f t="shared" si="19"/>
        <v>-1.6466881180667772E-2</v>
      </c>
      <c r="P72">
        <f ca="1">'Fixing Money'!P72</f>
        <v>6.2588203517633077E-3</v>
      </c>
      <c r="Q72">
        <f t="shared" si="26"/>
        <v>5.1719873285406906E-2</v>
      </c>
      <c r="R72">
        <f t="shared" si="27"/>
        <v>1.0530807051532349</v>
      </c>
      <c r="S72" s="7">
        <f t="shared" si="28"/>
        <v>0</v>
      </c>
      <c r="T72">
        <v>3.6995897120692608E-2</v>
      </c>
    </row>
    <row r="73" spans="5:20" ht="14.25" x14ac:dyDescent="0.45">
      <c r="E73">
        <v>70</v>
      </c>
      <c r="F73">
        <f t="shared" si="20"/>
        <v>1.2984034334283625</v>
      </c>
      <c r="G73">
        <f t="shared" si="21"/>
        <v>1999.889367143719</v>
      </c>
      <c r="H73">
        <f t="shared" si="22"/>
        <v>2075.0177183709552</v>
      </c>
      <c r="I73">
        <f t="shared" si="23"/>
        <v>-3.6877830018364276E-2</v>
      </c>
      <c r="J73">
        <f t="shared" si="24"/>
        <v>1999.8156108499081</v>
      </c>
      <c r="K73">
        <f t="shared" si="17"/>
        <v>1298.5710218937061</v>
      </c>
      <c r="L73">
        <f>2</f>
        <v>2</v>
      </c>
      <c r="M73">
        <f t="shared" si="18"/>
        <v>-3.6877830018364277E-3</v>
      </c>
      <c r="N73">
        <f t="shared" si="25"/>
        <v>2.0036877830018365</v>
      </c>
      <c r="O73">
        <f t="shared" si="19"/>
        <v>-7.3756293810902209E-3</v>
      </c>
      <c r="P73">
        <f ca="1">'Fixing Money'!P73</f>
        <v>6.9883227870125783E-3</v>
      </c>
      <c r="Q73">
        <f t="shared" si="26"/>
        <v>3.6822512060213641E-2</v>
      </c>
      <c r="R73">
        <f t="shared" si="27"/>
        <v>1.0375088591854775</v>
      </c>
      <c r="S73" s="7">
        <f t="shared" si="28"/>
        <v>0</v>
      </c>
      <c r="T73">
        <v>-1.2311367560922916E-2</v>
      </c>
    </row>
    <row r="74" spans="5:20" ht="14.25" x14ac:dyDescent="0.45">
      <c r="E74">
        <v>71</v>
      </c>
      <c r="F74">
        <f t="shared" si="20"/>
        <v>1.294715650426526</v>
      </c>
      <c r="G74">
        <f t="shared" si="21"/>
        <v>1999.8819915143379</v>
      </c>
      <c r="H74">
        <f t="shared" si="22"/>
        <v>2139.6438636791613</v>
      </c>
      <c r="I74">
        <f t="shared" si="23"/>
        <v>-6.7551221766799341E-2</v>
      </c>
      <c r="J74">
        <f t="shared" si="24"/>
        <v>1999.6622438911661</v>
      </c>
      <c r="K74">
        <f t="shared" si="17"/>
        <v>1295.0765548300255</v>
      </c>
      <c r="L74">
        <f>2</f>
        <v>2</v>
      </c>
      <c r="M74">
        <f t="shared" si="18"/>
        <v>-6.7551221766799343E-3</v>
      </c>
      <c r="N74">
        <f t="shared" si="25"/>
        <v>2.00675512217668</v>
      </c>
      <c r="O74">
        <f t="shared" si="19"/>
        <v>-2.1974762317177012E-2</v>
      </c>
      <c r="P74">
        <f ca="1">'Fixing Money'!P74</f>
        <v>8.0617464541074251E-3</v>
      </c>
      <c r="Q74">
        <f t="shared" si="26"/>
        <v>6.7492215783149512E-2</v>
      </c>
      <c r="R74">
        <f t="shared" si="27"/>
        <v>1.0698219318395807</v>
      </c>
      <c r="S74" s="7">
        <f t="shared" si="28"/>
        <v>0</v>
      </c>
      <c r="T74">
        <v>3.2510829325946553E-2</v>
      </c>
    </row>
    <row r="75" spans="5:20" ht="14.25" x14ac:dyDescent="0.45">
      <c r="E75">
        <v>72</v>
      </c>
      <c r="F75">
        <f t="shared" si="20"/>
        <v>1.2879605282498461</v>
      </c>
      <c r="G75">
        <f t="shared" si="21"/>
        <v>1999.8600167520208</v>
      </c>
      <c r="H75">
        <f t="shared" si="22"/>
        <v>2189.7847002501867</v>
      </c>
      <c r="I75">
        <f t="shared" si="23"/>
        <v>-9.0726042121156203E-2</v>
      </c>
      <c r="J75">
        <f t="shared" si="24"/>
        <v>1999.5463697893942</v>
      </c>
      <c r="K75">
        <f t="shared" si="17"/>
        <v>1288.4546396065211</v>
      </c>
      <c r="L75">
        <f>2</f>
        <v>2</v>
      </c>
      <c r="M75">
        <f t="shared" si="18"/>
        <v>-9.0726042121156199E-3</v>
      </c>
      <c r="N75">
        <f t="shared" si="25"/>
        <v>2.0090726042121156</v>
      </c>
      <c r="O75">
        <f t="shared" si="19"/>
        <v>-3.1364696262653528E-2</v>
      </c>
      <c r="P75">
        <f ca="1">'Fixing Money'!P75</f>
        <v>-8.5656401625710213E-2</v>
      </c>
      <c r="Q75">
        <f t="shared" si="26"/>
        <v>9.0656048047638688E-2</v>
      </c>
      <c r="R75">
        <f t="shared" si="27"/>
        <v>1.0948923501250933</v>
      </c>
      <c r="S75" s="7">
        <f t="shared" si="28"/>
        <v>0</v>
      </c>
      <c r="T75">
        <v>2.6538443053646651E-2</v>
      </c>
    </row>
    <row r="76" spans="5:20" ht="14.25" x14ac:dyDescent="0.45">
      <c r="E76">
        <v>73</v>
      </c>
      <c r="F76">
        <f t="shared" si="20"/>
        <v>1.2788879240377304</v>
      </c>
      <c r="G76">
        <f t="shared" si="21"/>
        <v>1999.8286520557581</v>
      </c>
      <c r="H76">
        <f t="shared" si="22"/>
        <v>2220.978490049928</v>
      </c>
      <c r="I76">
        <f t="shared" si="23"/>
        <v>-0.10488635714361776</v>
      </c>
      <c r="J76">
        <f t="shared" si="24"/>
        <v>1999.475568214282</v>
      </c>
      <c r="K76">
        <f t="shared" si="17"/>
        <v>1279.4490461071171</v>
      </c>
      <c r="L76">
        <f>2</f>
        <v>2</v>
      </c>
      <c r="M76">
        <f t="shared" si="18"/>
        <v>-1.0488635714361776E-2</v>
      </c>
      <c r="N76">
        <f t="shared" si="25"/>
        <v>2.0104886357143616</v>
      </c>
      <c r="O76">
        <f t="shared" si="19"/>
        <v>-3.5308384147606377E-2</v>
      </c>
      <c r="P76">
        <f ca="1">'Fixing Money'!P76</f>
        <v>-9.0651567693094477E-4</v>
      </c>
      <c r="Q76">
        <f t="shared" si="26"/>
        <v>0.10480067950127241</v>
      </c>
      <c r="R76">
        <f t="shared" si="27"/>
        <v>1.1104892450249639</v>
      </c>
      <c r="S76" s="7">
        <f t="shared" si="28"/>
        <v>0</v>
      </c>
      <c r="T76">
        <v>1.8677433856015651E-2</v>
      </c>
    </row>
    <row r="77" spans="5:20" ht="14.25" x14ac:dyDescent="0.45">
      <c r="E77">
        <v>74</v>
      </c>
      <c r="F77">
        <f t="shared" si="20"/>
        <v>1.2683992883233686</v>
      </c>
      <c r="G77">
        <f t="shared" si="21"/>
        <v>1999.7933436716105</v>
      </c>
      <c r="H77">
        <f t="shared" si="22"/>
        <v>2365.6868321464017</v>
      </c>
      <c r="I77">
        <f t="shared" si="23"/>
        <v>-0.16802454800840327</v>
      </c>
      <c r="J77">
        <f t="shared" si="24"/>
        <v>1999.159877259958</v>
      </c>
      <c r="K77">
        <f t="shared" si="17"/>
        <v>1269.3338380390137</v>
      </c>
      <c r="L77">
        <f>2</f>
        <v>2</v>
      </c>
      <c r="M77">
        <f t="shared" si="18"/>
        <v>-1.6802454800840329E-2</v>
      </c>
      <c r="N77">
        <f t="shared" si="25"/>
        <v>2.0168024548008403</v>
      </c>
      <c r="O77">
        <f t="shared" si="19"/>
        <v>-6.3346641165253459E-2</v>
      </c>
      <c r="P77">
        <f ca="1">'Fixing Money'!P77</f>
        <v>1.6932117411982705E-3</v>
      </c>
      <c r="Q77">
        <f t="shared" si="26"/>
        <v>0.16792121450548614</v>
      </c>
      <c r="R77">
        <f t="shared" si="27"/>
        <v>1.1828434160732009</v>
      </c>
      <c r="S77" s="7">
        <f t="shared" si="28"/>
        <v>0</v>
      </c>
      <c r="T77">
        <v>6.8360568979277364E-2</v>
      </c>
    </row>
    <row r="78" spans="5:20" ht="14.25" x14ac:dyDescent="0.45">
      <c r="E78">
        <v>75</v>
      </c>
      <c r="F78">
        <f t="shared" si="20"/>
        <v>1.2515968335225283</v>
      </c>
      <c r="G78">
        <f t="shared" si="21"/>
        <v>1999.7299970304452</v>
      </c>
      <c r="H78">
        <f t="shared" si="22"/>
        <v>2314.9393442550563</v>
      </c>
      <c r="I78">
        <f t="shared" si="23"/>
        <v>-0.14637131604757225</v>
      </c>
      <c r="J78">
        <f t="shared" si="24"/>
        <v>1999.2681434197621</v>
      </c>
      <c r="K78">
        <f t="shared" si="17"/>
        <v>1252.3438554700783</v>
      </c>
      <c r="L78">
        <f>2</f>
        <v>2</v>
      </c>
      <c r="M78">
        <f t="shared" si="18"/>
        <v>-1.4637131604757226E-2</v>
      </c>
      <c r="N78">
        <f t="shared" si="25"/>
        <v>2.0146371316047573</v>
      </c>
      <c r="O78">
        <f t="shared" si="19"/>
        <v>-4.6185361068319254E-2</v>
      </c>
      <c r="P78">
        <f ca="1">'Fixing Money'!P78</f>
        <v>-9.8133722029898965E-2</v>
      </c>
      <c r="Q78">
        <f t="shared" si="26"/>
        <v>0.14623630544927424</v>
      </c>
      <c r="R78">
        <f t="shared" si="27"/>
        <v>1.1574696721275282</v>
      </c>
      <c r="S78" s="7">
        <f t="shared" si="28"/>
        <v>0</v>
      </c>
      <c r="T78">
        <v>-1.328884833093757E-2</v>
      </c>
    </row>
    <row r="79" spans="5:20" ht="14.25" x14ac:dyDescent="0.45">
      <c r="E79">
        <v>76</v>
      </c>
      <c r="F79">
        <f t="shared" si="20"/>
        <v>1.2369597019177709</v>
      </c>
      <c r="G79">
        <f t="shared" si="21"/>
        <v>1999.6838116693768</v>
      </c>
      <c r="H79">
        <f t="shared" si="22"/>
        <v>2187.0976317986488</v>
      </c>
      <c r="I79">
        <f t="shared" si="23"/>
        <v>-8.9586308685019031E-2</v>
      </c>
      <c r="J79">
        <f t="shared" si="24"/>
        <v>1999.5520684565749</v>
      </c>
      <c r="K79">
        <f t="shared" si="17"/>
        <v>1237.3182190746068</v>
      </c>
      <c r="L79">
        <f>2</f>
        <v>2</v>
      </c>
      <c r="M79">
        <f t="shared" si="18"/>
        <v>-8.9586308685019028E-3</v>
      </c>
      <c r="N79">
        <f t="shared" si="25"/>
        <v>2.0089586308685017</v>
      </c>
      <c r="O79">
        <f t="shared" si="19"/>
        <v>-1.3174321280189361E-2</v>
      </c>
      <c r="P79">
        <f ca="1">'Fixing Money'!P79</f>
        <v>-2.3207789933777884E-2</v>
      </c>
      <c r="Q79">
        <f t="shared" si="26"/>
        <v>8.9428202021507419E-2</v>
      </c>
      <c r="R79">
        <f t="shared" si="27"/>
        <v>1.0935488158993243</v>
      </c>
      <c r="S79" s="7">
        <f t="shared" si="28"/>
        <v>0</v>
      </c>
      <c r="T79">
        <v>-4.9496288155303103E-2</v>
      </c>
    </row>
    <row r="80" spans="5:20" ht="14.25" x14ac:dyDescent="0.45">
      <c r="E80">
        <v>77</v>
      </c>
      <c r="F80">
        <f t="shared" si="20"/>
        <v>1.228001071049269</v>
      </c>
      <c r="G80">
        <f t="shared" si="21"/>
        <v>1999.6706373480965</v>
      </c>
      <c r="H80">
        <f t="shared" si="22"/>
        <v>2150.2380538011325</v>
      </c>
      <c r="I80">
        <f t="shared" si="23"/>
        <v>-7.2596073035932018E-2</v>
      </c>
      <c r="J80">
        <f t="shared" si="24"/>
        <v>1999.6370196348203</v>
      </c>
      <c r="K80">
        <f t="shared" si="17"/>
        <v>1228.244582481829</v>
      </c>
      <c r="L80">
        <f>2</f>
        <v>2</v>
      </c>
      <c r="M80">
        <f t="shared" si="18"/>
        <v>-7.2596073035932022E-3</v>
      </c>
      <c r="N80">
        <f t="shared" si="25"/>
        <v>2.0072596073035931</v>
      </c>
      <c r="O80">
        <f t="shared" si="19"/>
        <v>-3.3617713276271389E-3</v>
      </c>
      <c r="P80">
        <f ca="1">'Fixing Money'!P80</f>
        <v>5.9672764395068981E-2</v>
      </c>
      <c r="Q80">
        <f t="shared" si="26"/>
        <v>7.2431378148521949E-2</v>
      </c>
      <c r="R80">
        <f t="shared" si="27"/>
        <v>1.0751190269005664</v>
      </c>
      <c r="S80" s="7">
        <f t="shared" si="28"/>
        <v>0</v>
      </c>
      <c r="T80">
        <v>-1.2525413771910089E-2</v>
      </c>
    </row>
    <row r="81" spans="5:20" ht="14.25" x14ac:dyDescent="0.45">
      <c r="E81">
        <v>78</v>
      </c>
      <c r="F81">
        <f t="shared" si="20"/>
        <v>1.2207414637456759</v>
      </c>
      <c r="G81">
        <f t="shared" si="21"/>
        <v>1999.6672755767688</v>
      </c>
      <c r="H81">
        <f t="shared" si="22"/>
        <v>2179.51490264319</v>
      </c>
      <c r="I81">
        <f t="shared" si="23"/>
        <v>-8.6121525807456203E-2</v>
      </c>
      <c r="J81">
        <f t="shared" si="24"/>
        <v>1999.5693923709628</v>
      </c>
      <c r="K81">
        <f t="shared" si="17"/>
        <v>1221.0640390833273</v>
      </c>
      <c r="L81">
        <f>2</f>
        <v>2</v>
      </c>
      <c r="M81">
        <f t="shared" si="18"/>
        <v>-8.6121525807456214E-3</v>
      </c>
      <c r="N81">
        <f t="shared" si="25"/>
        <v>2.0086121525807457</v>
      </c>
      <c r="O81">
        <f t="shared" si="19"/>
        <v>-9.7883205806056153E-3</v>
      </c>
      <c r="P81">
        <f ca="1">'Fixing Money'!P81</f>
        <v>-1.0601866753119844E-2</v>
      </c>
      <c r="Q81">
        <f t="shared" si="26"/>
        <v>8.5955149756113E-2</v>
      </c>
      <c r="R81">
        <f t="shared" si="27"/>
        <v>1.0897574513215951</v>
      </c>
      <c r="S81" s="7">
        <f t="shared" si="28"/>
        <v>0</v>
      </c>
      <c r="T81">
        <v>1.7145340515017152E-2</v>
      </c>
    </row>
    <row r="82" spans="5:20" ht="14.25" x14ac:dyDescent="0.45">
      <c r="E82">
        <v>79</v>
      </c>
      <c r="F82">
        <f t="shared" si="20"/>
        <v>1.2121293111649303</v>
      </c>
      <c r="G82">
        <f t="shared" si="21"/>
        <v>1999.6574872561882</v>
      </c>
      <c r="H82">
        <f t="shared" si="22"/>
        <v>2227.1504043872701</v>
      </c>
      <c r="I82">
        <f t="shared" si="23"/>
        <v>-0.10774701324294871</v>
      </c>
      <c r="J82">
        <f t="shared" si="24"/>
        <v>1999.4612649337853</v>
      </c>
      <c r="K82">
        <f t="shared" si="17"/>
        <v>1212.5747428615307</v>
      </c>
      <c r="L82">
        <f>2</f>
        <v>2</v>
      </c>
      <c r="M82">
        <f t="shared" si="18"/>
        <v>-1.0774701324294872E-2</v>
      </c>
      <c r="N82">
        <f t="shared" si="25"/>
        <v>2.0107747013242947</v>
      </c>
      <c r="O82">
        <f t="shared" si="19"/>
        <v>-1.9622232240294579E-2</v>
      </c>
      <c r="P82">
        <f ca="1">'Fixing Money'!P82</f>
        <v>-2.9731252280796629E-2</v>
      </c>
      <c r="Q82">
        <f t="shared" si="26"/>
        <v>0.10757574220499599</v>
      </c>
      <c r="R82">
        <f t="shared" si="27"/>
        <v>1.1135752021936351</v>
      </c>
      <c r="S82" s="7">
        <f t="shared" si="28"/>
        <v>0</v>
      </c>
      <c r="T82">
        <v>2.5918349936688657E-2</v>
      </c>
    </row>
    <row r="83" spans="5:20" ht="14.25" x14ac:dyDescent="0.45">
      <c r="E83">
        <v>80</v>
      </c>
      <c r="F83">
        <f t="shared" si="20"/>
        <v>1.2013546098406354</v>
      </c>
      <c r="G83">
        <f t="shared" si="21"/>
        <v>1999.6378650239481</v>
      </c>
      <c r="H83">
        <f t="shared" si="22"/>
        <v>2198.3625649386522</v>
      </c>
      <c r="I83">
        <f t="shared" si="23"/>
        <v>-9.4746697902477042E-2</v>
      </c>
      <c r="J83">
        <f t="shared" si="24"/>
        <v>1999.5262665104876</v>
      </c>
      <c r="K83">
        <f t="shared" si="17"/>
        <v>1201.7062054906646</v>
      </c>
      <c r="L83">
        <f>2</f>
        <v>2</v>
      </c>
      <c r="M83">
        <f t="shared" si="18"/>
        <v>-9.4746697902477056E-3</v>
      </c>
      <c r="N83">
        <f t="shared" si="25"/>
        <v>2.0094746697902477</v>
      </c>
      <c r="O83">
        <f t="shared" si="19"/>
        <v>-1.115985134604216E-2</v>
      </c>
      <c r="P83">
        <f ca="1">'Fixing Money'!P83</f>
        <v>-1.9317474280503885E-2</v>
      </c>
      <c r="Q83">
        <f t="shared" si="26"/>
        <v>9.4565614019754371E-2</v>
      </c>
      <c r="R83">
        <f t="shared" si="27"/>
        <v>1.0991812824693261</v>
      </c>
      <c r="S83" s="7">
        <f t="shared" si="28"/>
        <v>0</v>
      </c>
      <c r="T83">
        <v>-7.6313410749918242E-3</v>
      </c>
    </row>
    <row r="84" spans="5:20" ht="14.25" x14ac:dyDescent="0.45">
      <c r="E84">
        <v>81</v>
      </c>
      <c r="F84">
        <f t="shared" si="20"/>
        <v>1.1918799400503877</v>
      </c>
      <c r="G84">
        <f t="shared" si="21"/>
        <v>1999.626705172602</v>
      </c>
      <c r="H84">
        <f t="shared" si="22"/>
        <v>2169.3461653168265</v>
      </c>
      <c r="I84">
        <f t="shared" si="23"/>
        <v>-8.1465300119443182E-2</v>
      </c>
      <c r="J84">
        <f t="shared" si="24"/>
        <v>1999.5926734994027</v>
      </c>
      <c r="K84">
        <f t="shared" si="17"/>
        <v>1192.1429630272503</v>
      </c>
      <c r="L84">
        <f>2</f>
        <v>2</v>
      </c>
      <c r="M84">
        <f t="shared" si="18"/>
        <v>-8.1465300119443178E-3</v>
      </c>
      <c r="N84">
        <f t="shared" si="25"/>
        <v>2.0081465300119441</v>
      </c>
      <c r="O84">
        <f t="shared" si="19"/>
        <v>-3.4031673199251601E-3</v>
      </c>
      <c r="P84">
        <f ca="1">'Fixing Money'!P84</f>
        <v>6.1443312116776151E-2</v>
      </c>
      <c r="Q84">
        <f t="shared" si="26"/>
        <v>8.1278635284947817E-2</v>
      </c>
      <c r="R84">
        <f t="shared" si="27"/>
        <v>1.0846730826584132</v>
      </c>
      <c r="S84" s="7">
        <f t="shared" si="28"/>
        <v>0</v>
      </c>
      <c r="T84">
        <v>-8.5586980338188227E-3</v>
      </c>
    </row>
    <row r="85" spans="5:20" ht="14.25" x14ac:dyDescent="0.45">
      <c r="E85">
        <v>82</v>
      </c>
      <c r="F85">
        <f t="shared" si="20"/>
        <v>1.1837334100384433</v>
      </c>
      <c r="G85">
        <f t="shared" si="21"/>
        <v>1999.6233020052821</v>
      </c>
      <c r="H85">
        <f t="shared" si="22"/>
        <v>2242.094114462443</v>
      </c>
      <c r="I85">
        <f t="shared" si="23"/>
        <v>-0.11445148785098129</v>
      </c>
      <c r="J85">
        <f t="shared" si="24"/>
        <v>1999.4277425607452</v>
      </c>
      <c r="K85">
        <f t="shared" si="17"/>
        <v>1184.1878552875114</v>
      </c>
      <c r="L85">
        <f>2</f>
        <v>2</v>
      </c>
      <c r="M85">
        <f t="shared" si="18"/>
        <v>-1.1445148785098129E-2</v>
      </c>
      <c r="N85">
        <f t="shared" si="25"/>
        <v>2.0114451487850982</v>
      </c>
      <c r="O85">
        <f t="shared" si="19"/>
        <v>-1.9555944453691156E-2</v>
      </c>
      <c r="P85">
        <f ca="1">'Fixing Money'!P85</f>
        <v>0.11444456830362969</v>
      </c>
      <c r="Q85">
        <f t="shared" si="26"/>
        <v>0.11426312111372239</v>
      </c>
      <c r="R85">
        <f t="shared" si="27"/>
        <v>1.1210470572312214</v>
      </c>
      <c r="S85" s="7">
        <f t="shared" si="28"/>
        <v>0</v>
      </c>
      <c r="T85">
        <v>3.7048417593021965E-2</v>
      </c>
    </row>
    <row r="86" spans="5:20" ht="14.25" x14ac:dyDescent="0.45">
      <c r="E86">
        <v>83</v>
      </c>
      <c r="F86">
        <f t="shared" si="20"/>
        <v>1.1722882612533452</v>
      </c>
      <c r="G86">
        <f t="shared" si="21"/>
        <v>1999.6037460608284</v>
      </c>
      <c r="H86">
        <f t="shared" si="22"/>
        <v>2137.4107820330701</v>
      </c>
      <c r="I86">
        <f t="shared" si="23"/>
        <v>-6.6646147597313257E-2</v>
      </c>
      <c r="J86">
        <f t="shared" si="24"/>
        <v>1999.6667692620135</v>
      </c>
      <c r="K86">
        <f t="shared" si="17"/>
        <v>1172.4466418150926</v>
      </c>
      <c r="L86">
        <f>2</f>
        <v>2</v>
      </c>
      <c r="M86">
        <f t="shared" si="18"/>
        <v>-6.6646147597313257E-3</v>
      </c>
      <c r="N86">
        <f t="shared" si="25"/>
        <v>2.0066646147597313</v>
      </c>
      <c r="O86">
        <f t="shared" si="19"/>
        <v>6.3023201185160365E-3</v>
      </c>
      <c r="P86">
        <f ca="1">'Fixing Money'!P86</f>
        <v>-2.8136595372678253E-2</v>
      </c>
      <c r="Q86">
        <f t="shared" si="26"/>
        <v>6.6448000997986589E-2</v>
      </c>
      <c r="R86">
        <f t="shared" si="27"/>
        <v>1.0687053910165349</v>
      </c>
      <c r="S86" s="7">
        <f t="shared" si="28"/>
        <v>0</v>
      </c>
      <c r="T86">
        <v>-4.2101964060049686E-2</v>
      </c>
    </row>
    <row r="87" spans="5:20" ht="14.25" x14ac:dyDescent="0.45">
      <c r="E87">
        <v>84</v>
      </c>
      <c r="F87">
        <f t="shared" si="20"/>
        <v>1.1656236464936138</v>
      </c>
      <c r="G87">
        <f t="shared" si="21"/>
        <v>1999.6100483809469</v>
      </c>
      <c r="H87">
        <f t="shared" si="22"/>
        <v>1922.2720646769917</v>
      </c>
      <c r="I87">
        <f t="shared" si="23"/>
        <v>3.9444332308069721E-2</v>
      </c>
      <c r="J87">
        <f t="shared" si="24"/>
        <v>2000.1972216615404</v>
      </c>
      <c r="K87">
        <f t="shared" si="17"/>
        <v>1165.1664918472434</v>
      </c>
      <c r="L87">
        <f>2</f>
        <v>2</v>
      </c>
      <c r="M87">
        <f t="shared" si="18"/>
        <v>3.9444332308069723E-3</v>
      </c>
      <c r="N87">
        <f t="shared" si="25"/>
        <v>1.996055566769193</v>
      </c>
      <c r="O87">
        <f t="shared" si="19"/>
        <v>5.8717328059356082E-2</v>
      </c>
      <c r="P87">
        <f ca="1">'Fixing Money'!P87</f>
        <v>3.9831320990896958E-2</v>
      </c>
      <c r="Q87">
        <f t="shared" si="26"/>
        <v>-3.9639327127850552E-2</v>
      </c>
      <c r="R87">
        <f t="shared" si="27"/>
        <v>0.96113603233849587</v>
      </c>
      <c r="S87" s="7">
        <f t="shared" si="28"/>
        <v>0</v>
      </c>
      <c r="T87">
        <v>-0.1027649280759378</v>
      </c>
    </row>
    <row r="88" spans="5:20" ht="14.25" x14ac:dyDescent="0.45">
      <c r="E88">
        <v>85</v>
      </c>
      <c r="F88">
        <f t="shared" si="20"/>
        <v>1.1695680797244208</v>
      </c>
      <c r="G88">
        <f t="shared" si="21"/>
        <v>1999.6687657090063</v>
      </c>
      <c r="H88">
        <f t="shared" si="22"/>
        <v>1811.0183696091131</v>
      </c>
      <c r="I88">
        <f t="shared" si="23"/>
        <v>9.9092227497332028E-2</v>
      </c>
      <c r="J88">
        <f t="shared" si="24"/>
        <v>2000.4954611374867</v>
      </c>
      <c r="K88">
        <f t="shared" si="17"/>
        <v>1168.7949036664443</v>
      </c>
      <c r="L88">
        <f>2</f>
        <v>2</v>
      </c>
      <c r="M88">
        <f t="shared" si="18"/>
        <v>9.9092227497332031E-3</v>
      </c>
      <c r="N88">
        <f t="shared" si="25"/>
        <v>1.9900907772502667</v>
      </c>
      <c r="O88">
        <f t="shared" si="19"/>
        <v>8.2669542848043426E-2</v>
      </c>
      <c r="P88">
        <f ca="1">'Fixing Money'!P88</f>
        <v>3.9284299345153803E-2</v>
      </c>
      <c r="Q88">
        <f t="shared" si="26"/>
        <v>-9.9257858358862763E-2</v>
      </c>
      <c r="R88">
        <f t="shared" si="27"/>
        <v>0.90550918480455656</v>
      </c>
      <c r="S88" s="7">
        <f t="shared" si="28"/>
        <v>0</v>
      </c>
      <c r="T88">
        <v>-6.160049758740474E-2</v>
      </c>
    </row>
    <row r="89" spans="5:20" ht="14.25" x14ac:dyDescent="0.45">
      <c r="E89">
        <v>86</v>
      </c>
      <c r="F89">
        <f t="shared" si="20"/>
        <v>1.1794773024741541</v>
      </c>
      <c r="G89">
        <f t="shared" si="21"/>
        <v>1999.7514352518542</v>
      </c>
      <c r="H89">
        <f t="shared" si="22"/>
        <v>1749.2784082717935</v>
      </c>
      <c r="I89">
        <f t="shared" si="23"/>
        <v>0.13381952569190228</v>
      </c>
      <c r="J89">
        <f t="shared" si="24"/>
        <v>2000.6690976284594</v>
      </c>
      <c r="K89">
        <f t="shared" si="17"/>
        <v>1178.5415287689302</v>
      </c>
      <c r="L89">
        <f>2</f>
        <v>2</v>
      </c>
      <c r="M89">
        <f t="shared" si="18"/>
        <v>1.3381952569190229E-2</v>
      </c>
      <c r="N89">
        <f t="shared" si="25"/>
        <v>1.9866180474308097</v>
      </c>
      <c r="O89">
        <f t="shared" si="19"/>
        <v>9.1766237660522165E-2</v>
      </c>
      <c r="P89">
        <f ca="1">'Fixing Money'!P89</f>
        <v>-4.1133611372418964E-2</v>
      </c>
      <c r="Q89">
        <f t="shared" si="26"/>
        <v>-0.13394381578966938</v>
      </c>
      <c r="R89">
        <f t="shared" si="27"/>
        <v>0.8746392041358968</v>
      </c>
      <c r="S89" s="7">
        <f t="shared" si="28"/>
        <v>0</v>
      </c>
      <c r="T89">
        <v>-3.9648850348749765E-2</v>
      </c>
    </row>
    <row r="90" spans="5:20" ht="14.25" x14ac:dyDescent="0.45">
      <c r="E90">
        <v>87</v>
      </c>
      <c r="F90">
        <f t="shared" si="20"/>
        <v>1.1928592550433443</v>
      </c>
      <c r="G90">
        <f t="shared" si="21"/>
        <v>1999.8432014895147</v>
      </c>
      <c r="H90">
        <f t="shared" si="22"/>
        <v>1654.208745804154</v>
      </c>
      <c r="I90">
        <f t="shared" si="23"/>
        <v>0.18974598294015488</v>
      </c>
      <c r="J90">
        <f t="shared" si="24"/>
        <v>2000.9487299147008</v>
      </c>
      <c r="K90">
        <f t="shared" si="17"/>
        <v>1191.6340345068525</v>
      </c>
      <c r="L90">
        <f>2</f>
        <v>2</v>
      </c>
      <c r="M90">
        <f t="shared" si="18"/>
        <v>1.8974598294015488E-2</v>
      </c>
      <c r="N90">
        <f t="shared" si="25"/>
        <v>1.9810254017059845</v>
      </c>
      <c r="O90">
        <f t="shared" si="19"/>
        <v>0.1105528425186094</v>
      </c>
      <c r="P90">
        <f ca="1">'Fixing Money'!P90</f>
        <v>2.5505491989453379E-2</v>
      </c>
      <c r="Q90">
        <f t="shared" si="26"/>
        <v>-0.18982438526877976</v>
      </c>
      <c r="R90">
        <f t="shared" si="27"/>
        <v>0.82710437290207695</v>
      </c>
      <c r="S90" s="7">
        <f t="shared" si="28"/>
        <v>0</v>
      </c>
      <c r="T90">
        <v>-6.2577760268593838E-2</v>
      </c>
    </row>
    <row r="91" spans="5:20" ht="14.25" x14ac:dyDescent="0.45">
      <c r="E91">
        <v>88</v>
      </c>
      <c r="F91">
        <f t="shared" si="20"/>
        <v>1.2118338533373598</v>
      </c>
      <c r="G91">
        <f t="shared" si="21"/>
        <v>1999.9537543320334</v>
      </c>
      <c r="H91">
        <f t="shared" si="22"/>
        <v>1682.4225398345054</v>
      </c>
      <c r="I91">
        <f t="shared" si="23"/>
        <v>0.1728893147130432</v>
      </c>
      <c r="J91">
        <f t="shared" si="24"/>
        <v>2000.8644465735651</v>
      </c>
      <c r="K91">
        <f t="shared" si="17"/>
        <v>1210.7582666821058</v>
      </c>
      <c r="L91">
        <f>2</f>
        <v>2</v>
      </c>
      <c r="M91">
        <f t="shared" si="18"/>
        <v>1.7288931471304319E-2</v>
      </c>
      <c r="N91">
        <f t="shared" si="25"/>
        <v>1.9827110685286957</v>
      </c>
      <c r="O91">
        <f t="shared" si="19"/>
        <v>9.1069224153170591E-2</v>
      </c>
      <c r="P91">
        <f ca="1">'Fixing Money'!P91</f>
        <v>4.2699760480059988E-2</v>
      </c>
      <c r="Q91">
        <f t="shared" si="26"/>
        <v>-0.17291243781436338</v>
      </c>
      <c r="R91">
        <f t="shared" si="27"/>
        <v>0.8412112699172527</v>
      </c>
      <c r="S91" s="7">
        <f t="shared" si="28"/>
        <v>0</v>
      </c>
      <c r="T91">
        <v>7.4207281909773985E-3</v>
      </c>
    </row>
    <row r="92" spans="5:20" ht="14.25" x14ac:dyDescent="0.45">
      <c r="E92">
        <v>89</v>
      </c>
      <c r="F92">
        <f t="shared" si="20"/>
        <v>1.2291227848086641</v>
      </c>
      <c r="G92">
        <f t="shared" si="21"/>
        <v>2000.0448235561867</v>
      </c>
      <c r="H92">
        <f t="shared" si="22"/>
        <v>1822.8145382310809</v>
      </c>
      <c r="I92">
        <f t="shared" si="23"/>
        <v>9.2787835942472224E-2</v>
      </c>
      <c r="J92">
        <f t="shared" si="24"/>
        <v>2000.4639391797123</v>
      </c>
      <c r="K92">
        <f t="shared" si="17"/>
        <v>1228.5800934192168</v>
      </c>
      <c r="L92">
        <f>2</f>
        <v>2</v>
      </c>
      <c r="M92">
        <f t="shared" si="18"/>
        <v>9.2787835942472231E-3</v>
      </c>
      <c r="N92">
        <f t="shared" si="25"/>
        <v>1.9907212164057528</v>
      </c>
      <c r="O92">
        <f t="shared" si="19"/>
        <v>4.1911562352561306E-2</v>
      </c>
      <c r="P92">
        <f ca="1">'Fixing Money'!P92</f>
        <v>-3.9137688551789333E-2</v>
      </c>
      <c r="Q92">
        <f t="shared" si="26"/>
        <v>-9.2765424415518938E-2</v>
      </c>
      <c r="R92">
        <f t="shared" si="27"/>
        <v>0.91140726911554049</v>
      </c>
      <c r="S92" s="7">
        <f t="shared" si="28"/>
        <v>0</v>
      </c>
      <c r="T92">
        <v>7.1501391508126261E-2</v>
      </c>
    </row>
    <row r="93" spans="5:20" ht="14.25" x14ac:dyDescent="0.45">
      <c r="E93">
        <v>90</v>
      </c>
      <c r="F93">
        <f t="shared" si="20"/>
        <v>1.2384015684029113</v>
      </c>
      <c r="G93">
        <f t="shared" si="21"/>
        <v>2000.0867351185393</v>
      </c>
      <c r="H93">
        <f t="shared" si="22"/>
        <v>1874.3838879037989</v>
      </c>
      <c r="I93">
        <f t="shared" si="23"/>
        <v>6.4910534873017289E-2</v>
      </c>
      <c r="J93">
        <f t="shared" si="24"/>
        <v>2000.3245526743651</v>
      </c>
      <c r="K93">
        <f t="shared" si="17"/>
        <v>1238.0533483153654</v>
      </c>
      <c r="L93">
        <f>2</f>
        <v>2</v>
      </c>
      <c r="M93">
        <f t="shared" si="18"/>
        <v>6.4910534873017295E-3</v>
      </c>
      <c r="N93">
        <f t="shared" si="25"/>
        <v>1.9935089465126983</v>
      </c>
      <c r="O93">
        <f t="shared" si="19"/>
        <v>2.3781755582581356E-2</v>
      </c>
      <c r="P93">
        <f ca="1">'Fixing Money'!P93</f>
        <v>1.8779738122671249E-2</v>
      </c>
      <c r="Q93">
        <f t="shared" si="26"/>
        <v>-6.4867168254092999E-2</v>
      </c>
      <c r="R93">
        <f t="shared" si="27"/>
        <v>0.93719194395189953</v>
      </c>
      <c r="S93" s="7">
        <f t="shared" si="28"/>
        <v>0</v>
      </c>
      <c r="T93">
        <v>2.3259984940649986E-2</v>
      </c>
    </row>
    <row r="94" spans="5:20" ht="14.25" x14ac:dyDescent="0.45">
      <c r="E94">
        <v>91</v>
      </c>
      <c r="F94">
        <f t="shared" si="20"/>
        <v>1.244892621890213</v>
      </c>
      <c r="G94">
        <f t="shared" si="21"/>
        <v>2000.1105168741219</v>
      </c>
      <c r="H94">
        <f t="shared" si="22"/>
        <v>1920.4575326545478</v>
      </c>
      <c r="I94">
        <f t="shared" si="23"/>
        <v>4.0638981561567741E-2</v>
      </c>
      <c r="J94">
        <f t="shared" si="24"/>
        <v>2000.2031949078078</v>
      </c>
      <c r="K94">
        <f t="shared" si="17"/>
        <v>1244.7084568692717</v>
      </c>
      <c r="L94">
        <f>2</f>
        <v>2</v>
      </c>
      <c r="M94">
        <f t="shared" si="18"/>
        <v>4.063898156156774E-3</v>
      </c>
      <c r="N94">
        <f t="shared" si="25"/>
        <v>1.9959361018438433</v>
      </c>
      <c r="O94">
        <f t="shared" si="19"/>
        <v>9.2678033685842827E-3</v>
      </c>
      <c r="P94">
        <f ca="1">'Fixing Money'!P94</f>
        <v>9.807364416217608E-3</v>
      </c>
      <c r="Q94">
        <f t="shared" si="26"/>
        <v>-4.0583724651198055E-2</v>
      </c>
      <c r="R94">
        <f t="shared" si="27"/>
        <v>0.96022876632727394</v>
      </c>
      <c r="S94" s="7">
        <f t="shared" si="28"/>
        <v>0</v>
      </c>
      <c r="T94">
        <v>2.1040085190190294E-2</v>
      </c>
    </row>
    <row r="95" spans="5:20" ht="14.25" x14ac:dyDescent="0.45">
      <c r="E95">
        <v>92</v>
      </c>
      <c r="F95">
        <f t="shared" si="20"/>
        <v>1.2489565200463697</v>
      </c>
      <c r="G95">
        <f t="shared" si="21"/>
        <v>2000.1197846774905</v>
      </c>
      <c r="H95">
        <f t="shared" si="22"/>
        <v>1923.2000222376194</v>
      </c>
      <c r="I95">
        <f t="shared" si="23"/>
        <v>3.9216594183642685E-2</v>
      </c>
      <c r="J95">
        <f t="shared" si="24"/>
        <v>2000.1960829709183</v>
      </c>
      <c r="K95">
        <f t="shared" si="17"/>
        <v>1248.786423868348</v>
      </c>
      <c r="L95">
        <f>2</f>
        <v>2</v>
      </c>
      <c r="M95">
        <f t="shared" si="18"/>
        <v>3.9216594183642687E-3</v>
      </c>
      <c r="N95">
        <f t="shared" si="25"/>
        <v>1.9960783405816358</v>
      </c>
      <c r="O95">
        <f t="shared" si="19"/>
        <v>7.6298293427726101E-3</v>
      </c>
      <c r="P95">
        <f ca="1">'Fixing Money'!P95</f>
        <v>-8.8031312673413686E-2</v>
      </c>
      <c r="Q95">
        <f t="shared" si="26"/>
        <v>-3.9156703638371926E-2</v>
      </c>
      <c r="R95">
        <f t="shared" si="27"/>
        <v>0.96160001111880966</v>
      </c>
      <c r="S95" s="7">
        <f t="shared" si="28"/>
        <v>0</v>
      </c>
      <c r="T95">
        <v>-6.0216521973377641E-4</v>
      </c>
    </row>
    <row r="96" spans="5:20" ht="14.25" x14ac:dyDescent="0.45">
      <c r="E96">
        <v>93</v>
      </c>
      <c r="F96">
        <f t="shared" si="20"/>
        <v>1.2528781794647339</v>
      </c>
      <c r="G96">
        <f t="shared" si="21"/>
        <v>2000.1274145068332</v>
      </c>
      <c r="H96">
        <f t="shared" si="22"/>
        <v>1976.7033584732369</v>
      </c>
      <c r="I96">
        <f t="shared" si="23"/>
        <v>1.1780399149515819E-2</v>
      </c>
      <c r="J96">
        <f t="shared" si="24"/>
        <v>2000.0589019957476</v>
      </c>
      <c r="K96">
        <f t="shared" si="17"/>
        <v>1252.8841998672142</v>
      </c>
      <c r="L96">
        <f>2</f>
        <v>2</v>
      </c>
      <c r="M96">
        <f t="shared" si="18"/>
        <v>1.178039914951582E-3</v>
      </c>
      <c r="N96">
        <f t="shared" si="25"/>
        <v>1.9988219600850483</v>
      </c>
      <c r="O96">
        <f t="shared" si="19"/>
        <v>-6.8512511085600638E-3</v>
      </c>
      <c r="P96">
        <f ca="1">'Fixing Money'!P96</f>
        <v>2.0836033248776375E-2</v>
      </c>
      <c r="Q96">
        <f t="shared" si="26"/>
        <v>-1.1716693925320022E-2</v>
      </c>
      <c r="R96">
        <f t="shared" si="27"/>
        <v>0.98835167923661849</v>
      </c>
      <c r="S96" s="7">
        <f t="shared" si="28"/>
        <v>0</v>
      </c>
      <c r="T96">
        <v>2.5482174531133307E-2</v>
      </c>
    </row>
    <row r="97" spans="1:20" ht="14.25" x14ac:dyDescent="0.45">
      <c r="E97">
        <v>94</v>
      </c>
      <c r="F97">
        <f t="shared" si="20"/>
        <v>1.2540562193796856</v>
      </c>
      <c r="G97">
        <f t="shared" si="21"/>
        <v>2000.1205632557246</v>
      </c>
      <c r="H97">
        <f t="shared" si="22"/>
        <v>1916.2773158084535</v>
      </c>
      <c r="I97">
        <f t="shared" si="23"/>
        <v>4.2823054443630826E-2</v>
      </c>
      <c r="J97">
        <f t="shared" si="24"/>
        <v>2000.2141152722181</v>
      </c>
      <c r="K97">
        <f t="shared" si="17"/>
        <v>1253.8633033412314</v>
      </c>
      <c r="L97">
        <f>2</f>
        <v>2</v>
      </c>
      <c r="M97">
        <f t="shared" si="18"/>
        <v>4.2823054443630829E-3</v>
      </c>
      <c r="N97">
        <f t="shared" si="25"/>
        <v>1.995717694555637</v>
      </c>
      <c r="O97">
        <f t="shared" si="19"/>
        <v>9.3552016493504194E-3</v>
      </c>
      <c r="P97">
        <f ca="1">'Fixing Money'!P97</f>
        <v>-5.1120591824146744E-2</v>
      </c>
      <c r="Q97">
        <f t="shared" si="26"/>
        <v>-4.2762774632632783E-2</v>
      </c>
      <c r="R97">
        <f t="shared" si="27"/>
        <v>0.95813865790422681</v>
      </c>
      <c r="S97" s="7">
        <f t="shared" si="28"/>
        <v>0</v>
      </c>
      <c r="T97">
        <v>-3.1631915403578764E-2</v>
      </c>
    </row>
    <row r="98" spans="1:20" ht="14.25" x14ac:dyDescent="0.45">
      <c r="E98">
        <v>95</v>
      </c>
      <c r="F98">
        <f t="shared" si="20"/>
        <v>1.2583385248240486</v>
      </c>
      <c r="G98">
        <f t="shared" si="21"/>
        <v>2000.1299184573741</v>
      </c>
      <c r="H98">
        <f t="shared" si="22"/>
        <v>1948.9091775660959</v>
      </c>
      <c r="I98">
        <f t="shared" si="23"/>
        <v>2.5942317743551883E-2</v>
      </c>
      <c r="J98">
        <f t="shared" si="24"/>
        <v>2000.1297115887178</v>
      </c>
      <c r="K98">
        <f t="shared" si="17"/>
        <v>1258.2570444348487</v>
      </c>
      <c r="L98">
        <f>2</f>
        <v>2</v>
      </c>
      <c r="M98">
        <f t="shared" si="18"/>
        <v>2.5942317743551883E-3</v>
      </c>
      <c r="N98">
        <f t="shared" si="25"/>
        <v>1.9974057682256448</v>
      </c>
      <c r="O98">
        <f t="shared" si="19"/>
        <v>-2.068686562779476E-5</v>
      </c>
      <c r="P98">
        <f ca="1">'Fixing Money'!P98</f>
        <v>5.8201384854229966E-2</v>
      </c>
      <c r="Q98">
        <f t="shared" si="26"/>
        <v>-2.5877360624624188E-2</v>
      </c>
      <c r="R98">
        <f t="shared" si="27"/>
        <v>0.97445458878304791</v>
      </c>
      <c r="S98" s="7">
        <f t="shared" si="28"/>
        <v>0</v>
      </c>
      <c r="T98">
        <v>1.4747275276376951E-2</v>
      </c>
    </row>
    <row r="99" spans="1:20" ht="14.25" x14ac:dyDescent="0.45">
      <c r="E99">
        <v>96</v>
      </c>
      <c r="F99">
        <f t="shared" si="20"/>
        <v>1.2609327565984039</v>
      </c>
      <c r="G99">
        <f t="shared" si="21"/>
        <v>2000.1298977705085</v>
      </c>
      <c r="H99">
        <f t="shared" si="22"/>
        <v>2146.8069701037598</v>
      </c>
      <c r="I99">
        <f t="shared" si="23"/>
        <v>-7.0769480720238323E-2</v>
      </c>
      <c r="J99">
        <f t="shared" si="24"/>
        <v>1999.6461525963989</v>
      </c>
      <c r="K99">
        <f t="shared" si="17"/>
        <v>1261.4608305573636</v>
      </c>
      <c r="L99">
        <f>2</f>
        <v>2</v>
      </c>
      <c r="M99">
        <f t="shared" si="18"/>
        <v>-7.0769480720238327E-3</v>
      </c>
      <c r="N99">
        <f t="shared" si="25"/>
        <v>2.0070769480720236</v>
      </c>
      <c r="O99">
        <f t="shared" si="19"/>
        <v>-4.8374517410957198E-2</v>
      </c>
      <c r="P99">
        <f ca="1">'Fixing Money'!P99</f>
        <v>-4.0304239097927796E-2</v>
      </c>
      <c r="Q99">
        <f t="shared" si="26"/>
        <v>7.0834427496404964E-2</v>
      </c>
      <c r="R99">
        <f t="shared" si="27"/>
        <v>1.0734034850518799</v>
      </c>
      <c r="S99" s="7">
        <f t="shared" si="28"/>
        <v>0</v>
      </c>
      <c r="T99">
        <v>9.5417920089797936E-2</v>
      </c>
    </row>
    <row r="100" spans="1:20" ht="14.25" x14ac:dyDescent="0.45">
      <c r="E100">
        <v>97</v>
      </c>
      <c r="F100">
        <f t="shared" si="20"/>
        <v>1.25385580852638</v>
      </c>
      <c r="G100">
        <f t="shared" si="21"/>
        <v>2000.0815232530974</v>
      </c>
      <c r="H100">
        <f t="shared" si="22"/>
        <v>2239.7532595195935</v>
      </c>
      <c r="I100">
        <f t="shared" si="23"/>
        <v>-0.11317776644382843</v>
      </c>
      <c r="J100">
        <f t="shared" si="24"/>
        <v>1999.4341111677809</v>
      </c>
      <c r="K100">
        <f t="shared" si="17"/>
        <v>1254.6164607278513</v>
      </c>
      <c r="L100">
        <f>2</f>
        <v>2</v>
      </c>
      <c r="M100">
        <f t="shared" si="18"/>
        <v>-1.1317776644382844E-2</v>
      </c>
      <c r="N100">
        <f t="shared" si="25"/>
        <v>2.011317776644383</v>
      </c>
      <c r="O100">
        <f t="shared" si="19"/>
        <v>-6.474120853165459E-2</v>
      </c>
      <c r="P100">
        <f ca="1">'Fixing Money'!P100</f>
        <v>6.0867041445928187E-2</v>
      </c>
      <c r="Q100">
        <f t="shared" si="26"/>
        <v>0.11321852723964476</v>
      </c>
      <c r="R100">
        <f t="shared" si="27"/>
        <v>1.1198766297597968</v>
      </c>
      <c r="S100" s="7">
        <f t="shared" si="28"/>
        <v>0</v>
      </c>
      <c r="T100">
        <v>4.5925821118060053E-2</v>
      </c>
    </row>
    <row r="102" spans="1:20" x14ac:dyDescent="0.4">
      <c r="C102" t="s">
        <v>42</v>
      </c>
      <c r="F102">
        <f>STDEV((F4:F100))</f>
        <v>0.12442790593956696</v>
      </c>
      <c r="G102">
        <f t="shared" ref="G102:R102" si="29">STDEV((G4:G100))</f>
        <v>0.3261417458856164</v>
      </c>
      <c r="H102">
        <f t="shared" si="29"/>
        <v>212.30568381765178</v>
      </c>
      <c r="I102">
        <f t="shared" si="29"/>
        <v>0.109548849498531</v>
      </c>
      <c r="J102">
        <f t="shared" si="29"/>
        <v>0.54774424749264095</v>
      </c>
      <c r="K102">
        <f t="shared" si="29"/>
        <v>124.64144165604104</v>
      </c>
      <c r="L102">
        <f t="shared" si="29"/>
        <v>0</v>
      </c>
      <c r="M102">
        <f t="shared" si="29"/>
        <v>1.09548849498531E-2</v>
      </c>
      <c r="N102">
        <f t="shared" si="29"/>
        <v>1.0954884949853109E-2</v>
      </c>
      <c r="O102">
        <f t="shared" si="29"/>
        <v>4.6434821650478041E-2</v>
      </c>
      <c r="P102">
        <f t="shared" ca="1" si="29"/>
        <v>5.4677511329228816E-2</v>
      </c>
      <c r="Q102">
        <f t="shared" si="29"/>
        <v>0.10946187335708761</v>
      </c>
      <c r="R102">
        <f t="shared" si="29"/>
        <v>0.10615284190882236</v>
      </c>
      <c r="S102" s="6">
        <f t="shared" ref="S102" si="30">STDEV(S4:S100)</f>
        <v>0</v>
      </c>
      <c r="T102">
        <v>4.7996162991352724E-2</v>
      </c>
    </row>
    <row r="103" spans="1:20" ht="14.25" x14ac:dyDescent="0.45">
      <c r="B103" s="4" t="s">
        <v>80</v>
      </c>
      <c r="C103" s="7">
        <v>0.25</v>
      </c>
      <c r="F103" t="s">
        <v>4</v>
      </c>
      <c r="G103" t="s">
        <v>5</v>
      </c>
      <c r="H103" t="s">
        <v>59</v>
      </c>
      <c r="I103" t="s">
        <v>67</v>
      </c>
      <c r="J103" t="s">
        <v>7</v>
      </c>
      <c r="K103" t="s">
        <v>38</v>
      </c>
      <c r="L103" t="s">
        <v>8</v>
      </c>
      <c r="M103" t="s">
        <v>47</v>
      </c>
      <c r="N103" t="s">
        <v>53</v>
      </c>
      <c r="O103" t="s">
        <v>48</v>
      </c>
      <c r="P103" t="s">
        <v>35</v>
      </c>
      <c r="Q103" t="s">
        <v>36</v>
      </c>
      <c r="R103" t="s">
        <v>37</v>
      </c>
      <c r="S103" t="s">
        <v>81</v>
      </c>
      <c r="T103" t="s">
        <v>35</v>
      </c>
    </row>
    <row r="104" spans="1:20" ht="14.25" x14ac:dyDescent="0.45">
      <c r="B104" s="4" t="s">
        <v>79</v>
      </c>
      <c r="C104" s="7">
        <v>0.25</v>
      </c>
    </row>
    <row r="105" spans="1:20" x14ac:dyDescent="0.4">
      <c r="A105" s="4"/>
      <c r="B105" s="4" t="s">
        <v>65</v>
      </c>
      <c r="C105" s="4">
        <v>1</v>
      </c>
      <c r="D105" s="4"/>
      <c r="E105" s="6"/>
    </row>
    <row r="106" spans="1:20" x14ac:dyDescent="0.4">
      <c r="A106" s="4"/>
      <c r="B106" s="4" t="s">
        <v>66</v>
      </c>
      <c r="C106" s="4">
        <v>0.5</v>
      </c>
      <c r="D106" s="4"/>
      <c r="E106" s="6"/>
    </row>
    <row r="107" spans="1:20" x14ac:dyDescent="0.4">
      <c r="A107" s="4"/>
      <c r="B107" s="4"/>
      <c r="C107" s="4" t="s">
        <v>64</v>
      </c>
      <c r="D107" s="4"/>
      <c r="E107" s="6">
        <f>C105*M102^2+C106*I102^2+C103*N102^2 + C104*S102^2</f>
        <v>6.1504870935565458E-3</v>
      </c>
    </row>
    <row r="110" spans="1:20" x14ac:dyDescent="0.4">
      <c r="C110" t="s">
        <v>84</v>
      </c>
    </row>
    <row r="111" spans="1:20" x14ac:dyDescent="0.4">
      <c r="E111">
        <v>5.1261839898040359E-3</v>
      </c>
    </row>
    <row r="114" spans="3:5" x14ac:dyDescent="0.4">
      <c r="C114" t="s">
        <v>85</v>
      </c>
      <c r="E114">
        <f>E107/E111</f>
        <v>1.1998178578431531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297A-DB28-4327-BBDE-DA881801A5D2}">
  <dimension ref="A1:T107"/>
  <sheetViews>
    <sheetView tabSelected="1" workbookViewId="0">
      <selection activeCell="J32" sqref="J32"/>
    </sheetView>
  </sheetViews>
  <sheetFormatPr defaultRowHeight="13.9" x14ac:dyDescent="0.4"/>
  <cols>
    <col min="1" max="1" width="20.59765625" customWidth="1"/>
    <col min="2" max="2" width="16.265625" customWidth="1"/>
    <col min="19" max="19" width="6.73046875" style="6" customWidth="1"/>
  </cols>
  <sheetData>
    <row r="1" spans="1:20" x14ac:dyDescent="0.4">
      <c r="A1" t="s">
        <v>39</v>
      </c>
      <c r="T1" t="s">
        <v>82</v>
      </c>
    </row>
    <row r="2" spans="1:20" ht="12.75" x14ac:dyDescent="0.35">
      <c r="A2" t="s">
        <v>0</v>
      </c>
      <c r="E2" t="s">
        <v>10</v>
      </c>
      <c r="F2" t="s">
        <v>4</v>
      </c>
      <c r="G2" t="s">
        <v>5</v>
      </c>
      <c r="H2" t="s">
        <v>7</v>
      </c>
      <c r="I2" t="s">
        <v>59</v>
      </c>
      <c r="J2" t="s">
        <v>60</v>
      </c>
      <c r="K2" t="s">
        <v>38</v>
      </c>
      <c r="L2" t="s">
        <v>8</v>
      </c>
      <c r="M2" t="s">
        <v>47</v>
      </c>
      <c r="N2" t="s">
        <v>53</v>
      </c>
      <c r="O2" t="s">
        <v>48</v>
      </c>
      <c r="P2" t="s">
        <v>35</v>
      </c>
      <c r="Q2" t="s">
        <v>36</v>
      </c>
      <c r="R2" t="s">
        <v>37</v>
      </c>
      <c r="S2" t="s">
        <v>81</v>
      </c>
      <c r="T2" t="s">
        <v>35</v>
      </c>
    </row>
    <row r="3" spans="1:20" ht="14.25" x14ac:dyDescent="0.45">
      <c r="A3" t="s">
        <v>11</v>
      </c>
      <c r="B3" t="s">
        <v>18</v>
      </c>
      <c r="E3">
        <v>0</v>
      </c>
      <c r="F3">
        <f>(Theta*Beta0_0)/Beta1+m_0-(Psi+Theta/Beta1)*ypot_0</f>
        <v>0.99999999999998579</v>
      </c>
      <c r="G3">
        <f>ypot_0</f>
        <v>2000</v>
      </c>
      <c r="H3">
        <f>Beta0_0-Beta1*(L3-M3)</f>
        <v>2000</v>
      </c>
      <c r="I3">
        <v>2000</v>
      </c>
      <c r="J3">
        <f>G3-I3</f>
        <v>0</v>
      </c>
      <c r="K3">
        <f>F3*($B$10*G3-$B$11*M3)</f>
        <v>99.999999999998579</v>
      </c>
      <c r="L3">
        <v>2</v>
      </c>
      <c r="M3">
        <f>Mi*(G3-ypot_0)</f>
        <v>0</v>
      </c>
      <c r="N3">
        <f>L3-M3</f>
        <v>2</v>
      </c>
      <c r="O3">
        <f>Ni*(H3-G3)</f>
        <v>0</v>
      </c>
      <c r="P3">
        <v>0</v>
      </c>
      <c r="Q3">
        <v>0</v>
      </c>
      <c r="R3">
        <v>1</v>
      </c>
      <c r="S3" s="7">
        <v>0</v>
      </c>
      <c r="T3">
        <v>0</v>
      </c>
    </row>
    <row r="4" spans="1:20" ht="14.25" x14ac:dyDescent="0.45">
      <c r="A4" t="s">
        <v>12</v>
      </c>
      <c r="B4" t="s">
        <v>16</v>
      </c>
      <c r="E4">
        <v>1</v>
      </c>
      <c r="F4">
        <f>F3+M3</f>
        <v>0.99999999999998579</v>
      </c>
      <c r="G4">
        <f t="shared" ref="G4:G35" si="0">G3+O3</f>
        <v>2000</v>
      </c>
      <c r="H4">
        <f t="shared" ref="H4:H67" si="1">Beta0_1-Beta1*(L4-M4)</f>
        <v>2000</v>
      </c>
      <c r="I4">
        <f>$B$19*R4</f>
        <v>2000</v>
      </c>
      <c r="J4">
        <f>LN(G4)-LN(I4)</f>
        <v>0</v>
      </c>
      <c r="K4">
        <f t="shared" ref="K4:K67" si="2">F4*($B$10*G4-$B$11*M4)</f>
        <v>99.999999999998579</v>
      </c>
      <c r="L4">
        <f xml:space="preserve"> $C$36*L3 + (1-$C$36)*(2 + $C$37 *J3 + $C$38 * M3)</f>
        <v>2</v>
      </c>
      <c r="M4">
        <f t="shared" ref="M4:M35" si="3">Mi*(J4)</f>
        <v>0</v>
      </c>
      <c r="N4">
        <f t="shared" ref="N4:N67" si="4">L4-M4</f>
        <v>2</v>
      </c>
      <c r="O4">
        <f>Ni*(H4-G4)</f>
        <v>0</v>
      </c>
      <c r="P4">
        <f>'Fixing Money'!P4</f>
        <v>0</v>
      </c>
      <c r="Q4">
        <f>$C$33*Q3+T4</f>
        <v>0</v>
      </c>
      <c r="R4">
        <f>EXP(Q4)</f>
        <v>1</v>
      </c>
      <c r="S4" s="7">
        <f>L4-L3</f>
        <v>0</v>
      </c>
      <c r="T4">
        <v>0</v>
      </c>
    </row>
    <row r="5" spans="1:20" ht="14.25" x14ac:dyDescent="0.45">
      <c r="A5" t="s">
        <v>13</v>
      </c>
      <c r="B5" t="s">
        <v>17</v>
      </c>
      <c r="E5">
        <v>2</v>
      </c>
      <c r="F5">
        <f>F4+M4</f>
        <v>0.99999999999998579</v>
      </c>
      <c r="G5">
        <f t="shared" si="0"/>
        <v>2000</v>
      </c>
      <c r="H5">
        <f t="shared" si="1"/>
        <v>2000.2089552306172</v>
      </c>
      <c r="I5">
        <f t="shared" ref="I5:I68" si="5">$B$19*R5</f>
        <v>1918.1403221292778</v>
      </c>
      <c r="J5">
        <f t="shared" ref="J5:J68" si="6">LN(G5)-LN(I5)</f>
        <v>4.1791046123464959E-2</v>
      </c>
      <c r="K5">
        <f t="shared" si="2"/>
        <v>99.997910447692405</v>
      </c>
      <c r="L5">
        <f t="shared" ref="L5:L68" si="7" xml:space="preserve"> $C$36*L4 + (1-$C$36)*(2 + $C$37 *J4 + $C$38 * M4)</f>
        <v>2</v>
      </c>
      <c r="M5">
        <f t="shared" si="3"/>
        <v>4.1791046123464959E-3</v>
      </c>
      <c r="N5">
        <f t="shared" si="4"/>
        <v>1.9958208953876535</v>
      </c>
      <c r="O5">
        <f>Ni*(H5-G5)</f>
        <v>2.0895523061722088E-2</v>
      </c>
      <c r="P5">
        <f ca="1">'Fixing Money'!P5</f>
        <v>-3.2427153213624313E-2</v>
      </c>
      <c r="Q5">
        <f t="shared" ref="Q5:Q68" si="8">$C$33*Q4+T5</f>
        <v>-4.1791046123464744E-2</v>
      </c>
      <c r="R5">
        <f t="shared" ref="R5:R68" si="9">EXP(Q5)</f>
        <v>0.95907016106463894</v>
      </c>
      <c r="S5" s="7">
        <f t="shared" ref="S5:S68" si="10">L5-L4</f>
        <v>0</v>
      </c>
      <c r="T5">
        <v>-4.1791046123464744E-2</v>
      </c>
    </row>
    <row r="6" spans="1:20" ht="14.25" x14ac:dyDescent="0.45">
      <c r="A6" t="s">
        <v>14</v>
      </c>
      <c r="E6">
        <v>3</v>
      </c>
      <c r="F6">
        <f t="shared" ref="F6:F69" si="11">F5+M5</f>
        <v>1.0041791046123323</v>
      </c>
      <c r="G6">
        <f t="shared" si="0"/>
        <v>2000.0208955230617</v>
      </c>
      <c r="H6">
        <f t="shared" si="1"/>
        <v>1999.799277380471</v>
      </c>
      <c r="I6">
        <f t="shared" si="5"/>
        <v>1915.0046674220559</v>
      </c>
      <c r="J6">
        <f t="shared" si="6"/>
        <v>4.3437568341147426E-2</v>
      </c>
      <c r="K6">
        <f t="shared" si="2"/>
        <v>100.41677864869099</v>
      </c>
      <c r="L6">
        <f t="shared" si="7"/>
        <v>2.008358209224693</v>
      </c>
      <c r="M6">
        <f t="shared" si="3"/>
        <v>4.3437568341147424E-3</v>
      </c>
      <c r="N6">
        <f t="shared" si="4"/>
        <v>2.0040144523905781</v>
      </c>
      <c r="O6">
        <f t="shared" ref="O6:O69" si="12">Ni*(H6-G6)</f>
        <v>-2.216181425906143E-2</v>
      </c>
      <c r="P6">
        <f ca="1">'Fixing Money'!P6</f>
        <v>6.3067808893280272E-2</v>
      </c>
      <c r="Q6">
        <f t="shared" si="8"/>
        <v>-4.3427120634193364E-2</v>
      </c>
      <c r="R6">
        <f t="shared" si="9"/>
        <v>0.957502333711028</v>
      </c>
      <c r="S6" s="7">
        <f t="shared" si="10"/>
        <v>8.3582092246929918E-3</v>
      </c>
      <c r="T6">
        <v>-3.7256268169018622E-3</v>
      </c>
    </row>
    <row r="7" spans="1:20" ht="14.25" x14ac:dyDescent="0.45">
      <c r="A7" t="s">
        <v>15</v>
      </c>
      <c r="E7">
        <v>4</v>
      </c>
      <c r="F7">
        <f t="shared" si="11"/>
        <v>1.008522861446447</v>
      </c>
      <c r="G7">
        <f t="shared" si="0"/>
        <v>1999.9987337088025</v>
      </c>
      <c r="H7">
        <f t="shared" si="1"/>
        <v>1999.9231291853991</v>
      </c>
      <c r="I7">
        <f t="shared" si="5"/>
        <v>1861.9895631415091</v>
      </c>
      <c r="J7">
        <f t="shared" si="6"/>
        <v>7.1500973762139708E-2</v>
      </c>
      <c r="K7">
        <f t="shared" si="2"/>
        <v>100.84861677213087</v>
      </c>
      <c r="L7">
        <f t="shared" si="7"/>
        <v>2.0086875136682294</v>
      </c>
      <c r="M7">
        <f t="shared" si="3"/>
        <v>7.1500973762139708E-3</v>
      </c>
      <c r="N7">
        <f t="shared" si="4"/>
        <v>2.0015374162920154</v>
      </c>
      <c r="O7">
        <f t="shared" si="12"/>
        <v>-7.5604523403399078E-3</v>
      </c>
      <c r="P7">
        <f ca="1">'Fixing Money'!P7</f>
        <v>0.17506393755008656</v>
      </c>
      <c r="Q7">
        <f t="shared" si="8"/>
        <v>-7.1501606907938595E-2</v>
      </c>
      <c r="R7">
        <f t="shared" si="9"/>
        <v>0.93099478157075455</v>
      </c>
      <c r="S7" s="7">
        <f t="shared" si="10"/>
        <v>3.2930444353640453E-4</v>
      </c>
      <c r="T7">
        <v>-3.0245842305454903E-2</v>
      </c>
    </row>
    <row r="8" spans="1:20" ht="14.25" x14ac:dyDescent="0.45">
      <c r="E8">
        <v>5</v>
      </c>
      <c r="F8">
        <f t="shared" si="11"/>
        <v>1.015672958822661</v>
      </c>
      <c r="G8">
        <f t="shared" si="0"/>
        <v>1999.9911732564622</v>
      </c>
      <c r="H8">
        <f t="shared" si="1"/>
        <v>1999.5426318888817</v>
      </c>
      <c r="I8">
        <f t="shared" si="5"/>
        <v>1899.5451103028913</v>
      </c>
      <c r="J8">
        <f t="shared" si="6"/>
        <v>5.1528325300597366E-2</v>
      </c>
      <c r="K8">
        <f t="shared" si="2"/>
        <v>101.56423083169875</v>
      </c>
      <c r="L8">
        <f t="shared" si="7"/>
        <v>2.0143001947524279</v>
      </c>
      <c r="M8">
        <f t="shared" si="3"/>
        <v>5.152832530059737E-3</v>
      </c>
      <c r="N8">
        <f t="shared" si="4"/>
        <v>2.0091473622223681</v>
      </c>
      <c r="O8">
        <f t="shared" si="12"/>
        <v>-4.4854136758044665E-2</v>
      </c>
      <c r="P8">
        <f ca="1">'Fixing Money'!P8</f>
        <v>-1.5373144961980416E-2</v>
      </c>
      <c r="Q8">
        <f t="shared" si="8"/>
        <v>-5.153273868210493E-2</v>
      </c>
      <c r="R8">
        <f t="shared" si="9"/>
        <v>0.94977255515144565</v>
      </c>
      <c r="S8" s="7">
        <f t="shared" si="10"/>
        <v>5.6126810841985453E-3</v>
      </c>
      <c r="T8">
        <v>1.6393787880436737E-2</v>
      </c>
    </row>
    <row r="9" spans="1:20" ht="14.25" x14ac:dyDescent="0.45">
      <c r="A9" t="s">
        <v>19</v>
      </c>
      <c r="E9">
        <v>6</v>
      </c>
      <c r="F9">
        <f t="shared" si="11"/>
        <v>1.0208257913527208</v>
      </c>
      <c r="G9">
        <f t="shared" si="0"/>
        <v>1999.9463191197042</v>
      </c>
      <c r="H9">
        <f t="shared" si="1"/>
        <v>1999.9071790377557</v>
      </c>
      <c r="I9">
        <f t="shared" si="5"/>
        <v>1837.9078407149632</v>
      </c>
      <c r="J9">
        <f t="shared" si="6"/>
        <v>8.4492458152312544E-2</v>
      </c>
      <c r="K9">
        <f t="shared" si="2"/>
        <v>102.07552658989383</v>
      </c>
      <c r="L9">
        <f t="shared" si="7"/>
        <v>2.0103056650601197</v>
      </c>
      <c r="M9">
        <f t="shared" si="3"/>
        <v>8.4492458152312551E-3</v>
      </c>
      <c r="N9">
        <f t="shared" si="4"/>
        <v>2.0018564192448882</v>
      </c>
      <c r="O9">
        <f t="shared" si="12"/>
        <v>-3.9140081948517034E-3</v>
      </c>
      <c r="P9">
        <f ca="1">'Fixing Money'!P9</f>
        <v>-3.9132544927021985E-2</v>
      </c>
      <c r="Q9">
        <f t="shared" si="8"/>
        <v>-8.4519298952672378E-2</v>
      </c>
      <c r="R9">
        <f t="shared" si="9"/>
        <v>0.91895392035748158</v>
      </c>
      <c r="S9" s="7">
        <f t="shared" si="10"/>
        <v>-3.9945296923082907E-3</v>
      </c>
      <c r="T9">
        <v>-3.5563197204672707E-2</v>
      </c>
    </row>
    <row r="10" spans="1:20" ht="14.25" x14ac:dyDescent="0.45">
      <c r="A10" t="s">
        <v>1</v>
      </c>
      <c r="B10">
        <v>0.05</v>
      </c>
      <c r="E10">
        <v>7</v>
      </c>
      <c r="F10">
        <f t="shared" si="11"/>
        <v>1.029275037167952</v>
      </c>
      <c r="G10">
        <f t="shared" si="0"/>
        <v>1999.9424051115093</v>
      </c>
      <c r="H10">
        <f t="shared" si="1"/>
        <v>1999.383666505327</v>
      </c>
      <c r="I10">
        <f t="shared" si="5"/>
        <v>1910.5672076548601</v>
      </c>
      <c r="J10">
        <f t="shared" si="6"/>
        <v>4.5718217370019687E-2</v>
      </c>
      <c r="K10">
        <f t="shared" si="2"/>
        <v>102.92218683675148</v>
      </c>
      <c r="L10">
        <f t="shared" si="7"/>
        <v>2.0168984916304624</v>
      </c>
      <c r="M10">
        <f t="shared" si="3"/>
        <v>4.5718217370019692E-3</v>
      </c>
      <c r="N10">
        <f t="shared" si="4"/>
        <v>2.0123266698934605</v>
      </c>
      <c r="O10">
        <f t="shared" si="12"/>
        <v>-5.5873860618225996E-2</v>
      </c>
      <c r="P10">
        <f ca="1">'Fixing Money'!P10</f>
        <v>-6.3226408607765343E-3</v>
      </c>
      <c r="Q10">
        <f t="shared" si="8"/>
        <v>-4.5747015228919503E-2</v>
      </c>
      <c r="R10">
        <f t="shared" si="9"/>
        <v>0.95528360382743005</v>
      </c>
      <c r="S10" s="7">
        <f t="shared" si="10"/>
        <v>6.5928265703427691E-3</v>
      </c>
      <c r="T10">
        <v>3.4546318776119252E-2</v>
      </c>
    </row>
    <row r="11" spans="1:20" ht="14.25" x14ac:dyDescent="0.45">
      <c r="A11" t="s">
        <v>2</v>
      </c>
      <c r="B11">
        <v>0.5</v>
      </c>
      <c r="E11">
        <v>8</v>
      </c>
      <c r="F11">
        <f t="shared" si="11"/>
        <v>1.0338468589049539</v>
      </c>
      <c r="G11">
        <f t="shared" si="0"/>
        <v>1999.886531250891</v>
      </c>
      <c r="H11">
        <f t="shared" si="1"/>
        <v>1999.3889685738322</v>
      </c>
      <c r="I11">
        <f t="shared" si="5"/>
        <v>2062.3792562101539</v>
      </c>
      <c r="J11">
        <f t="shared" si="6"/>
        <v>-3.0769850493525652E-2</v>
      </c>
      <c r="K11">
        <f t="shared" si="2"/>
        <v>103.38041099066697</v>
      </c>
      <c r="L11">
        <f t="shared" si="7"/>
        <v>2.0091436434740038</v>
      </c>
      <c r="M11">
        <f t="shared" si="3"/>
        <v>-3.0769850493525654E-3</v>
      </c>
      <c r="N11">
        <f t="shared" si="4"/>
        <v>2.0122206285233561</v>
      </c>
      <c r="O11">
        <f t="shared" si="12"/>
        <v>-4.9756267705879514E-2</v>
      </c>
      <c r="P11">
        <f ca="1">'Fixing Money'!P11</f>
        <v>-2.2154893485448687E-2</v>
      </c>
      <c r="Q11">
        <f t="shared" si="8"/>
        <v>3.0713114509516234E-2</v>
      </c>
      <c r="R11">
        <f t="shared" si="9"/>
        <v>1.031189628105077</v>
      </c>
      <c r="S11" s="7">
        <f t="shared" si="10"/>
        <v>-7.7548481564586602E-3</v>
      </c>
      <c r="T11">
        <v>7.4172778976989762E-2</v>
      </c>
    </row>
    <row r="12" spans="1:20" ht="14.25" x14ac:dyDescent="0.45">
      <c r="A12" t="s">
        <v>3</v>
      </c>
      <c r="B12">
        <v>50</v>
      </c>
      <c r="C12" t="s">
        <v>0</v>
      </c>
      <c r="E12">
        <v>9</v>
      </c>
      <c r="F12">
        <f t="shared" si="11"/>
        <v>1.0307698738556013</v>
      </c>
      <c r="G12">
        <f t="shared" si="0"/>
        <v>1999.8367749831853</v>
      </c>
      <c r="H12">
        <f t="shared" si="1"/>
        <v>1999.9670016750538</v>
      </c>
      <c r="I12">
        <f t="shared" si="5"/>
        <v>2140.8542480146371</v>
      </c>
      <c r="J12">
        <f t="shared" si="6"/>
        <v>-6.8139365976289668E-2</v>
      </c>
      <c r="K12">
        <f t="shared" si="2"/>
        <v>103.07208681434413</v>
      </c>
      <c r="L12">
        <f t="shared" si="7"/>
        <v>1.9938460299012948</v>
      </c>
      <c r="M12">
        <f t="shared" si="3"/>
        <v>-6.8139365976289668E-3</v>
      </c>
      <c r="N12">
        <f t="shared" si="4"/>
        <v>2.0006599664989237</v>
      </c>
      <c r="O12">
        <f t="shared" si="12"/>
        <v>1.3022669186852909E-2</v>
      </c>
      <c r="P12">
        <f ca="1">'Fixing Money'!P12</f>
        <v>5.8675603748081173E-2</v>
      </c>
      <c r="Q12">
        <f t="shared" si="8"/>
        <v>6.805775013740066E-2</v>
      </c>
      <c r="R12">
        <f t="shared" si="9"/>
        <v>1.0704271240073184</v>
      </c>
      <c r="S12" s="7">
        <f t="shared" si="10"/>
        <v>-1.5297613572708979E-2</v>
      </c>
      <c r="T12">
        <v>3.8880291353360241E-2</v>
      </c>
    </row>
    <row r="13" spans="1:20" ht="14.25" x14ac:dyDescent="0.45">
      <c r="A13" t="s">
        <v>9</v>
      </c>
      <c r="B13">
        <v>0.1</v>
      </c>
      <c r="E13">
        <v>10</v>
      </c>
      <c r="F13">
        <f t="shared" si="11"/>
        <v>1.0239559372579723</v>
      </c>
      <c r="G13">
        <f t="shared" si="0"/>
        <v>1999.8497976523722</v>
      </c>
      <c r="H13">
        <f t="shared" si="1"/>
        <v>2000.5965152966207</v>
      </c>
      <c r="I13">
        <f t="shared" si="5"/>
        <v>2034.0883824094115</v>
      </c>
      <c r="J13">
        <f t="shared" si="6"/>
        <v>-1.6975672628439575E-2</v>
      </c>
      <c r="K13">
        <f t="shared" si="2"/>
        <v>102.3887728135539</v>
      </c>
      <c r="L13">
        <f t="shared" si="7"/>
        <v>1.9863721268047421</v>
      </c>
      <c r="M13">
        <f t="shared" si="3"/>
        <v>-1.6975672628439576E-3</v>
      </c>
      <c r="N13">
        <f t="shared" si="4"/>
        <v>1.9880696940675859</v>
      </c>
      <c r="O13">
        <f t="shared" si="12"/>
        <v>7.4671764424851975E-2</v>
      </c>
      <c r="P13">
        <f ca="1">'Fixing Money'!P13</f>
        <v>0.11716060657818801</v>
      </c>
      <c r="Q13">
        <f t="shared" si="8"/>
        <v>1.6900568634391419E-2</v>
      </c>
      <c r="R13">
        <f t="shared" si="9"/>
        <v>1.0170441912047057</v>
      </c>
      <c r="S13" s="7">
        <f t="shared" si="10"/>
        <v>-7.4739030965527142E-3</v>
      </c>
      <c r="T13">
        <v>-4.7754293996139202E-2</v>
      </c>
    </row>
    <row r="14" spans="1:20" ht="14.25" x14ac:dyDescent="0.45">
      <c r="A14" t="s">
        <v>6</v>
      </c>
      <c r="B14">
        <v>0.1</v>
      </c>
      <c r="E14">
        <v>11</v>
      </c>
      <c r="F14">
        <f t="shared" si="11"/>
        <v>1.0222583699951284</v>
      </c>
      <c r="G14">
        <f t="shared" si="0"/>
        <v>1999.9244694167971</v>
      </c>
      <c r="H14">
        <f t="shared" si="1"/>
        <v>2000.3873476763763</v>
      </c>
      <c r="I14">
        <f t="shared" si="5"/>
        <v>1914.7579629434629</v>
      </c>
      <c r="J14">
        <f t="shared" si="6"/>
        <v>4.3518190018362546E-2</v>
      </c>
      <c r="K14">
        <f t="shared" si="2"/>
        <v>102.2197520692697</v>
      </c>
      <c r="L14">
        <f t="shared" si="7"/>
        <v>1.996604865474312</v>
      </c>
      <c r="M14">
        <f t="shared" si="3"/>
        <v>4.3518190018362549E-3</v>
      </c>
      <c r="N14">
        <f t="shared" si="4"/>
        <v>1.9922530464724757</v>
      </c>
      <c r="O14">
        <f t="shared" si="12"/>
        <v>4.6287825957915633E-2</v>
      </c>
      <c r="P14">
        <f ca="1">'Fixing Money'!P14</f>
        <v>4.0820445036267923E-2</v>
      </c>
      <c r="Q14">
        <f t="shared" si="8"/>
        <v>-4.3555956023091078E-2</v>
      </c>
      <c r="R14">
        <f t="shared" si="9"/>
        <v>0.95737898147173139</v>
      </c>
      <c r="S14" s="7">
        <f t="shared" si="10"/>
        <v>1.0232738669569974E-2</v>
      </c>
      <c r="T14">
        <v>-5.9611496225762922E-2</v>
      </c>
    </row>
    <row r="15" spans="1:20" ht="14.25" x14ac:dyDescent="0.45">
      <c r="C15" t="s">
        <v>0</v>
      </c>
      <c r="E15">
        <v>12</v>
      </c>
      <c r="F15">
        <f t="shared" si="11"/>
        <v>1.0266101889969648</v>
      </c>
      <c r="G15">
        <f t="shared" si="0"/>
        <v>1999.9707572427551</v>
      </c>
      <c r="H15">
        <f t="shared" si="1"/>
        <v>2000.1119404542669</v>
      </c>
      <c r="I15">
        <f t="shared" si="5"/>
        <v>1792.6735128840421</v>
      </c>
      <c r="J15">
        <f t="shared" si="6"/>
        <v>0.10942447089011953</v>
      </c>
      <c r="K15">
        <f t="shared" si="2"/>
        <v>102.65390104023233</v>
      </c>
      <c r="L15">
        <f t="shared" si="7"/>
        <v>2.0087036380036727</v>
      </c>
      <c r="M15">
        <f t="shared" si="3"/>
        <v>1.0942447089011953E-2</v>
      </c>
      <c r="N15">
        <f t="shared" si="4"/>
        <v>1.9977611909146606</v>
      </c>
      <c r="O15">
        <f t="shared" si="12"/>
        <v>1.4118321151181591E-2</v>
      </c>
      <c r="P15">
        <f ca="1">'Fixing Money'!P15</f>
        <v>6.5941602703341803E-2</v>
      </c>
      <c r="Q15">
        <f t="shared" si="8"/>
        <v>-0.10943909237563498</v>
      </c>
      <c r="R15">
        <f t="shared" si="9"/>
        <v>0.89633675644202104</v>
      </c>
      <c r="S15" s="7">
        <f t="shared" si="10"/>
        <v>1.2098772529360646E-2</v>
      </c>
      <c r="T15">
        <v>-6.806093415369846E-2</v>
      </c>
    </row>
    <row r="16" spans="1:20" ht="14.25" x14ac:dyDescent="0.45">
      <c r="A16" t="s">
        <v>20</v>
      </c>
      <c r="B16" t="s">
        <v>21</v>
      </c>
      <c r="C16" t="s">
        <v>22</v>
      </c>
      <c r="E16">
        <v>13</v>
      </c>
      <c r="F16">
        <f t="shared" si="11"/>
        <v>1.0375526360859768</v>
      </c>
      <c r="G16">
        <f t="shared" si="0"/>
        <v>1999.9848755639064</v>
      </c>
      <c r="H16">
        <f t="shared" si="1"/>
        <v>1999.0043410820381</v>
      </c>
      <c r="I16">
        <f t="shared" si="5"/>
        <v>1960.9370782284011</v>
      </c>
      <c r="J16">
        <f t="shared" si="6"/>
        <v>1.9717158187872563E-2</v>
      </c>
      <c r="K16">
        <f t="shared" si="2"/>
        <v>103.75345610919807</v>
      </c>
      <c r="L16">
        <f t="shared" si="7"/>
        <v>2.0218848941780241</v>
      </c>
      <c r="M16">
        <f t="shared" si="3"/>
        <v>1.9717158187872565E-3</v>
      </c>
      <c r="N16">
        <f t="shared" si="4"/>
        <v>2.019913178359237</v>
      </c>
      <c r="O16">
        <f t="shared" si="12"/>
        <v>-9.8053448186828984E-2</v>
      </c>
      <c r="P16">
        <f ca="1">'Fixing Money'!P16</f>
        <v>-8.5539969644031294E-2</v>
      </c>
      <c r="Q16">
        <f t="shared" si="8"/>
        <v>-1.9724720434513524E-2</v>
      </c>
      <c r="R16">
        <f t="shared" si="9"/>
        <v>0.98046853911420051</v>
      </c>
      <c r="S16" s="7">
        <f t="shared" si="10"/>
        <v>1.3181256174351397E-2</v>
      </c>
      <c r="T16">
        <v>8.424241732233971E-2</v>
      </c>
    </row>
    <row r="17" spans="1:20" ht="14.25" x14ac:dyDescent="0.45">
      <c r="A17" t="s">
        <v>23</v>
      </c>
      <c r="B17">
        <v>100</v>
      </c>
      <c r="C17">
        <v>100</v>
      </c>
      <c r="E17">
        <v>14</v>
      </c>
      <c r="F17">
        <f t="shared" si="11"/>
        <v>1.0395243519047641</v>
      </c>
      <c r="G17">
        <f t="shared" si="0"/>
        <v>1999.8868221157195</v>
      </c>
      <c r="H17">
        <f t="shared" si="1"/>
        <v>2000.3182171295755</v>
      </c>
      <c r="I17">
        <f t="shared" si="5"/>
        <v>1804.0115926951191</v>
      </c>
      <c r="J17">
        <f t="shared" si="6"/>
        <v>0.10307774229086419</v>
      </c>
      <c r="K17">
        <f t="shared" si="2"/>
        <v>103.94119504097354</v>
      </c>
      <c r="L17">
        <f t="shared" si="7"/>
        <v>2.0039434316375746</v>
      </c>
      <c r="M17">
        <f t="shared" si="3"/>
        <v>1.030777422908642E-2</v>
      </c>
      <c r="N17">
        <f t="shared" si="4"/>
        <v>1.9936356574084881</v>
      </c>
      <c r="O17">
        <f t="shared" si="12"/>
        <v>4.3139501385599036E-2</v>
      </c>
      <c r="P17">
        <f ca="1">'Fixing Money'!P17</f>
        <v>-2.5298067749105937E-2</v>
      </c>
      <c r="Q17">
        <f t="shared" si="8"/>
        <v>-0.10313433283421884</v>
      </c>
      <c r="R17">
        <f t="shared" si="9"/>
        <v>0.90200579634755962</v>
      </c>
      <c r="S17" s="7">
        <f t="shared" si="10"/>
        <v>-1.7941462540449482E-2</v>
      </c>
      <c r="T17">
        <v>-8.4395848421430997E-2</v>
      </c>
    </row>
    <row r="18" spans="1:20" ht="14.25" x14ac:dyDescent="0.45">
      <c r="A18" t="s">
        <v>24</v>
      </c>
      <c r="B18">
        <v>2100</v>
      </c>
      <c r="C18">
        <v>2100</v>
      </c>
      <c r="E18">
        <v>15</v>
      </c>
      <c r="F18">
        <f t="shared" si="11"/>
        <v>1.0498321261338506</v>
      </c>
      <c r="G18">
        <f t="shared" si="0"/>
        <v>1999.9299616171052</v>
      </c>
      <c r="H18">
        <f t="shared" si="1"/>
        <v>1999.5603725933343</v>
      </c>
      <c r="I18">
        <f t="shared" si="5"/>
        <v>1776.9211177607363</v>
      </c>
      <c r="J18">
        <f t="shared" si="6"/>
        <v>0.11823000324860189</v>
      </c>
      <c r="K18">
        <f t="shared" si="2"/>
        <v>104.97333010337962</v>
      </c>
      <c r="L18">
        <f t="shared" si="7"/>
        <v>2.0206155484581729</v>
      </c>
      <c r="M18">
        <f t="shared" si="3"/>
        <v>1.1823000324860189E-2</v>
      </c>
      <c r="N18">
        <f t="shared" si="4"/>
        <v>2.0087925481333126</v>
      </c>
      <c r="O18">
        <f t="shared" si="12"/>
        <v>-3.6958902377091367E-2</v>
      </c>
      <c r="P18">
        <f ca="1">'Fixing Money'!P18</f>
        <v>-1.1113111480318688E-2</v>
      </c>
      <c r="Q18">
        <f t="shared" si="8"/>
        <v>-0.11826502305323505</v>
      </c>
      <c r="R18">
        <f t="shared" si="9"/>
        <v>0.88846055888036812</v>
      </c>
      <c r="S18" s="7">
        <f t="shared" si="10"/>
        <v>1.6672116820598326E-2</v>
      </c>
      <c r="T18">
        <v>-2.0287406860727147E-2</v>
      </c>
    </row>
    <row r="19" spans="1:20" ht="14.25" x14ac:dyDescent="0.45">
      <c r="A19" t="s">
        <v>34</v>
      </c>
      <c r="B19">
        <v>2000</v>
      </c>
      <c r="C19">
        <v>2000</v>
      </c>
      <c r="E19">
        <v>16</v>
      </c>
      <c r="F19">
        <f t="shared" si="11"/>
        <v>1.0616551264587109</v>
      </c>
      <c r="G19">
        <f t="shared" si="0"/>
        <v>1999.893002714728</v>
      </c>
      <c r="H19">
        <f t="shared" si="1"/>
        <v>1999.4262042934956</v>
      </c>
      <c r="I19">
        <f t="shared" si="5"/>
        <v>1770.7316367772073</v>
      </c>
      <c r="J19">
        <f t="shared" si="6"/>
        <v>0.12170086519632761</v>
      </c>
      <c r="K19">
        <f t="shared" si="2"/>
        <v>106.15337271767828</v>
      </c>
      <c r="L19">
        <f t="shared" si="7"/>
        <v>2.0236460006497206</v>
      </c>
      <c r="M19">
        <f t="shared" si="3"/>
        <v>1.2170086519632762E-2</v>
      </c>
      <c r="N19">
        <f t="shared" si="4"/>
        <v>2.011475914130088</v>
      </c>
      <c r="O19">
        <f t="shared" si="12"/>
        <v>-4.6679842123239723E-2</v>
      </c>
      <c r="P19">
        <f ca="1">'Fixing Money'!P19</f>
        <v>6.0955149461171899E-2</v>
      </c>
      <c r="Q19">
        <f t="shared" si="8"/>
        <v>-0.12175436527006689</v>
      </c>
      <c r="R19">
        <f t="shared" si="9"/>
        <v>0.88536581838860362</v>
      </c>
      <c r="S19" s="7">
        <f t="shared" si="10"/>
        <v>3.0304521915476279E-3</v>
      </c>
      <c r="T19">
        <v>-9.4025933694935893E-3</v>
      </c>
    </row>
    <row r="20" spans="1:20" ht="14.25" x14ac:dyDescent="0.45">
      <c r="E20">
        <v>17</v>
      </c>
      <c r="F20">
        <f t="shared" si="11"/>
        <v>1.0738252129783437</v>
      </c>
      <c r="G20">
        <f t="shared" si="0"/>
        <v>1999.8463228726048</v>
      </c>
      <c r="H20">
        <f t="shared" si="1"/>
        <v>1999.4131596987311</v>
      </c>
      <c r="I20">
        <f t="shared" si="5"/>
        <v>1763.0348469022424</v>
      </c>
      <c r="J20">
        <f t="shared" si="6"/>
        <v>0.12603367013885425</v>
      </c>
      <c r="K20">
        <f t="shared" si="2"/>
        <v>107.36750327249766</v>
      </c>
      <c r="L20">
        <f t="shared" si="7"/>
        <v>2.0243401730392656</v>
      </c>
      <c r="M20">
        <f t="shared" si="3"/>
        <v>1.2603367013885425E-2</v>
      </c>
      <c r="N20">
        <f t="shared" si="4"/>
        <v>2.0117368060253802</v>
      </c>
      <c r="O20">
        <f t="shared" si="12"/>
        <v>-4.3316317387370878E-2</v>
      </c>
      <c r="P20">
        <f ca="1">'Fixing Money'!P20</f>
        <v>-3.4670115415746598E-2</v>
      </c>
      <c r="Q20">
        <f t="shared" si="8"/>
        <v>-0.12611051165478479</v>
      </c>
      <c r="R20">
        <f t="shared" si="9"/>
        <v>0.88151742345112116</v>
      </c>
      <c r="S20" s="7">
        <f t="shared" si="10"/>
        <v>6.9417238954505578E-4</v>
      </c>
      <c r="T20">
        <v>-1.0443864648221241E-2</v>
      </c>
    </row>
    <row r="21" spans="1:20" ht="14.25" x14ac:dyDescent="0.45">
      <c r="A21" t="s">
        <v>25</v>
      </c>
      <c r="B21" t="s">
        <v>26</v>
      </c>
      <c r="C21" t="s">
        <v>27</v>
      </c>
      <c r="E21">
        <v>18</v>
      </c>
      <c r="F21">
        <f t="shared" si="11"/>
        <v>1.0864285799922291</v>
      </c>
      <c r="G21">
        <f t="shared" si="0"/>
        <v>1999.8030065552175</v>
      </c>
      <c r="H21">
        <f t="shared" si="1"/>
        <v>1999.0696978308322</v>
      </c>
      <c r="I21">
        <f t="shared" si="5"/>
        <v>1872.0643875867333</v>
      </c>
      <c r="J21">
        <f t="shared" si="6"/>
        <v>6.6006906444147084E-2</v>
      </c>
      <c r="K21">
        <f t="shared" si="2"/>
        <v>108.62857144431689</v>
      </c>
      <c r="L21">
        <f t="shared" si="7"/>
        <v>2.0252067340277708</v>
      </c>
      <c r="M21">
        <f t="shared" si="3"/>
        <v>6.6006906444147084E-3</v>
      </c>
      <c r="N21">
        <f t="shared" si="4"/>
        <v>2.0186060433833561</v>
      </c>
      <c r="O21">
        <f t="shared" si="12"/>
        <v>-7.3330872438532424E-2</v>
      </c>
      <c r="P21">
        <f ca="1">'Fixing Money'!P21</f>
        <v>-1.0745591578504453E-2</v>
      </c>
      <c r="Q21">
        <f t="shared" si="8"/>
        <v>-6.6105408017659018E-2</v>
      </c>
      <c r="R21">
        <f t="shared" si="9"/>
        <v>0.93603219379336666</v>
      </c>
      <c r="S21" s="7">
        <f t="shared" si="10"/>
        <v>8.6656098850523833E-4</v>
      </c>
      <c r="T21">
        <v>5.3699578054386521E-2</v>
      </c>
    </row>
    <row r="22" spans="1:20" ht="14.25" x14ac:dyDescent="0.45">
      <c r="A22" t="s">
        <v>28</v>
      </c>
      <c r="B22">
        <f>(Theta*Beta0_0)/Beta1+m_0-(Psi+Theta/Beta1)*ybar0</f>
        <v>0.99999999999998579</v>
      </c>
      <c r="C22">
        <f>(Theta*Beta0_1)/Beta1+m_1-(Psi+Theta/Beta1)*ybar1</f>
        <v>0.99999999999998579</v>
      </c>
      <c r="E22">
        <v>19</v>
      </c>
      <c r="F22">
        <f t="shared" si="11"/>
        <v>1.0930292706366438</v>
      </c>
      <c r="G22">
        <f t="shared" si="0"/>
        <v>1999.7296756827791</v>
      </c>
      <c r="H22">
        <f t="shared" si="1"/>
        <v>1999.6208797639117</v>
      </c>
      <c r="I22">
        <f t="shared" si="5"/>
        <v>1890.4638903705718</v>
      </c>
      <c r="J22">
        <f t="shared" si="6"/>
        <v>5.618976567065026E-2</v>
      </c>
      <c r="K22">
        <f t="shared" si="2"/>
        <v>109.28508259117061</v>
      </c>
      <c r="L22">
        <f t="shared" si="7"/>
        <v>2.0132013812888294</v>
      </c>
      <c r="M22">
        <f t="shared" si="3"/>
        <v>5.6189765670650264E-3</v>
      </c>
      <c r="N22">
        <f t="shared" si="4"/>
        <v>2.0075824047217643</v>
      </c>
      <c r="O22">
        <f t="shared" si="12"/>
        <v>-1.0879591886737218E-2</v>
      </c>
      <c r="P22">
        <f ca="1">'Fixing Money'!P22</f>
        <v>-3.3274869523351951E-2</v>
      </c>
      <c r="Q22">
        <f t="shared" si="8"/>
        <v>-5.6324936964488072E-2</v>
      </c>
      <c r="R22">
        <f t="shared" si="9"/>
        <v>0.94523194518528586</v>
      </c>
      <c r="S22" s="7">
        <f t="shared" si="10"/>
        <v>-1.2005352738941433E-2</v>
      </c>
      <c r="T22">
        <v>6.475200652287994E-3</v>
      </c>
    </row>
    <row r="23" spans="1:20" ht="14.25" x14ac:dyDescent="0.45">
      <c r="A23" t="s">
        <v>29</v>
      </c>
      <c r="B23">
        <f>ypot0</f>
        <v>2000</v>
      </c>
      <c r="C23">
        <f>ypot1</f>
        <v>2000</v>
      </c>
      <c r="E23">
        <v>20</v>
      </c>
      <c r="F23">
        <f t="shared" si="11"/>
        <v>1.0986482472037089</v>
      </c>
      <c r="G23">
        <f t="shared" si="0"/>
        <v>1999.7187960908923</v>
      </c>
      <c r="H23">
        <f t="shared" si="1"/>
        <v>1999.4826300040647</v>
      </c>
      <c r="I23">
        <f t="shared" si="5"/>
        <v>1981.989298532972</v>
      </c>
      <c r="J23">
        <f t="shared" si="6"/>
        <v>8.9055321542517163E-3</v>
      </c>
      <c r="K23">
        <f t="shared" si="2"/>
        <v>109.84888830891391</v>
      </c>
      <c r="L23">
        <f t="shared" si="7"/>
        <v>2.0112379531341302</v>
      </c>
      <c r="M23">
        <f t="shared" si="3"/>
        <v>8.9055321542517172E-4</v>
      </c>
      <c r="N23">
        <f t="shared" si="4"/>
        <v>2.0103473999187051</v>
      </c>
      <c r="O23">
        <f t="shared" si="12"/>
        <v>-2.3616608682755214E-2</v>
      </c>
      <c r="P23">
        <f ca="1">'Fixing Money'!P23</f>
        <v>4.2426730357729023E-2</v>
      </c>
      <c r="Q23">
        <f t="shared" si="8"/>
        <v>-9.0461439941865382E-3</v>
      </c>
      <c r="R23">
        <f t="shared" si="9"/>
        <v>0.99099464926648606</v>
      </c>
      <c r="S23" s="7">
        <f t="shared" si="10"/>
        <v>-1.9634281546991872E-3</v>
      </c>
      <c r="T23">
        <v>4.4462546122077125E-2</v>
      </c>
    </row>
    <row r="24" spans="1:20" ht="14.25" x14ac:dyDescent="0.45">
      <c r="E24">
        <v>21</v>
      </c>
      <c r="F24">
        <f t="shared" si="11"/>
        <v>1.099538800419134</v>
      </c>
      <c r="G24">
        <f t="shared" si="0"/>
        <v>1999.6951794822096</v>
      </c>
      <c r="H24">
        <f t="shared" si="1"/>
        <v>2000.23696801704</v>
      </c>
      <c r="I24">
        <f t="shared" si="5"/>
        <v>1873.4658121543373</v>
      </c>
      <c r="J24">
        <f t="shared" si="6"/>
        <v>6.5204667716500353E-2</v>
      </c>
      <c r="K24">
        <f t="shared" si="2"/>
        <v>109.93353718948354</v>
      </c>
      <c r="L24">
        <f t="shared" si="7"/>
        <v>2.0017811064308502</v>
      </c>
      <c r="M24">
        <f t="shared" si="3"/>
        <v>6.5204667716500355E-3</v>
      </c>
      <c r="N24">
        <f t="shared" si="4"/>
        <v>1.9952606396592001</v>
      </c>
      <c r="O24">
        <f t="shared" si="12"/>
        <v>5.417885348304026E-2</v>
      </c>
      <c r="P24">
        <f ca="1">'Fixing Money'!P24</f>
        <v>9.7560914853067726E-2</v>
      </c>
      <c r="Q24">
        <f t="shared" si="8"/>
        <v>-6.5357089591018949E-2</v>
      </c>
      <c r="R24">
        <f t="shared" si="9"/>
        <v>0.93673290607716864</v>
      </c>
      <c r="S24" s="7">
        <f t="shared" si="10"/>
        <v>-9.456846703280064E-3</v>
      </c>
      <c r="T24">
        <v>-5.6763252796541736E-2</v>
      </c>
    </row>
    <row r="25" spans="1:20" ht="14.25" x14ac:dyDescent="0.45">
      <c r="A25" t="s">
        <v>30</v>
      </c>
      <c r="B25" t="s">
        <v>31</v>
      </c>
      <c r="C25" t="s">
        <v>32</v>
      </c>
      <c r="E25">
        <v>22</v>
      </c>
      <c r="F25">
        <f t="shared" si="11"/>
        <v>1.1060592671907841</v>
      </c>
      <c r="G25">
        <f t="shared" si="0"/>
        <v>1999.7493583356927</v>
      </c>
      <c r="H25">
        <f t="shared" si="1"/>
        <v>1999.7993842284864</v>
      </c>
      <c r="I25">
        <f t="shared" si="5"/>
        <v>1827.1103419793653</v>
      </c>
      <c r="J25">
        <f t="shared" si="6"/>
        <v>9.0286181130259102E-2</v>
      </c>
      <c r="K25">
        <f t="shared" si="2"/>
        <v>110.58707239893393</v>
      </c>
      <c r="L25">
        <f t="shared" si="7"/>
        <v>2.0130409335433002</v>
      </c>
      <c r="M25">
        <f t="shared" si="3"/>
        <v>9.0286181130259102E-3</v>
      </c>
      <c r="N25">
        <f t="shared" si="4"/>
        <v>2.0040123154302742</v>
      </c>
      <c r="O25">
        <f t="shared" si="12"/>
        <v>5.0025892793655663E-3</v>
      </c>
      <c r="P25">
        <f ca="1">'Fixing Money'!P25</f>
        <v>-4.3523727537317404E-2</v>
      </c>
      <c r="Q25">
        <f t="shared" si="8"/>
        <v>-9.0411509815724267E-2</v>
      </c>
      <c r="R25">
        <f t="shared" si="9"/>
        <v>0.91355517098968264</v>
      </c>
      <c r="S25" s="7">
        <f t="shared" si="10"/>
        <v>1.1259827112449994E-2</v>
      </c>
      <c r="T25">
        <v>-2.8322274704256262E-2</v>
      </c>
    </row>
    <row r="26" spans="1:20" ht="14.25" x14ac:dyDescent="0.45">
      <c r="A26" t="s">
        <v>49</v>
      </c>
      <c r="B26">
        <f>IF((Ni*(Beta1*Mi-((Beta1*Psi)/Theta)-1))^2-4*(Ni*Beta1*Mi)/Theta&gt;0,(Ni*(Beta1*Mi-((Beta1*Psi)/Theta)-1)+SQRT((Ni*(Beta1*Mi-((Beta1*Psi)/Theta)-1))^2-4*(Ni*Beta1*Mi)/Theta))/2,((Ni*(Beta1*Mi-((Beta1*Psi)/Theta)-1))/2))</f>
        <v>-0.05</v>
      </c>
      <c r="C26">
        <f>IF((Ni*((Beta1*Mi-(Beta1*Psi)/Theta)-1)^2-4*(Ni*Beta1*Mi)/Theta)&gt;0, 0, +SQRT(-(Ni*((Beta1*Mi-(Beta1*Psi)/Theta)-1)^2-4*(Ni*Beta1*Mi)/Theta))/2)</f>
        <v>0.98742088290657493</v>
      </c>
      <c r="E26">
        <v>23</v>
      </c>
      <c r="F26">
        <f t="shared" si="11"/>
        <v>1.11508788530381</v>
      </c>
      <c r="G26">
        <f t="shared" si="0"/>
        <v>1999.7543609249722</v>
      </c>
      <c r="H26">
        <f t="shared" si="1"/>
        <v>1999.629950343977</v>
      </c>
      <c r="I26">
        <f t="shared" si="5"/>
        <v>1797.6170422897292</v>
      </c>
      <c r="J26">
        <f t="shared" si="6"/>
        <v>0.10656243105594143</v>
      </c>
      <c r="K26">
        <f t="shared" si="2"/>
        <v>111.48915174875002</v>
      </c>
      <c r="L26">
        <f t="shared" si="7"/>
        <v>2.0180572362260518</v>
      </c>
      <c r="M26">
        <f t="shared" si="3"/>
        <v>1.0656243105594144E-2</v>
      </c>
      <c r="N26">
        <f t="shared" si="4"/>
        <v>2.0074009931204575</v>
      </c>
      <c r="O26">
        <f t="shared" si="12"/>
        <v>-1.2441058099511793E-2</v>
      </c>
      <c r="P26">
        <f ca="1">'Fixing Money'!P26</f>
        <v>-2.8108664737315991E-2</v>
      </c>
      <c r="Q26">
        <f t="shared" si="8"/>
        <v>-0.10668525813639235</v>
      </c>
      <c r="R26">
        <f t="shared" si="9"/>
        <v>0.89880852114486454</v>
      </c>
      <c r="S26" s="7">
        <f t="shared" si="10"/>
        <v>5.016302682751661E-3</v>
      </c>
      <c r="T26">
        <v>-2.0794323811454296E-2</v>
      </c>
    </row>
    <row r="27" spans="1:20" ht="14.25" x14ac:dyDescent="0.45">
      <c r="A27" t="s">
        <v>50</v>
      </c>
      <c r="B27">
        <f>IF((Ni*(Beta1*Mi-((Beta1*Psi)/Theta)-1))^2-4*(Ni*Beta1*Mi)/Theta&gt;0,(Ni*(Beta1*Mi-((Beta1*Psi)/Theta)-1)-SQRT((Ni*(Beta1*Mi-((Beta1*Psi)/Theta)-1))^2-4*(Ni*Beta1*Mi)/Theta))/2,((Ni*(Beta1*Mi-((Beta1*Psi)/Theta)-1))/2))</f>
        <v>-0.05</v>
      </c>
      <c r="C27">
        <f>IF((Ni*((Beta1*Mi-(Beta1*Psi)/Theta)-1)^2-4*(Ni*Beta1*Mi)/Theta)&gt;0, 0, -SQRT(-(Ni*((Beta1*Mi-(Beta1*Psi)/Theta)-1)^2-4*(Ni*Beta1*Mi)/Theta))/2)</f>
        <v>-0.98742088290657493</v>
      </c>
      <c r="E27">
        <v>24</v>
      </c>
      <c r="F27">
        <f t="shared" si="11"/>
        <v>1.1257441284094041</v>
      </c>
      <c r="G27">
        <f t="shared" si="0"/>
        <v>1999.7419198668726</v>
      </c>
      <c r="H27">
        <f t="shared" si="1"/>
        <v>1999.9307275459521</v>
      </c>
      <c r="I27">
        <f t="shared" si="5"/>
        <v>1638.4452286589758</v>
      </c>
      <c r="J27">
        <f t="shared" si="6"/>
        <v>0.19927037130228964</v>
      </c>
      <c r="K27">
        <f t="shared" si="2"/>
        <v>112.54866985869108</v>
      </c>
      <c r="L27">
        <f t="shared" si="7"/>
        <v>2.0213124862111882</v>
      </c>
      <c r="M27">
        <f t="shared" si="3"/>
        <v>1.9927037130228965E-2</v>
      </c>
      <c r="N27">
        <f t="shared" si="4"/>
        <v>2.0013854490809591</v>
      </c>
      <c r="O27">
        <f t="shared" si="12"/>
        <v>1.8880767907944573E-2</v>
      </c>
      <c r="P27">
        <f ca="1">'Fixing Money'!P27</f>
        <v>-4.8638078302434412E-2</v>
      </c>
      <c r="Q27">
        <f t="shared" si="8"/>
        <v>-0.19939941969523955</v>
      </c>
      <c r="R27">
        <f t="shared" si="9"/>
        <v>0.81922261432948795</v>
      </c>
      <c r="S27" s="7">
        <f t="shared" si="10"/>
        <v>3.255249985136377E-3</v>
      </c>
      <c r="T27">
        <v>-9.804842446566682E-2</v>
      </c>
    </row>
    <row r="28" spans="1:20" ht="14.25" x14ac:dyDescent="0.45">
      <c r="E28">
        <v>25</v>
      </c>
      <c r="F28">
        <f t="shared" si="11"/>
        <v>1.145671165539633</v>
      </c>
      <c r="G28">
        <f t="shared" si="0"/>
        <v>1999.7608006347805</v>
      </c>
      <c r="H28">
        <f t="shared" si="1"/>
        <v>1999.0480132023267</v>
      </c>
      <c r="I28">
        <f t="shared" si="5"/>
        <v>1623.9869250910644</v>
      </c>
      <c r="J28">
        <f t="shared" si="6"/>
        <v>0.20814338306994706</v>
      </c>
      <c r="K28">
        <f t="shared" si="2"/>
        <v>114.54149116957188</v>
      </c>
      <c r="L28">
        <f t="shared" si="7"/>
        <v>2.0398540742604578</v>
      </c>
      <c r="M28">
        <f t="shared" si="3"/>
        <v>2.0814338306994709E-2</v>
      </c>
      <c r="N28">
        <f t="shared" si="4"/>
        <v>2.0190397359534633</v>
      </c>
      <c r="O28">
        <f t="shared" si="12"/>
        <v>-7.1278743245375156E-2</v>
      </c>
      <c r="P28">
        <f ca="1">'Fixing Money'!P28</f>
        <v>-0.10672244190418126</v>
      </c>
      <c r="Q28">
        <f t="shared" si="8"/>
        <v>-0.20826298990516934</v>
      </c>
      <c r="R28">
        <f t="shared" si="9"/>
        <v>0.81199346254553217</v>
      </c>
      <c r="S28" s="7">
        <f t="shared" si="10"/>
        <v>1.8541588049269642E-2</v>
      </c>
      <c r="T28">
        <v>-1.8833541194691779E-2</v>
      </c>
    </row>
    <row r="29" spans="1:20" ht="14.25" x14ac:dyDescent="0.45">
      <c r="A29" t="s">
        <v>33</v>
      </c>
      <c r="E29">
        <v>26</v>
      </c>
      <c r="F29">
        <f t="shared" si="11"/>
        <v>1.1664855038466277</v>
      </c>
      <c r="G29">
        <f t="shared" si="0"/>
        <v>1999.6895218915352</v>
      </c>
      <c r="H29">
        <f t="shared" si="1"/>
        <v>1998.8407716069455</v>
      </c>
      <c r="I29">
        <f t="shared" si="5"/>
        <v>1662.8796725255838</v>
      </c>
      <c r="J29">
        <f t="shared" si="6"/>
        <v>0.18444108752900767</v>
      </c>
      <c r="K29">
        <f t="shared" si="2"/>
        <v>116.61968458127767</v>
      </c>
      <c r="L29">
        <f t="shared" si="7"/>
        <v>2.0416286766139895</v>
      </c>
      <c r="M29">
        <f t="shared" si="3"/>
        <v>1.8444108752900767E-2</v>
      </c>
      <c r="N29">
        <f t="shared" si="4"/>
        <v>2.0231845678610889</v>
      </c>
      <c r="O29">
        <f t="shared" si="12"/>
        <v>-8.4875028458964163E-2</v>
      </c>
      <c r="P29">
        <f ca="1">'Fixing Money'!P29</f>
        <v>4.9406403270777586E-3</v>
      </c>
      <c r="Q29">
        <f t="shared" si="8"/>
        <v>-0.1845963386340696</v>
      </c>
      <c r="R29">
        <f t="shared" si="9"/>
        <v>0.83143983626279194</v>
      </c>
      <c r="S29" s="7">
        <f t="shared" si="10"/>
        <v>1.7746023535316624E-3</v>
      </c>
      <c r="T29">
        <v>1.3253501775841262E-2</v>
      </c>
    </row>
    <row r="30" spans="1:20" ht="14.25" x14ac:dyDescent="0.45">
      <c r="A30" t="s">
        <v>51</v>
      </c>
      <c r="B30">
        <f>IF(C26=0,ABS(1+B26),SQRT((1+B26)^2+C26^2))</f>
        <v>1.3702189606044721</v>
      </c>
      <c r="E30">
        <v>27</v>
      </c>
      <c r="F30">
        <f t="shared" si="11"/>
        <v>1.1849296125995286</v>
      </c>
      <c r="G30">
        <f t="shared" si="0"/>
        <v>1999.6046468630761</v>
      </c>
      <c r="H30">
        <f t="shared" si="1"/>
        <v>1998.9875125340877</v>
      </c>
      <c r="I30">
        <f t="shared" si="5"/>
        <v>1693.106153453283</v>
      </c>
      <c r="J30">
        <f t="shared" si="6"/>
        <v>0.1663846818755399</v>
      </c>
      <c r="K30">
        <f t="shared" si="2"/>
        <v>118.45968027115224</v>
      </c>
      <c r="L30">
        <f t="shared" si="7"/>
        <v>2.0368882175058016</v>
      </c>
      <c r="M30">
        <f t="shared" si="3"/>
        <v>1.663846818755399E-2</v>
      </c>
      <c r="N30">
        <f t="shared" si="4"/>
        <v>2.0202497493182476</v>
      </c>
      <c r="O30">
        <f t="shared" si="12"/>
        <v>-6.1713432898841347E-2</v>
      </c>
      <c r="P30">
        <f ca="1">'Fixing Money'!P30</f>
        <v>-2.9626297407839192E-2</v>
      </c>
      <c r="Q30">
        <f t="shared" si="8"/>
        <v>-0.16658237798458936</v>
      </c>
      <c r="R30">
        <f t="shared" si="9"/>
        <v>0.84655307672664148</v>
      </c>
      <c r="S30" s="7">
        <f t="shared" si="10"/>
        <v>-4.7404591081878777E-3</v>
      </c>
      <c r="T30">
        <v>8.7841437177767472E-3</v>
      </c>
    </row>
    <row r="31" spans="1:20" ht="14.25" x14ac:dyDescent="0.45">
      <c r="A31" t="s">
        <v>52</v>
      </c>
      <c r="B31">
        <f>IF(B27=0,ABS(1+B27),SQRT((1+B27)^2+C27^2))</f>
        <v>1.3702189606044721</v>
      </c>
      <c r="E31">
        <v>28</v>
      </c>
      <c r="F31">
        <f t="shared" si="11"/>
        <v>1.2015680807870825</v>
      </c>
      <c r="G31">
        <f t="shared" si="0"/>
        <v>1999.5429334301773</v>
      </c>
      <c r="H31">
        <f t="shared" si="1"/>
        <v>1998.7934179234303</v>
      </c>
      <c r="I31">
        <f t="shared" si="5"/>
        <v>1824.7913883003166</v>
      </c>
      <c r="J31">
        <f t="shared" si="6"/>
        <v>9.1452948437148684E-2</v>
      </c>
      <c r="K31">
        <f t="shared" si="2"/>
        <v>120.12385390146679</v>
      </c>
      <c r="L31">
        <f t="shared" si="7"/>
        <v>2.033276936375108</v>
      </c>
      <c r="M31">
        <f t="shared" si="3"/>
        <v>9.1452948437148688E-3</v>
      </c>
      <c r="N31">
        <f t="shared" si="4"/>
        <v>2.024131641531393</v>
      </c>
      <c r="O31">
        <f t="shared" si="12"/>
        <v>-7.4951550674700232E-2</v>
      </c>
      <c r="P31">
        <f ca="1">'Fixing Money'!P31</f>
        <v>-6.1758251808646192E-2</v>
      </c>
      <c r="Q31">
        <f t="shared" si="8"/>
        <v>-9.1681507839771179E-2</v>
      </c>
      <c r="R31">
        <f t="shared" si="9"/>
        <v>0.91239569415015831</v>
      </c>
      <c r="S31" s="7">
        <f t="shared" si="10"/>
        <v>-3.6112811306936443E-3</v>
      </c>
      <c r="T31">
        <v>6.6571751245588714E-2</v>
      </c>
    </row>
    <row r="32" spans="1:20" ht="14.25" x14ac:dyDescent="0.45">
      <c r="A32" t="s">
        <v>58</v>
      </c>
      <c r="E32">
        <v>29</v>
      </c>
      <c r="F32">
        <f t="shared" si="11"/>
        <v>1.2107133756307975</v>
      </c>
      <c r="G32">
        <f t="shared" si="0"/>
        <v>1999.4679818795025</v>
      </c>
      <c r="H32">
        <f t="shared" si="1"/>
        <v>1999.6590577186842</v>
      </c>
      <c r="I32">
        <f t="shared" si="5"/>
        <v>1782.761729776968</v>
      </c>
      <c r="J32">
        <f t="shared" si="6"/>
        <v>0.1147174406111473</v>
      </c>
      <c r="K32">
        <f t="shared" si="2"/>
        <v>121.03218699336324</v>
      </c>
      <c r="L32">
        <f t="shared" si="7"/>
        <v>2.0182905896874299</v>
      </c>
      <c r="M32">
        <f t="shared" si="3"/>
        <v>1.147174406111473E-2</v>
      </c>
      <c r="N32">
        <f t="shared" si="4"/>
        <v>2.0068188456263152</v>
      </c>
      <c r="O32">
        <f t="shared" si="12"/>
        <v>1.9107583918162165E-2</v>
      </c>
      <c r="P32">
        <f ca="1">'Fixing Money'!P32</f>
        <v>3.5584458670602048E-3</v>
      </c>
      <c r="Q32">
        <f t="shared" si="8"/>
        <v>-0.11498348505808129</v>
      </c>
      <c r="R32">
        <f t="shared" si="9"/>
        <v>0.891380864888484</v>
      </c>
      <c r="S32" s="7">
        <f t="shared" si="10"/>
        <v>-1.4986346687678065E-2</v>
      </c>
      <c r="T32">
        <v>-2.7886052610298667E-2</v>
      </c>
    </row>
    <row r="33" spans="1:20" ht="14.25" x14ac:dyDescent="0.45">
      <c r="B33" t="s">
        <v>40</v>
      </c>
      <c r="C33">
        <v>0.95</v>
      </c>
      <c r="E33">
        <v>30</v>
      </c>
      <c r="F33">
        <f t="shared" si="11"/>
        <v>1.2221851196919122</v>
      </c>
      <c r="G33">
        <f t="shared" si="0"/>
        <v>1999.4870894634207</v>
      </c>
      <c r="H33">
        <f t="shared" si="1"/>
        <v>1999.3221845223343</v>
      </c>
      <c r="I33">
        <f t="shared" si="5"/>
        <v>1820.3320085139919</v>
      </c>
      <c r="J33">
        <f t="shared" si="6"/>
        <v>9.3871785689158216E-2</v>
      </c>
      <c r="K33">
        <f t="shared" si="2"/>
        <v>122.18143195293281</v>
      </c>
      <c r="L33">
        <f t="shared" si="7"/>
        <v>2.0229434881222295</v>
      </c>
      <c r="M33">
        <f t="shared" si="3"/>
        <v>9.3871785689158219E-3</v>
      </c>
      <c r="N33">
        <f t="shared" si="4"/>
        <v>2.0135563095533136</v>
      </c>
      <c r="O33">
        <f t="shared" si="12"/>
        <v>-1.6490494108643363E-2</v>
      </c>
      <c r="P33">
        <f ca="1">'Fixing Money'!P33</f>
        <v>-1.3825631015169976E-2</v>
      </c>
      <c r="Q33">
        <f t="shared" si="8"/>
        <v>-9.4128273847723404E-2</v>
      </c>
      <c r="R33">
        <f t="shared" si="9"/>
        <v>0.91016600425699601</v>
      </c>
      <c r="S33" s="7">
        <f t="shared" si="10"/>
        <v>4.6528984347995461E-3</v>
      </c>
      <c r="T33">
        <v>1.5106036957453821E-2</v>
      </c>
    </row>
    <row r="34" spans="1:20" ht="14.25" x14ac:dyDescent="0.45">
      <c r="B34" t="s">
        <v>41</v>
      </c>
      <c r="C34">
        <v>0.05</v>
      </c>
      <c r="E34">
        <v>31</v>
      </c>
      <c r="F34">
        <f t="shared" si="11"/>
        <v>1.2315722982608281</v>
      </c>
      <c r="G34">
        <f t="shared" si="0"/>
        <v>1999.4705989693121</v>
      </c>
      <c r="H34">
        <f t="shared" si="1"/>
        <v>1999.4390899326584</v>
      </c>
      <c r="I34">
        <f t="shared" si="5"/>
        <v>1853.9544291502916</v>
      </c>
      <c r="J34">
        <f t="shared" si="6"/>
        <v>7.5561557909996857E-2</v>
      </c>
      <c r="K34">
        <f t="shared" si="2"/>
        <v>123.11997706780275</v>
      </c>
      <c r="L34">
        <f t="shared" si="7"/>
        <v>2.0187743571378318</v>
      </c>
      <c r="M34">
        <f t="shared" si="3"/>
        <v>7.5561557909996861E-3</v>
      </c>
      <c r="N34">
        <f t="shared" si="4"/>
        <v>2.011218201346832</v>
      </c>
      <c r="O34">
        <f t="shared" si="12"/>
        <v>-3.1509036653687874E-3</v>
      </c>
      <c r="P34">
        <f ca="1">'Fixing Money'!P34</f>
        <v>-5.3551320301777429E-2</v>
      </c>
      <c r="Q34">
        <f t="shared" si="8"/>
        <v>-7.5826293464705527E-2</v>
      </c>
      <c r="R34">
        <f t="shared" si="9"/>
        <v>0.92697721457514581</v>
      </c>
      <c r="S34" s="7">
        <f t="shared" si="10"/>
        <v>-4.1691309843976398E-3</v>
      </c>
      <c r="T34">
        <v>1.3595566690631703E-2</v>
      </c>
    </row>
    <row r="35" spans="1:20" ht="14.25" x14ac:dyDescent="0.45">
      <c r="A35" t="s">
        <v>57</v>
      </c>
      <c r="E35">
        <v>32</v>
      </c>
      <c r="F35">
        <f t="shared" si="11"/>
        <v>1.2391284540518279</v>
      </c>
      <c r="G35">
        <f t="shared" si="0"/>
        <v>1999.4674480656467</v>
      </c>
      <c r="H35">
        <f t="shared" si="1"/>
        <v>2000.1022222878892</v>
      </c>
      <c r="I35">
        <f t="shared" si="5"/>
        <v>1684.2381006112564</v>
      </c>
      <c r="J35">
        <f t="shared" si="6"/>
        <v>0.17156757339783368</v>
      </c>
      <c r="K35">
        <f t="shared" si="2"/>
        <v>123.86922067932743</v>
      </c>
      <c r="L35">
        <f t="shared" si="7"/>
        <v>2.0151123115819995</v>
      </c>
      <c r="M35">
        <f t="shared" si="3"/>
        <v>1.715675733978337E-2</v>
      </c>
      <c r="N35">
        <f t="shared" si="4"/>
        <v>1.9979555542422163</v>
      </c>
      <c r="O35">
        <f t="shared" si="12"/>
        <v>6.3477422224241312E-2</v>
      </c>
      <c r="P35">
        <f ca="1">'Fixing Money'!P35</f>
        <v>6.1811668386152034E-2</v>
      </c>
      <c r="Q35">
        <f t="shared" si="8"/>
        <v>-0.17183388482274936</v>
      </c>
      <c r="R35">
        <f t="shared" si="9"/>
        <v>0.84211905030562817</v>
      </c>
      <c r="S35" s="7">
        <f t="shared" si="10"/>
        <v>-3.6620455558322718E-3</v>
      </c>
      <c r="T35">
        <v>-9.9798906031279125E-2</v>
      </c>
    </row>
    <row r="36" spans="1:20" ht="14.25" x14ac:dyDescent="0.45">
      <c r="B36" t="s">
        <v>55</v>
      </c>
      <c r="C36">
        <v>0</v>
      </c>
      <c r="E36">
        <v>33</v>
      </c>
      <c r="F36">
        <f t="shared" si="11"/>
        <v>1.2562852113916112</v>
      </c>
      <c r="G36">
        <f t="shared" ref="G36:G67" si="13">G35+O35</f>
        <v>1999.5309254878709</v>
      </c>
      <c r="H36">
        <f t="shared" si="1"/>
        <v>1999.2831951650553</v>
      </c>
      <c r="I36">
        <f t="shared" si="5"/>
        <v>1637.4471873202683</v>
      </c>
      <c r="J36">
        <f t="shared" si="6"/>
        <v>0.19977417980671142</v>
      </c>
      <c r="K36">
        <f t="shared" si="2"/>
        <v>125.58650790314425</v>
      </c>
      <c r="L36">
        <f t="shared" si="7"/>
        <v>2.0343135146795666</v>
      </c>
      <c r="M36">
        <f t="shared" ref="M36:M67" si="14">Mi*(J36)</f>
        <v>1.9977417980671142E-2</v>
      </c>
      <c r="N36">
        <f t="shared" si="4"/>
        <v>2.0143360966988952</v>
      </c>
      <c r="O36">
        <f t="shared" si="12"/>
        <v>-2.4773032281564158E-2</v>
      </c>
      <c r="P36">
        <f ca="1">'Fixing Money'!P36</f>
        <v>-3.9967132606355165E-3</v>
      </c>
      <c r="Q36">
        <f t="shared" si="8"/>
        <v>-0.20000874457093973</v>
      </c>
      <c r="R36">
        <f t="shared" si="9"/>
        <v>0.81872359366013414</v>
      </c>
      <c r="S36" s="7">
        <f t="shared" si="10"/>
        <v>1.920120309756701E-2</v>
      </c>
      <c r="T36">
        <v>-3.6766553989327842E-2</v>
      </c>
    </row>
    <row r="37" spans="1:20" ht="14.25" x14ac:dyDescent="0.45">
      <c r="B37" t="s">
        <v>61</v>
      </c>
      <c r="C37">
        <v>0</v>
      </c>
      <c r="E37">
        <v>34</v>
      </c>
      <c r="F37">
        <f t="shared" si="11"/>
        <v>1.2762626293722823</v>
      </c>
      <c r="G37">
        <f t="shared" si="13"/>
        <v>1999.5061524555895</v>
      </c>
      <c r="H37">
        <f t="shared" si="1"/>
        <v>1998.8444792114719</v>
      </c>
      <c r="I37">
        <f t="shared" si="5"/>
        <v>1689.5395300605853</v>
      </c>
      <c r="J37">
        <f t="shared" si="6"/>
        <v>0.16844420190782738</v>
      </c>
      <c r="K37">
        <f t="shared" si="2"/>
        <v>127.58400002694985</v>
      </c>
      <c r="L37">
        <f t="shared" si="7"/>
        <v>2.0399548359613422</v>
      </c>
      <c r="M37">
        <f t="shared" si="14"/>
        <v>1.6844420190782739E-2</v>
      </c>
      <c r="N37">
        <f t="shared" si="4"/>
        <v>2.0231104157705593</v>
      </c>
      <c r="O37">
        <f t="shared" si="12"/>
        <v>-6.6167324411753728E-2</v>
      </c>
      <c r="P37">
        <f ca="1">'Fixing Money'!P37</f>
        <v>-0.11545841670478672</v>
      </c>
      <c r="Q37">
        <f t="shared" si="8"/>
        <v>-0.16869115617072658</v>
      </c>
      <c r="R37">
        <f t="shared" si="9"/>
        <v>0.84476976503029266</v>
      </c>
      <c r="S37" s="7">
        <f t="shared" si="10"/>
        <v>5.6413212817756353E-3</v>
      </c>
      <c r="T37">
        <v>2.131715117166616E-2</v>
      </c>
    </row>
    <row r="38" spans="1:20" ht="14.25" x14ac:dyDescent="0.45">
      <c r="B38" t="s">
        <v>56</v>
      </c>
      <c r="C38">
        <v>2</v>
      </c>
      <c r="E38">
        <v>35</v>
      </c>
      <c r="F38">
        <f t="shared" si="11"/>
        <v>1.293107049563065</v>
      </c>
      <c r="G38">
        <f t="shared" si="13"/>
        <v>1999.4399851311778</v>
      </c>
      <c r="H38">
        <f t="shared" si="1"/>
        <v>1999.5855784957712</v>
      </c>
      <c r="I38">
        <f t="shared" si="5"/>
        <v>1550.9428416653345</v>
      </c>
      <c r="J38">
        <f t="shared" si="6"/>
        <v>0.25400410296989762</v>
      </c>
      <c r="K38">
        <f t="shared" si="2"/>
        <v>129.25807427276138</v>
      </c>
      <c r="L38">
        <f t="shared" si="7"/>
        <v>2.0336888403815654</v>
      </c>
      <c r="M38">
        <f t="shared" si="14"/>
        <v>2.5400410296989764E-2</v>
      </c>
      <c r="N38">
        <f t="shared" si="4"/>
        <v>2.0082884300845758</v>
      </c>
      <c r="O38">
        <f t="shared" si="12"/>
        <v>1.4559336459342376E-2</v>
      </c>
      <c r="P38">
        <f ca="1">'Fixing Money'!P38</f>
        <v>-7.3591784982610278E-2</v>
      </c>
      <c r="Q38">
        <f t="shared" si="8"/>
        <v>-0.25428414961371049</v>
      </c>
      <c r="R38">
        <f t="shared" si="9"/>
        <v>0.77547142083266729</v>
      </c>
      <c r="S38" s="7">
        <f t="shared" si="10"/>
        <v>-6.2659955797768063E-3</v>
      </c>
      <c r="T38">
        <v>-9.4027551251520222E-2</v>
      </c>
    </row>
    <row r="39" spans="1:20" ht="14.25" x14ac:dyDescent="0.45">
      <c r="E39">
        <v>36</v>
      </c>
      <c r="F39">
        <f t="shared" si="11"/>
        <v>1.3185074598600548</v>
      </c>
      <c r="G39">
        <f t="shared" si="13"/>
        <v>1999.4545444676371</v>
      </c>
      <c r="H39">
        <f t="shared" si="1"/>
        <v>1998.5568328314375</v>
      </c>
      <c r="I39">
        <f t="shared" si="5"/>
        <v>1605.6034116940457</v>
      </c>
      <c r="J39">
        <f t="shared" si="6"/>
        <v>0.21937477222732227</v>
      </c>
      <c r="K39">
        <f t="shared" si="2"/>
        <v>131.80032426289904</v>
      </c>
      <c r="L39">
        <f t="shared" si="7"/>
        <v>2.0508008205939796</v>
      </c>
      <c r="M39">
        <f t="shared" si="14"/>
        <v>2.1937477222732229E-2</v>
      </c>
      <c r="N39">
        <f t="shared" si="4"/>
        <v>2.0288633433712473</v>
      </c>
      <c r="O39">
        <f t="shared" si="12"/>
        <v>-8.9771163619957406E-2</v>
      </c>
      <c r="P39">
        <f ca="1">'Fixing Money'!P39</f>
        <v>-6.7292139730132358E-2</v>
      </c>
      <c r="Q39">
        <f t="shared" si="8"/>
        <v>-0.21964753719048408</v>
      </c>
      <c r="R39">
        <f t="shared" si="9"/>
        <v>0.80280170584702282</v>
      </c>
      <c r="S39" s="7">
        <f t="shared" si="10"/>
        <v>1.7111980212414224E-2</v>
      </c>
      <c r="T39">
        <v>2.1922404942540896E-2</v>
      </c>
    </row>
    <row r="40" spans="1:20" ht="14.25" x14ac:dyDescent="0.45">
      <c r="A40" t="s">
        <v>68</v>
      </c>
      <c r="B40">
        <v>0.95</v>
      </c>
      <c r="E40">
        <v>37</v>
      </c>
      <c r="F40">
        <f t="shared" si="11"/>
        <v>1.3404449370827871</v>
      </c>
      <c r="G40">
        <f t="shared" si="13"/>
        <v>1999.364773304017</v>
      </c>
      <c r="H40">
        <f t="shared" si="1"/>
        <v>1999.1769140430301</v>
      </c>
      <c r="I40">
        <f t="shared" si="5"/>
        <v>1519.9799799736638</v>
      </c>
      <c r="J40">
        <f t="shared" si="6"/>
        <v>0.27413235306066408</v>
      </c>
      <c r="K40">
        <f t="shared" si="2"/>
        <v>133.98354642161468</v>
      </c>
      <c r="L40">
        <f t="shared" si="7"/>
        <v>2.0438749544454646</v>
      </c>
      <c r="M40">
        <f t="shared" si="14"/>
        <v>2.7413235306066409E-2</v>
      </c>
      <c r="N40">
        <f t="shared" si="4"/>
        <v>2.0164617191393983</v>
      </c>
      <c r="O40">
        <f t="shared" si="12"/>
        <v>-1.8785926098689745E-2</v>
      </c>
      <c r="P40">
        <f ca="1">'Fixing Money'!P40</f>
        <v>-6.8782832176422476E-2</v>
      </c>
      <c r="Q40">
        <f t="shared" si="8"/>
        <v>-0.27445001685845771</v>
      </c>
      <c r="R40">
        <f t="shared" si="9"/>
        <v>0.75998998998683187</v>
      </c>
      <c r="S40" s="7">
        <f t="shared" si="10"/>
        <v>-6.9258661485149808E-3</v>
      </c>
      <c r="T40">
        <v>-6.5784856527497854E-2</v>
      </c>
    </row>
    <row r="41" spans="1:20" ht="14.25" x14ac:dyDescent="0.45">
      <c r="A41" t="s">
        <v>69</v>
      </c>
      <c r="B41">
        <v>0.05</v>
      </c>
      <c r="E41">
        <v>38</v>
      </c>
      <c r="F41">
        <f t="shared" si="11"/>
        <v>1.3678581723888534</v>
      </c>
      <c r="G41">
        <f t="shared" si="13"/>
        <v>1999.3459873779184</v>
      </c>
      <c r="H41">
        <f t="shared" si="1"/>
        <v>1998.6882226614516</v>
      </c>
      <c r="I41">
        <f t="shared" si="5"/>
        <v>1502.1702298294963</v>
      </c>
      <c r="J41">
        <f t="shared" si="6"/>
        <v>0.2859092384116364</v>
      </c>
      <c r="K41">
        <f t="shared" si="2"/>
        <v>136.72153324897121</v>
      </c>
      <c r="L41">
        <f t="shared" si="7"/>
        <v>2.0548264706121326</v>
      </c>
      <c r="M41">
        <f t="shared" si="14"/>
        <v>2.8590923841163643E-2</v>
      </c>
      <c r="N41">
        <f t="shared" si="4"/>
        <v>2.0262355467709692</v>
      </c>
      <c r="O41">
        <f t="shared" si="12"/>
        <v>-6.5776471646677243E-2</v>
      </c>
      <c r="P41">
        <f ca="1">'Fixing Money'!P41</f>
        <v>3.5360534219727617E-2</v>
      </c>
      <c r="Q41">
        <f t="shared" si="8"/>
        <v>-0.28623629820089924</v>
      </c>
      <c r="R41">
        <f t="shared" si="9"/>
        <v>0.75108511491474816</v>
      </c>
      <c r="S41" s="7">
        <f t="shared" si="10"/>
        <v>1.0951516166668007E-2</v>
      </c>
      <c r="T41">
        <v>-2.550878218536444E-2</v>
      </c>
    </row>
    <row r="42" spans="1:20" ht="14.25" x14ac:dyDescent="0.45">
      <c r="E42">
        <v>39</v>
      </c>
      <c r="F42">
        <f t="shared" si="11"/>
        <v>1.3964490962300171</v>
      </c>
      <c r="G42">
        <f t="shared" si="13"/>
        <v>1999.2802109062718</v>
      </c>
      <c r="H42">
        <f t="shared" si="1"/>
        <v>1998.3185679952194</v>
      </c>
      <c r="I42">
        <f t="shared" si="5"/>
        <v>1579.7318941101878</v>
      </c>
      <c r="J42">
        <f t="shared" si="6"/>
        <v>0.23553207586716773</v>
      </c>
      <c r="K42">
        <f t="shared" si="2"/>
        <v>139.57820675380717</v>
      </c>
      <c r="L42">
        <f t="shared" si="7"/>
        <v>2.0571818476823274</v>
      </c>
      <c r="M42">
        <f t="shared" si="14"/>
        <v>2.3553207586716775E-2</v>
      </c>
      <c r="N42">
        <f t="shared" si="4"/>
        <v>2.0336286400956105</v>
      </c>
      <c r="O42">
        <f t="shared" si="12"/>
        <v>-9.6164291105242231E-2</v>
      </c>
      <c r="P42">
        <f ca="1">'Fixing Money'!P42</f>
        <v>-2.1579615952527324E-2</v>
      </c>
      <c r="Q42">
        <f t="shared" si="8"/>
        <v>-0.23589203519161686</v>
      </c>
      <c r="R42">
        <f t="shared" si="9"/>
        <v>0.78986594705509394</v>
      </c>
      <c r="S42" s="7">
        <f t="shared" si="10"/>
        <v>2.3553770701947307E-3</v>
      </c>
      <c r="T42">
        <v>3.6032448099237419E-2</v>
      </c>
    </row>
    <row r="43" spans="1:20" ht="14.25" x14ac:dyDescent="0.45">
      <c r="E43">
        <v>40</v>
      </c>
      <c r="F43">
        <f t="shared" si="11"/>
        <v>1.420002303816734</v>
      </c>
      <c r="G43">
        <f t="shared" si="13"/>
        <v>1999.1840466151666</v>
      </c>
      <c r="H43">
        <f t="shared" si="1"/>
        <v>1998.2177234136625</v>
      </c>
      <c r="I43">
        <f t="shared" si="5"/>
        <v>1782.7021698678482</v>
      </c>
      <c r="J43">
        <f t="shared" si="6"/>
        <v>0.11460883446686232</v>
      </c>
      <c r="K43">
        <f t="shared" si="2"/>
        <v>141.93416035691084</v>
      </c>
      <c r="L43">
        <f t="shared" si="7"/>
        <v>2.0471064151734337</v>
      </c>
      <c r="M43">
        <f t="shared" si="14"/>
        <v>1.1460883446686233E-2</v>
      </c>
      <c r="N43">
        <f t="shared" si="4"/>
        <v>2.0356455317267477</v>
      </c>
      <c r="O43">
        <f t="shared" si="12"/>
        <v>-9.6632320150411039E-2</v>
      </c>
      <c r="P43">
        <f ca="1">'Fixing Money'!P43</f>
        <v>3.04335133158414E-2</v>
      </c>
      <c r="Q43">
        <f t="shared" si="8"/>
        <v>-0.11501689440441142</v>
      </c>
      <c r="R43">
        <f t="shared" si="9"/>
        <v>0.89135108493392412</v>
      </c>
      <c r="S43" s="7">
        <f t="shared" si="10"/>
        <v>-1.0075432508893645E-2</v>
      </c>
      <c r="T43">
        <v>0.10908053902762459</v>
      </c>
    </row>
    <row r="44" spans="1:20" ht="14.25" x14ac:dyDescent="0.45">
      <c r="E44">
        <v>41</v>
      </c>
      <c r="F44">
        <f t="shared" si="11"/>
        <v>1.4314631872634203</v>
      </c>
      <c r="G44">
        <f t="shared" si="13"/>
        <v>1999.0874142950163</v>
      </c>
      <c r="H44">
        <f t="shared" si="1"/>
        <v>1999.045125637195</v>
      </c>
      <c r="I44">
        <f t="shared" si="5"/>
        <v>1924.080107326743</v>
      </c>
      <c r="J44">
        <f t="shared" si="6"/>
        <v>3.8242796372712995E-2</v>
      </c>
      <c r="K44">
        <f t="shared" si="2"/>
        <v>143.07826492648741</v>
      </c>
      <c r="L44">
        <f t="shared" si="7"/>
        <v>2.0229217668933726</v>
      </c>
      <c r="M44">
        <f t="shared" si="14"/>
        <v>3.8242796372712998E-3</v>
      </c>
      <c r="N44">
        <f t="shared" si="4"/>
        <v>2.0190974872561012</v>
      </c>
      <c r="O44">
        <f t="shared" si="12"/>
        <v>-4.2288657821245579E-3</v>
      </c>
      <c r="P44">
        <f ca="1">'Fixing Money'!P44</f>
        <v>-4.8360833043725474E-2</v>
      </c>
      <c r="Q44">
        <f t="shared" si="8"/>
        <v>-3.8699193358466874E-2</v>
      </c>
      <c r="R44">
        <f t="shared" si="9"/>
        <v>0.96204005366337153</v>
      </c>
      <c r="S44" s="7">
        <f t="shared" si="10"/>
        <v>-2.4184648280061172E-2</v>
      </c>
      <c r="T44">
        <v>7.0566856325723959E-2</v>
      </c>
    </row>
    <row r="45" spans="1:20" ht="14.25" x14ac:dyDescent="0.45">
      <c r="E45">
        <v>42</v>
      </c>
      <c r="F45">
        <f t="shared" si="11"/>
        <v>1.4352874669006916</v>
      </c>
      <c r="G45">
        <f t="shared" si="13"/>
        <v>1999.0831854292342</v>
      </c>
      <c r="H45">
        <f t="shared" si="1"/>
        <v>1999.5364625308077</v>
      </c>
      <c r="I45">
        <f t="shared" si="5"/>
        <v>2031.7765726511818</v>
      </c>
      <c r="J45">
        <f t="shared" si="6"/>
        <v>-1.6221901093038227E-2</v>
      </c>
      <c r="K45">
        <f t="shared" si="2"/>
        <v>143.464116221491</v>
      </c>
      <c r="L45">
        <f t="shared" si="7"/>
        <v>2.0076485592745428</v>
      </c>
      <c r="M45">
        <f t="shared" si="14"/>
        <v>-1.6221901093038229E-3</v>
      </c>
      <c r="N45">
        <f t="shared" si="4"/>
        <v>2.0092707493838464</v>
      </c>
      <c r="O45">
        <f t="shared" si="12"/>
        <v>4.532771015735762E-2</v>
      </c>
      <c r="P45">
        <f ca="1">'Fixing Money'!P45</f>
        <v>9.0855314497824465E-3</v>
      </c>
      <c r="Q45">
        <f t="shared" si="8"/>
        <v>1.5763388706915626E-2</v>
      </c>
      <c r="R45">
        <f t="shared" si="9"/>
        <v>1.0158882863255909</v>
      </c>
      <c r="S45" s="7">
        <f t="shared" si="10"/>
        <v>-1.5273207618829776E-2</v>
      </c>
      <c r="T45">
        <v>5.2527622397459152E-2</v>
      </c>
    </row>
    <row r="46" spans="1:20" ht="14.25" x14ac:dyDescent="0.45">
      <c r="E46">
        <v>43</v>
      </c>
      <c r="F46">
        <f t="shared" si="11"/>
        <v>1.4336652767913878</v>
      </c>
      <c r="G46">
        <f t="shared" si="13"/>
        <v>1999.1285131393915</v>
      </c>
      <c r="H46">
        <f t="shared" si="1"/>
        <v>2000.1416556933095</v>
      </c>
      <c r="I46">
        <f t="shared" si="5"/>
        <v>2007.3671858875941</v>
      </c>
      <c r="J46">
        <f t="shared" si="6"/>
        <v>-4.1126635241921505E-3</v>
      </c>
      <c r="K46">
        <f t="shared" si="2"/>
        <v>143.30435146572157</v>
      </c>
      <c r="L46">
        <f t="shared" si="7"/>
        <v>1.9967556197813923</v>
      </c>
      <c r="M46">
        <f t="shared" si="14"/>
        <v>-4.112663524192151E-4</v>
      </c>
      <c r="N46">
        <f t="shared" si="4"/>
        <v>1.9971668861338114</v>
      </c>
      <c r="O46">
        <f t="shared" si="12"/>
        <v>0.10131425539179872</v>
      </c>
      <c r="P46">
        <f ca="1">'Fixing Money'!P46</f>
        <v>6.7294543769308254E-2</v>
      </c>
      <c r="Q46">
        <f t="shared" si="8"/>
        <v>3.6768251301313466E-3</v>
      </c>
      <c r="R46">
        <f t="shared" si="9"/>
        <v>1.0036835929437971</v>
      </c>
      <c r="S46" s="7">
        <f t="shared" si="10"/>
        <v>-1.0892939493150511E-2</v>
      </c>
      <c r="T46">
        <v>-1.1298394141438498E-2</v>
      </c>
    </row>
    <row r="47" spans="1:20" ht="14.25" x14ac:dyDescent="0.45">
      <c r="E47">
        <v>44</v>
      </c>
      <c r="F47">
        <f t="shared" si="11"/>
        <v>1.4332540104389686</v>
      </c>
      <c r="G47">
        <f t="shared" si="13"/>
        <v>1999.2298273947833</v>
      </c>
      <c r="H47">
        <f t="shared" si="1"/>
        <v>2000.0395512271405</v>
      </c>
      <c r="I47">
        <f t="shared" si="5"/>
        <v>1999.8598472167619</v>
      </c>
      <c r="J47">
        <f t="shared" si="6"/>
        <v>-3.1508162029503239E-4</v>
      </c>
      <c r="K47">
        <f t="shared" si="2"/>
        <v>143.27023097473884</v>
      </c>
      <c r="L47">
        <f t="shared" si="7"/>
        <v>1.9991774672951617</v>
      </c>
      <c r="M47">
        <f t="shared" si="14"/>
        <v>-3.1508162029503242E-5</v>
      </c>
      <c r="N47">
        <f t="shared" si="4"/>
        <v>1.9992089754571911</v>
      </c>
      <c r="O47">
        <f t="shared" si="12"/>
        <v>8.0972383235712195E-2</v>
      </c>
      <c r="P47">
        <f ca="1">'Fixing Money'!P47</f>
        <v>-5.9300403994689978E-2</v>
      </c>
      <c r="Q47">
        <f t="shared" si="8"/>
        <v>-7.0078847084038224E-5</v>
      </c>
      <c r="R47">
        <f t="shared" si="9"/>
        <v>0.99992992360838096</v>
      </c>
      <c r="S47" s="7">
        <f t="shared" si="10"/>
        <v>2.4218475137693929E-3</v>
      </c>
      <c r="T47">
        <v>-3.5630627207088174E-3</v>
      </c>
    </row>
    <row r="48" spans="1:20" ht="14.25" x14ac:dyDescent="0.45">
      <c r="E48">
        <v>45</v>
      </c>
      <c r="F48">
        <f t="shared" si="11"/>
        <v>1.4332225022769391</v>
      </c>
      <c r="G48">
        <f t="shared" si="13"/>
        <v>1999.3107997780191</v>
      </c>
      <c r="H48">
        <f t="shared" si="1"/>
        <v>1999.4882241968685</v>
      </c>
      <c r="I48">
        <f t="shared" si="5"/>
        <v>2216.1863203426747</v>
      </c>
      <c r="J48">
        <f t="shared" si="6"/>
        <v>-0.10298532386687498</v>
      </c>
      <c r="K48">
        <f t="shared" si="2"/>
        <v>143.28024140853657</v>
      </c>
      <c r="L48">
        <f t="shared" si="7"/>
        <v>1.9999369836759411</v>
      </c>
      <c r="M48">
        <f t="shared" si="14"/>
        <v>-1.0298532386687499E-2</v>
      </c>
      <c r="N48">
        <f t="shared" si="4"/>
        <v>2.0102355160626284</v>
      </c>
      <c r="O48">
        <f t="shared" si="12"/>
        <v>1.7742441884934124E-2</v>
      </c>
      <c r="P48">
        <f ca="1">'Fixing Money'!P48</f>
        <v>-2.0034659034361049E-2</v>
      </c>
      <c r="Q48">
        <f t="shared" si="8"/>
        <v>0.10264066436762172</v>
      </c>
      <c r="R48">
        <f t="shared" si="9"/>
        <v>1.1080931601713373</v>
      </c>
      <c r="S48" s="7">
        <f t="shared" si="10"/>
        <v>7.5951638077942363E-4</v>
      </c>
      <c r="T48">
        <v>0.10270723927235155</v>
      </c>
    </row>
    <row r="49" spans="5:20" ht="14.25" x14ac:dyDescent="0.45">
      <c r="E49">
        <v>46</v>
      </c>
      <c r="F49">
        <f t="shared" si="11"/>
        <v>1.4229239698902516</v>
      </c>
      <c r="G49">
        <f t="shared" si="13"/>
        <v>1999.3285422199042</v>
      </c>
      <c r="H49">
        <f t="shared" si="1"/>
        <v>2000.4691968944944</v>
      </c>
      <c r="I49">
        <f t="shared" si="5"/>
        <v>2236.568259568332</v>
      </c>
      <c r="J49">
        <f t="shared" si="6"/>
        <v>-0.1121312688348679</v>
      </c>
      <c r="K49">
        <f t="shared" si="2"/>
        <v>142.25260303403175</v>
      </c>
      <c r="L49">
        <f t="shared" si="7"/>
        <v>1.9794029352266249</v>
      </c>
      <c r="M49">
        <f t="shared" si="14"/>
        <v>-1.1213126883486791E-2</v>
      </c>
      <c r="N49">
        <f t="shared" si="4"/>
        <v>1.9906160621101117</v>
      </c>
      <c r="O49">
        <f t="shared" si="12"/>
        <v>0.11406546745902234</v>
      </c>
      <c r="P49">
        <f ca="1">'Fixing Money'!P49</f>
        <v>-6.7354782691868148E-2</v>
      </c>
      <c r="Q49">
        <f t="shared" si="8"/>
        <v>0.11179548357525949</v>
      </c>
      <c r="R49">
        <f t="shared" si="9"/>
        <v>1.1182841297841659</v>
      </c>
      <c r="S49" s="7">
        <f t="shared" si="10"/>
        <v>-2.0534048449316167E-2</v>
      </c>
      <c r="T49">
        <v>1.4286852426018862E-2</v>
      </c>
    </row>
    <row r="50" spans="5:20" ht="14.25" x14ac:dyDescent="0.45">
      <c r="E50">
        <v>47</v>
      </c>
      <c r="F50">
        <f t="shared" si="11"/>
        <v>1.4117108430067649</v>
      </c>
      <c r="G50">
        <f t="shared" si="13"/>
        <v>1999.4426076873633</v>
      </c>
      <c r="H50">
        <f t="shared" si="1"/>
        <v>2000.4189789751367</v>
      </c>
      <c r="I50">
        <f t="shared" si="5"/>
        <v>2300.9801589071858</v>
      </c>
      <c r="J50">
        <f t="shared" si="6"/>
        <v>-0.14046674264237247</v>
      </c>
      <c r="K50">
        <f t="shared" si="2"/>
        <v>141.14165538328211</v>
      </c>
      <c r="L50">
        <f t="shared" si="7"/>
        <v>1.9775737462330265</v>
      </c>
      <c r="M50">
        <f t="shared" si="14"/>
        <v>-1.4046674264237247E-2</v>
      </c>
      <c r="N50">
        <f t="shared" si="4"/>
        <v>1.9916204204972638</v>
      </c>
      <c r="O50">
        <f t="shared" si="12"/>
        <v>9.7637128777341792E-2</v>
      </c>
      <c r="P50">
        <f ca="1">'Fixing Money'!P50</f>
        <v>4.552449528928753E-2</v>
      </c>
      <c r="Q50">
        <f t="shared" si="8"/>
        <v>0.14018800764306288</v>
      </c>
      <c r="R50">
        <f t="shared" si="9"/>
        <v>1.1504900794535928</v>
      </c>
      <c r="S50" s="7">
        <f t="shared" si="10"/>
        <v>-1.8291889935984074E-3</v>
      </c>
      <c r="T50">
        <v>3.3982298246566359E-2</v>
      </c>
    </row>
    <row r="51" spans="5:20" ht="14.25" x14ac:dyDescent="0.45">
      <c r="E51">
        <v>48</v>
      </c>
      <c r="F51">
        <f t="shared" si="11"/>
        <v>1.3976641687425275</v>
      </c>
      <c r="G51">
        <f t="shared" si="13"/>
        <v>1999.5402448161406</v>
      </c>
      <c r="H51">
        <f t="shared" si="1"/>
        <v>2000.8820723167519</v>
      </c>
      <c r="I51">
        <f t="shared" si="5"/>
        <v>2219.8426133341341</v>
      </c>
      <c r="J51">
        <f t="shared" si="6"/>
        <v>-0.10451902193438034</v>
      </c>
      <c r="K51">
        <f t="shared" si="2"/>
        <v>139.74159183150454</v>
      </c>
      <c r="L51">
        <f t="shared" si="7"/>
        <v>1.9719066514715256</v>
      </c>
      <c r="M51">
        <f t="shared" si="14"/>
        <v>-1.0451902193438035E-2</v>
      </c>
      <c r="N51">
        <f t="shared" si="4"/>
        <v>1.9823585536649635</v>
      </c>
      <c r="O51">
        <f t="shared" si="12"/>
        <v>0.13418275006113164</v>
      </c>
      <c r="P51">
        <f ca="1">'Fixing Money'!P51</f>
        <v>4.163043861881309E-2</v>
      </c>
      <c r="Q51">
        <f t="shared" si="8"/>
        <v>0.10428911791654667</v>
      </c>
      <c r="R51">
        <f t="shared" si="9"/>
        <v>1.109921306667067</v>
      </c>
      <c r="S51" s="7">
        <f t="shared" si="10"/>
        <v>-5.667094761500957E-3</v>
      </c>
      <c r="T51">
        <v>-2.8889489344363074E-2</v>
      </c>
    </row>
    <row r="52" spans="5:20" ht="14.25" x14ac:dyDescent="0.45">
      <c r="E52">
        <v>49</v>
      </c>
      <c r="F52">
        <f t="shared" si="11"/>
        <v>1.3872122665490896</v>
      </c>
      <c r="G52">
        <f t="shared" si="13"/>
        <v>1999.6744275662018</v>
      </c>
      <c r="H52">
        <f t="shared" si="1"/>
        <v>2000.2809081229059</v>
      </c>
      <c r="I52">
        <f t="shared" si="5"/>
        <v>2329.9360023074046</v>
      </c>
      <c r="J52">
        <f t="shared" si="6"/>
        <v>-0.15285641928760096</v>
      </c>
      <c r="K52">
        <f t="shared" si="2"/>
        <v>138.70924696621103</v>
      </c>
      <c r="L52">
        <f t="shared" si="7"/>
        <v>1.9790961956131239</v>
      </c>
      <c r="M52">
        <f t="shared" si="14"/>
        <v>-1.5285641928760097E-2</v>
      </c>
      <c r="N52">
        <f t="shared" si="4"/>
        <v>1.994381837541884</v>
      </c>
      <c r="O52">
        <f t="shared" si="12"/>
        <v>6.0648055670412759E-2</v>
      </c>
      <c r="P52">
        <f ca="1">'Fixing Money'!P52</f>
        <v>9.2826852901619752E-2</v>
      </c>
      <c r="Q52">
        <f t="shared" si="8"/>
        <v>0.15269361981958743</v>
      </c>
      <c r="R52">
        <f t="shared" si="9"/>
        <v>1.1649680011537022</v>
      </c>
      <c r="S52" s="7">
        <f t="shared" si="10"/>
        <v>7.1895441415983363E-3</v>
      </c>
      <c r="T52">
        <v>5.3618957798868085E-2</v>
      </c>
    </row>
    <row r="53" spans="5:20" ht="14.25" x14ac:dyDescent="0.45">
      <c r="E53">
        <v>50</v>
      </c>
      <c r="F53">
        <f t="shared" si="11"/>
        <v>1.3719266246203294</v>
      </c>
      <c r="G53">
        <f t="shared" si="13"/>
        <v>1999.7350756218721</v>
      </c>
      <c r="H53">
        <f t="shared" si="1"/>
        <v>2000.5024366055575</v>
      </c>
      <c r="I53">
        <f t="shared" si="5"/>
        <v>2455.2785743779395</v>
      </c>
      <c r="J53">
        <f t="shared" si="6"/>
        <v>-0.20522551746371054</v>
      </c>
      <c r="K53">
        <f t="shared" si="2"/>
        <v>137.18856733921274</v>
      </c>
      <c r="L53">
        <f t="shared" si="7"/>
        <v>1.9694287161424797</v>
      </c>
      <c r="M53">
        <f t="shared" si="14"/>
        <v>-2.0522551746371055E-2</v>
      </c>
      <c r="N53">
        <f t="shared" si="4"/>
        <v>1.9899512678888507</v>
      </c>
      <c r="O53">
        <f t="shared" si="12"/>
        <v>7.6736098368542116E-2</v>
      </c>
      <c r="P53">
        <f ca="1">'Fixing Money'!P53</f>
        <v>3.2544032071742716E-2</v>
      </c>
      <c r="Q53">
        <f t="shared" si="8"/>
        <v>0.20509304650075619</v>
      </c>
      <c r="R53">
        <f t="shared" si="9"/>
        <v>1.2276392871889699</v>
      </c>
      <c r="S53" s="7">
        <f t="shared" si="10"/>
        <v>-9.6674794706441691E-3</v>
      </c>
      <c r="T53">
        <v>6.0034107672148153E-2</v>
      </c>
    </row>
    <row r="54" spans="5:20" ht="14.25" x14ac:dyDescent="0.45">
      <c r="E54">
        <v>51</v>
      </c>
      <c r="F54">
        <f t="shared" si="11"/>
        <v>1.3514040728739585</v>
      </c>
      <c r="G54">
        <f t="shared" si="13"/>
        <v>1999.8118117202407</v>
      </c>
      <c r="H54">
        <f t="shared" si="1"/>
        <v>2001.0666442443719</v>
      </c>
      <c r="I54">
        <f t="shared" si="5"/>
        <v>2435.5564891099348</v>
      </c>
      <c r="J54">
        <f t="shared" si="6"/>
        <v>-0.1971221860530239</v>
      </c>
      <c r="K54">
        <f t="shared" si="2"/>
        <v>135.14101095326345</v>
      </c>
      <c r="L54">
        <f t="shared" si="7"/>
        <v>1.9589548965072578</v>
      </c>
      <c r="M54">
        <f t="shared" si="14"/>
        <v>-1.9712218605302392E-2</v>
      </c>
      <c r="N54">
        <f t="shared" si="4"/>
        <v>1.9786671151125603</v>
      </c>
      <c r="O54">
        <f t="shared" si="12"/>
        <v>0.12548325241311886</v>
      </c>
      <c r="P54">
        <f ca="1">'Fixing Money'!P54</f>
        <v>5.4580631340534175E-2</v>
      </c>
      <c r="Q54">
        <f t="shared" si="8"/>
        <v>0.19702808748601333</v>
      </c>
      <c r="R54">
        <f t="shared" si="9"/>
        <v>1.2177782445549674</v>
      </c>
      <c r="S54" s="7">
        <f t="shared" si="10"/>
        <v>-1.047381963522187E-2</v>
      </c>
      <c r="T54">
        <v>2.1896933102949563E-3</v>
      </c>
    </row>
    <row r="55" spans="5:20" ht="14.25" x14ac:dyDescent="0.45">
      <c r="E55">
        <v>52</v>
      </c>
      <c r="F55">
        <f t="shared" si="11"/>
        <v>1.331691854268656</v>
      </c>
      <c r="G55">
        <f t="shared" si="13"/>
        <v>1999.9372949726539</v>
      </c>
      <c r="H55">
        <f t="shared" si="1"/>
        <v>2001.5201551189082</v>
      </c>
      <c r="I55">
        <f t="shared" si="5"/>
        <v>2188.7468728502681</v>
      </c>
      <c r="J55">
        <f t="shared" si="6"/>
        <v>-9.0213348324390985E-2</v>
      </c>
      <c r="K55">
        <f t="shared" si="2"/>
        <v>133.17101705721416</v>
      </c>
      <c r="L55">
        <f t="shared" si="7"/>
        <v>1.9605755627893953</v>
      </c>
      <c r="M55">
        <f t="shared" si="14"/>
        <v>-9.0213348324390992E-3</v>
      </c>
      <c r="N55">
        <f t="shared" si="4"/>
        <v>1.9695968976218343</v>
      </c>
      <c r="O55">
        <f t="shared" si="12"/>
        <v>0.15828601462542338</v>
      </c>
      <c r="P55">
        <f ca="1">'Fixing Money'!P55</f>
        <v>-4.3258096274711763E-2</v>
      </c>
      <c r="Q55">
        <f t="shared" si="8"/>
        <v>9.018199531921707E-2</v>
      </c>
      <c r="R55">
        <f t="shared" si="9"/>
        <v>1.0943734364251341</v>
      </c>
      <c r="S55" s="7">
        <f t="shared" si="10"/>
        <v>1.6206662821374174E-3</v>
      </c>
      <c r="T55">
        <v>-9.6994687792495579E-2</v>
      </c>
    </row>
    <row r="56" spans="5:20" ht="14.25" x14ac:dyDescent="0.45">
      <c r="E56">
        <v>53</v>
      </c>
      <c r="F56">
        <f t="shared" si="11"/>
        <v>1.3226705194362169</v>
      </c>
      <c r="G56">
        <f t="shared" si="13"/>
        <v>2000.0955809872794</v>
      </c>
      <c r="H56">
        <f t="shared" si="1"/>
        <v>2000.6630363997565</v>
      </c>
      <c r="I56">
        <f t="shared" si="5"/>
        <v>2098.0626821166302</v>
      </c>
      <c r="J56">
        <f t="shared" si="6"/>
        <v>-4.7819416697468142E-2</v>
      </c>
      <c r="K56">
        <f t="shared" si="2"/>
        <v>132.27653551796246</v>
      </c>
      <c r="L56">
        <f t="shared" si="7"/>
        <v>1.9819573303351219</v>
      </c>
      <c r="M56">
        <f t="shared" si="14"/>
        <v>-4.7819416697468149E-3</v>
      </c>
      <c r="N56">
        <f t="shared" si="4"/>
        <v>1.9867392720048687</v>
      </c>
      <c r="O56">
        <f t="shared" si="12"/>
        <v>5.674554124771021E-2</v>
      </c>
      <c r="P56">
        <f ca="1">'Fixing Money'!P56</f>
        <v>1.5300020753999423E-3</v>
      </c>
      <c r="Q56">
        <f t="shared" si="8"/>
        <v>4.7867206049179004E-2</v>
      </c>
      <c r="R56">
        <f t="shared" si="9"/>
        <v>1.0490313410583152</v>
      </c>
      <c r="S56" s="7">
        <f t="shared" si="10"/>
        <v>2.1381767545726627E-2</v>
      </c>
      <c r="T56">
        <v>-3.7805689504077214E-2</v>
      </c>
    </row>
    <row r="57" spans="5:20" ht="14.25" x14ac:dyDescent="0.45">
      <c r="E57">
        <v>54</v>
      </c>
      <c r="F57">
        <f t="shared" si="11"/>
        <v>1.3178885777664702</v>
      </c>
      <c r="G57">
        <f t="shared" si="13"/>
        <v>2000.1523265285271</v>
      </c>
      <c r="H57">
        <f t="shared" si="1"/>
        <v>2000.4747642811069</v>
      </c>
      <c r="I57">
        <f t="shared" si="5"/>
        <v>2001.5248560763453</v>
      </c>
      <c r="J57">
        <f t="shared" si="6"/>
        <v>-6.8597717357388177E-4</v>
      </c>
      <c r="K57">
        <f t="shared" si="2"/>
        <v>131.79894044832295</v>
      </c>
      <c r="L57">
        <f t="shared" si="7"/>
        <v>1.9904361166605065</v>
      </c>
      <c r="M57">
        <f t="shared" si="14"/>
        <v>-6.859771735738818E-5</v>
      </c>
      <c r="N57">
        <f t="shared" si="4"/>
        <v>1.9905047143778638</v>
      </c>
      <c r="O57">
        <f t="shared" si="12"/>
        <v>3.2243775257984456E-2</v>
      </c>
      <c r="P57">
        <f ca="1">'Fixing Money'!P57</f>
        <v>0.1006792817678675</v>
      </c>
      <c r="Q57">
        <f t="shared" si="8"/>
        <v>7.6213753756367714E-4</v>
      </c>
      <c r="R57">
        <f t="shared" si="9"/>
        <v>1.0007624280381726</v>
      </c>
      <c r="S57" s="7">
        <f t="shared" si="10"/>
        <v>8.4787863253845686E-3</v>
      </c>
      <c r="T57">
        <v>-4.4711708209156376E-2</v>
      </c>
    </row>
    <row r="58" spans="5:20" ht="14.25" x14ac:dyDescent="0.45">
      <c r="E58">
        <v>55</v>
      </c>
      <c r="F58">
        <f t="shared" si="11"/>
        <v>1.3178199800491128</v>
      </c>
      <c r="G58">
        <f t="shared" si="13"/>
        <v>2000.184570303785</v>
      </c>
      <c r="H58">
        <f t="shared" si="1"/>
        <v>1999.9483469697282</v>
      </c>
      <c r="I58">
        <f t="shared" si="5"/>
        <v>2023.7293494479723</v>
      </c>
      <c r="J58">
        <f t="shared" si="6"/>
        <v>-1.1702560401521289E-2</v>
      </c>
      <c r="K58">
        <f t="shared" si="2"/>
        <v>131.79493062000961</v>
      </c>
      <c r="L58">
        <f t="shared" si="7"/>
        <v>1.9998628045652853</v>
      </c>
      <c r="M58">
        <f t="shared" si="14"/>
        <v>-1.170256040152129E-3</v>
      </c>
      <c r="N58">
        <f t="shared" si="4"/>
        <v>2.0010330606054376</v>
      </c>
      <c r="O58">
        <f t="shared" si="12"/>
        <v>-2.3622333405683094E-2</v>
      </c>
      <c r="P58">
        <f ca="1">'Fixing Money'!P58</f>
        <v>3.5066516302235687E-2</v>
      </c>
      <c r="Q58">
        <f t="shared" si="8"/>
        <v>1.1794841295401206E-2</v>
      </c>
      <c r="R58">
        <f t="shared" si="9"/>
        <v>1.0118646747239861</v>
      </c>
      <c r="S58" s="7">
        <f t="shared" si="10"/>
        <v>9.4266879047788521E-3</v>
      </c>
      <c r="T58">
        <v>1.1070810634715713E-2</v>
      </c>
    </row>
    <row r="59" spans="5:20" ht="14.25" x14ac:dyDescent="0.45">
      <c r="E59">
        <v>56</v>
      </c>
      <c r="F59">
        <f t="shared" si="11"/>
        <v>1.3166497240089607</v>
      </c>
      <c r="G59">
        <f t="shared" si="13"/>
        <v>2000.1609479703793</v>
      </c>
      <c r="H59">
        <f t="shared" si="1"/>
        <v>2000.0690647778981</v>
      </c>
      <c r="I59">
        <f t="shared" si="5"/>
        <v>2019.4391342158883</v>
      </c>
      <c r="J59">
        <f t="shared" si="6"/>
        <v>-9.59216522341233E-3</v>
      </c>
      <c r="K59">
        <f t="shared" si="2"/>
        <v>131.67619948201977</v>
      </c>
      <c r="L59">
        <f t="shared" si="7"/>
        <v>1.9976594879196958</v>
      </c>
      <c r="M59">
        <f t="shared" si="14"/>
        <v>-9.5921652234123302E-4</v>
      </c>
      <c r="N59">
        <f t="shared" si="4"/>
        <v>1.9986187044420372</v>
      </c>
      <c r="O59">
        <f t="shared" si="12"/>
        <v>-9.1883192481191141E-3</v>
      </c>
      <c r="P59">
        <f ca="1">'Fixing Money'!P59</f>
        <v>-6.0606236771063859E-2</v>
      </c>
      <c r="Q59">
        <f t="shared" si="8"/>
        <v>9.6726359707449139E-3</v>
      </c>
      <c r="R59">
        <f t="shared" si="9"/>
        <v>1.0097195671079442</v>
      </c>
      <c r="S59" s="7">
        <f t="shared" si="10"/>
        <v>-2.2033166455894815E-3</v>
      </c>
      <c r="T59">
        <v>-1.5324632598862297E-3</v>
      </c>
    </row>
    <row r="60" spans="5:20" ht="14.25" x14ac:dyDescent="0.45">
      <c r="E60">
        <v>57</v>
      </c>
      <c r="F60">
        <f t="shared" si="11"/>
        <v>1.3156905074866194</v>
      </c>
      <c r="G60">
        <f t="shared" si="13"/>
        <v>2000.1517596511312</v>
      </c>
      <c r="H60">
        <f t="shared" si="1"/>
        <v>2000.2500545829478</v>
      </c>
      <c r="I60">
        <f t="shared" si="5"/>
        <v>1939.4345690963848</v>
      </c>
      <c r="J60">
        <f t="shared" si="6"/>
        <v>3.0826586142709722E-2</v>
      </c>
      <c r="K60">
        <f t="shared" si="2"/>
        <v>131.57700627294429</v>
      </c>
      <c r="L60">
        <f t="shared" si="7"/>
        <v>1.9980815669553176</v>
      </c>
      <c r="M60">
        <f t="shared" si="14"/>
        <v>3.0826586142709725E-3</v>
      </c>
      <c r="N60">
        <f t="shared" si="4"/>
        <v>1.9949989083410467</v>
      </c>
      <c r="O60">
        <f t="shared" si="12"/>
        <v>9.8294931816553799E-3</v>
      </c>
      <c r="P60">
        <f ca="1">'Fixing Money'!P60</f>
        <v>-4.1549788621880281E-2</v>
      </c>
      <c r="Q60">
        <f t="shared" si="8"/>
        <v>-3.0750709195871993E-2</v>
      </c>
      <c r="R60">
        <f t="shared" si="9"/>
        <v>0.96971728454819239</v>
      </c>
      <c r="S60" s="7">
        <f t="shared" si="10"/>
        <v>4.2207903562174742E-4</v>
      </c>
      <c r="T60">
        <v>-3.9939713368079659E-2</v>
      </c>
    </row>
    <row r="61" spans="5:20" ht="14.25" x14ac:dyDescent="0.45">
      <c r="E61">
        <v>58</v>
      </c>
      <c r="F61">
        <f t="shared" si="11"/>
        <v>1.3187731661008903</v>
      </c>
      <c r="G61">
        <f t="shared" si="13"/>
        <v>2000.161589144313</v>
      </c>
      <c r="H61">
        <f t="shared" si="1"/>
        <v>1999.7454224301655</v>
      </c>
      <c r="I61">
        <f t="shared" si="5"/>
        <v>1978.7994324376621</v>
      </c>
      <c r="J61">
        <f t="shared" si="6"/>
        <v>1.0737658318498156E-2</v>
      </c>
      <c r="K61">
        <f t="shared" si="2"/>
        <v>131.88726355467884</v>
      </c>
      <c r="L61">
        <f t="shared" si="7"/>
        <v>2.0061653172285419</v>
      </c>
      <c r="M61">
        <f t="shared" si="14"/>
        <v>1.0737658318498156E-3</v>
      </c>
      <c r="N61">
        <f t="shared" si="4"/>
        <v>2.005091551396692</v>
      </c>
      <c r="O61">
        <f t="shared" si="12"/>
        <v>-4.1616671414749368E-2</v>
      </c>
      <c r="P61">
        <f ca="1">'Fixing Money'!P61</f>
        <v>-9.168667377111423E-4</v>
      </c>
      <c r="Q61">
        <f t="shared" si="8"/>
        <v>-1.0656867010046575E-2</v>
      </c>
      <c r="R61">
        <f t="shared" si="9"/>
        <v>0.98939971621883105</v>
      </c>
      <c r="S61" s="7">
        <f t="shared" si="10"/>
        <v>8.0837502732242772E-3</v>
      </c>
      <c r="T61">
        <v>1.8556306726031816E-2</v>
      </c>
    </row>
    <row r="62" spans="5:20" ht="14.25" x14ac:dyDescent="0.45">
      <c r="E62">
        <v>59</v>
      </c>
      <c r="F62">
        <f t="shared" si="11"/>
        <v>1.3198469319327402</v>
      </c>
      <c r="G62">
        <f t="shared" si="13"/>
        <v>2000.1199724728983</v>
      </c>
      <c r="H62">
        <f t="shared" si="1"/>
        <v>1999.9286833356039</v>
      </c>
      <c r="I62">
        <f t="shared" si="5"/>
        <v>1985.7470307269807</v>
      </c>
      <c r="J62">
        <f t="shared" si="6"/>
        <v>7.2119837577595547E-3</v>
      </c>
      <c r="K62">
        <f t="shared" si="2"/>
        <v>131.9921345225558</v>
      </c>
      <c r="L62">
        <f t="shared" si="7"/>
        <v>2.0021475316636996</v>
      </c>
      <c r="M62">
        <f t="shared" si="14"/>
        <v>7.2119837577595553E-4</v>
      </c>
      <c r="N62">
        <f t="shared" si="4"/>
        <v>2.0014263332879239</v>
      </c>
      <c r="O62">
        <f t="shared" si="12"/>
        <v>-1.912891372944614E-2</v>
      </c>
      <c r="P62">
        <f ca="1">'Fixing Money'!P62</f>
        <v>-0.11076877366017286</v>
      </c>
      <c r="Q62">
        <f t="shared" si="8"/>
        <v>-7.151999320413065E-3</v>
      </c>
      <c r="R62">
        <f t="shared" si="9"/>
        <v>0.99287351536349033</v>
      </c>
      <c r="S62" s="7">
        <f t="shared" si="10"/>
        <v>-4.0177855648422245E-3</v>
      </c>
      <c r="T62">
        <v>2.9720243391311817E-3</v>
      </c>
    </row>
    <row r="63" spans="5:20" ht="14.25" x14ac:dyDescent="0.45">
      <c r="E63">
        <v>60</v>
      </c>
      <c r="F63">
        <f t="shared" si="11"/>
        <v>1.3205681303085162</v>
      </c>
      <c r="G63">
        <f t="shared" si="13"/>
        <v>2000.1008435591689</v>
      </c>
      <c r="H63">
        <f t="shared" si="1"/>
        <v>1999.9896421874118</v>
      </c>
      <c r="I63">
        <f t="shared" si="5"/>
        <v>1975.5467511581946</v>
      </c>
      <c r="J63">
        <f t="shared" si="6"/>
        <v>1.2352404997866273E-2</v>
      </c>
      <c r="K63">
        <f t="shared" si="2"/>
        <v>132.06265596075224</v>
      </c>
      <c r="L63">
        <f t="shared" si="7"/>
        <v>2.001442396751552</v>
      </c>
      <c r="M63">
        <f t="shared" si="14"/>
        <v>1.2352404997866273E-3</v>
      </c>
      <c r="N63">
        <f t="shared" si="4"/>
        <v>2.0002071562517654</v>
      </c>
      <c r="O63">
        <f t="shared" si="12"/>
        <v>-1.112013717570335E-2</v>
      </c>
      <c r="P63">
        <f ca="1">'Fixing Money'!P63</f>
        <v>5.8188979205004588E-3</v>
      </c>
      <c r="Q63">
        <f t="shared" si="8"/>
        <v>-1.2301984489417498E-2</v>
      </c>
      <c r="R63">
        <f t="shared" si="9"/>
        <v>0.98777337557909728</v>
      </c>
      <c r="S63" s="7">
        <f t="shared" si="10"/>
        <v>-7.0513491214763135E-4</v>
      </c>
      <c r="T63">
        <v>-5.5075851350250872E-3</v>
      </c>
    </row>
    <row r="64" spans="5:20" ht="14.25" x14ac:dyDescent="0.45">
      <c r="E64">
        <v>61</v>
      </c>
      <c r="F64">
        <f t="shared" si="11"/>
        <v>1.3218033708083028</v>
      </c>
      <c r="G64">
        <f t="shared" si="13"/>
        <v>2000.0897234219931</v>
      </c>
      <c r="H64">
        <f t="shared" si="1"/>
        <v>1999.5165875238215</v>
      </c>
      <c r="I64">
        <f t="shared" si="5"/>
        <v>2149.3591469138323</v>
      </c>
      <c r="J64">
        <f t="shared" si="6"/>
        <v>-7.1977685239966505E-2</v>
      </c>
      <c r="K64">
        <f t="shared" si="2"/>
        <v>132.1910239342605</v>
      </c>
      <c r="L64">
        <f t="shared" si="7"/>
        <v>2.0024704809995733</v>
      </c>
      <c r="M64">
        <f t="shared" si="14"/>
        <v>-7.197768523996651E-3</v>
      </c>
      <c r="N64">
        <f t="shared" si="4"/>
        <v>2.0096682495235698</v>
      </c>
      <c r="O64">
        <f t="shared" si="12"/>
        <v>-5.7313589817158575E-2</v>
      </c>
      <c r="P64">
        <f ca="1">'Fixing Money'!P64</f>
        <v>-2.006485549787599E-2</v>
      </c>
      <c r="Q64">
        <f t="shared" si="8"/>
        <v>7.2022545944706848E-2</v>
      </c>
      <c r="R64">
        <f t="shared" si="9"/>
        <v>1.0746795734569161</v>
      </c>
      <c r="S64" s="7">
        <f t="shared" si="10"/>
        <v>1.0280842480212549E-3</v>
      </c>
      <c r="T64">
        <v>8.3709431209653476E-2</v>
      </c>
    </row>
    <row r="65" spans="5:20" ht="14.25" x14ac:dyDescent="0.45">
      <c r="E65">
        <v>62</v>
      </c>
      <c r="F65">
        <f t="shared" si="11"/>
        <v>1.3146056022843062</v>
      </c>
      <c r="G65">
        <f t="shared" si="13"/>
        <v>2000.032409832176</v>
      </c>
      <c r="H65">
        <f t="shared" si="1"/>
        <v>2000.4024077124323</v>
      </c>
      <c r="I65">
        <f t="shared" si="5"/>
        <v>2131.0977303735044</v>
      </c>
      <c r="J65">
        <f t="shared" si="6"/>
        <v>-6.347382799349699E-2</v>
      </c>
      <c r="K65">
        <f t="shared" si="2"/>
        <v>131.46686268827196</v>
      </c>
      <c r="L65">
        <f t="shared" si="7"/>
        <v>1.9856044629520067</v>
      </c>
      <c r="M65">
        <f t="shared" si="14"/>
        <v>-6.3473827993496997E-3</v>
      </c>
      <c r="N65">
        <f t="shared" si="4"/>
        <v>1.9919518457513563</v>
      </c>
      <c r="O65">
        <f t="shared" si="12"/>
        <v>3.6999788025627825E-2</v>
      </c>
      <c r="P65">
        <f ca="1">'Fixing Money'!P65</f>
        <v>-5.6747392140174324E-2</v>
      </c>
      <c r="Q65">
        <f t="shared" si="8"/>
        <v>6.3490032778286534E-2</v>
      </c>
      <c r="R65">
        <f t="shared" si="9"/>
        <v>1.0655488651867522</v>
      </c>
      <c r="S65" s="7">
        <f t="shared" si="10"/>
        <v>-1.68660180475666E-2</v>
      </c>
      <c r="T65">
        <v>-4.9313858691849731E-3</v>
      </c>
    </row>
    <row r="66" spans="5:20" ht="14.25" x14ac:dyDescent="0.45">
      <c r="E66">
        <v>63</v>
      </c>
      <c r="F66">
        <f t="shared" si="11"/>
        <v>1.3082582194849566</v>
      </c>
      <c r="G66">
        <f t="shared" si="13"/>
        <v>2000.0694096202017</v>
      </c>
      <c r="H66">
        <f t="shared" si="1"/>
        <v>2000.5607692940573</v>
      </c>
      <c r="I66">
        <f t="shared" si="5"/>
        <v>2029.8779781135615</v>
      </c>
      <c r="J66">
        <f t="shared" si="6"/>
        <v>-1.4793797175546963E-2</v>
      </c>
      <c r="K66">
        <f t="shared" si="2"/>
        <v>130.83132993914029</v>
      </c>
      <c r="L66">
        <f t="shared" si="7"/>
        <v>1.9873052344013007</v>
      </c>
      <c r="M66">
        <f t="shared" si="14"/>
        <v>-1.4793797175546965E-3</v>
      </c>
      <c r="N66">
        <f t="shared" si="4"/>
        <v>1.9887846141188554</v>
      </c>
      <c r="O66">
        <f t="shared" si="12"/>
        <v>4.9135967385564076E-2</v>
      </c>
      <c r="P66">
        <f ca="1">'Fixing Money'!P66</f>
        <v>-4.9365521641684534E-2</v>
      </c>
      <c r="Q66">
        <f t="shared" si="8"/>
        <v>1.4828501383449863E-2</v>
      </c>
      <c r="R66">
        <f t="shared" si="9"/>
        <v>1.0149389890567808</v>
      </c>
      <c r="S66" s="7">
        <f t="shared" si="10"/>
        <v>1.7007714492940362E-3</v>
      </c>
      <c r="T66">
        <v>-4.5487029755922344E-2</v>
      </c>
    </row>
    <row r="67" spans="5:20" ht="14.25" x14ac:dyDescent="0.45">
      <c r="E67">
        <v>64</v>
      </c>
      <c r="F67">
        <f t="shared" si="11"/>
        <v>1.3067788397674018</v>
      </c>
      <c r="G67">
        <f t="shared" si="13"/>
        <v>2000.1185455875873</v>
      </c>
      <c r="H67">
        <f t="shared" si="1"/>
        <v>2000.3777460866827</v>
      </c>
      <c r="I67">
        <f t="shared" si="5"/>
        <v>1910.2704494621094</v>
      </c>
      <c r="J67">
        <f t="shared" si="6"/>
        <v>4.5961622985466022E-2</v>
      </c>
      <c r="K67">
        <f t="shared" si="2"/>
        <v>130.68262653619257</v>
      </c>
      <c r="L67">
        <f t="shared" si="7"/>
        <v>1.9970412405648905</v>
      </c>
      <c r="M67">
        <f t="shared" si="14"/>
        <v>4.5961622985466024E-3</v>
      </c>
      <c r="N67">
        <f t="shared" si="4"/>
        <v>1.9924450782663439</v>
      </c>
      <c r="O67">
        <f t="shared" si="12"/>
        <v>2.5920049909541377E-2</v>
      </c>
      <c r="P67">
        <f ca="1">'Fixing Money'!P67</f>
        <v>3.3755690788477941E-2</v>
      </c>
      <c r="Q67">
        <f t="shared" si="8"/>
        <v>-4.5902351948235207E-2</v>
      </c>
      <c r="R67">
        <f t="shared" si="9"/>
        <v>0.95513522473105472</v>
      </c>
      <c r="S67" s="7">
        <f t="shared" si="10"/>
        <v>9.7360061635898276E-3</v>
      </c>
      <c r="T67">
        <v>-5.9989428262512572E-2</v>
      </c>
    </row>
    <row r="68" spans="5:20" ht="14.25" x14ac:dyDescent="0.45">
      <c r="E68">
        <v>65</v>
      </c>
      <c r="F68">
        <f t="shared" si="11"/>
        <v>1.3113750020659485</v>
      </c>
      <c r="G68">
        <f t="shared" ref="G68:G100" si="15">G67+O67</f>
        <v>2000.1444656374968</v>
      </c>
      <c r="H68">
        <f t="shared" ref="H68:H100" si="16">Beta0_1-Beta1*(L68-M68)</f>
        <v>1999.6382763228107</v>
      </c>
      <c r="I68">
        <f t="shared" si="5"/>
        <v>1961.3654723299353</v>
      </c>
      <c r="J68">
        <f t="shared" si="6"/>
        <v>1.9578510533098559E-2</v>
      </c>
      <c r="K68">
        <f t="shared" ref="K68:K100" si="17">F68*($B$10*G68-$B$11*M68)</f>
        <v>131.14568889941387</v>
      </c>
      <c r="L68">
        <f t="shared" si="7"/>
        <v>2.0091923245970933</v>
      </c>
      <c r="M68">
        <f t="shared" ref="M68:M100" si="18">Mi*(J68)</f>
        <v>1.9578510533098561E-3</v>
      </c>
      <c r="N68">
        <f t="shared" ref="N68:N100" si="19">L68-M68</f>
        <v>2.0072344735437833</v>
      </c>
      <c r="O68">
        <f t="shared" si="12"/>
        <v>-5.0618931468602572E-2</v>
      </c>
      <c r="P68">
        <f ca="1">'Fixing Money'!P68</f>
        <v>2.1231353133960976E-2</v>
      </c>
      <c r="Q68">
        <f t="shared" si="8"/>
        <v>-1.9506280323014984E-2</v>
      </c>
      <c r="R68">
        <f t="shared" si="9"/>
        <v>0.98068273616496759</v>
      </c>
      <c r="S68" s="7">
        <f t="shared" si="10"/>
        <v>1.2151084032202775E-2</v>
      </c>
      <c r="T68">
        <v>2.4100954027808458E-2</v>
      </c>
    </row>
    <row r="69" spans="5:20" ht="14.25" x14ac:dyDescent="0.45">
      <c r="E69">
        <v>66</v>
      </c>
      <c r="F69">
        <f t="shared" si="11"/>
        <v>1.3133328531192583</v>
      </c>
      <c r="G69">
        <f t="shared" si="15"/>
        <v>2000.0938467060282</v>
      </c>
      <c r="H69">
        <f t="shared" si="16"/>
        <v>1999.7182309163702</v>
      </c>
      <c r="I69">
        <f t="shared" ref="I69:I100" si="20">$B$19*R69</f>
        <v>2034.7864981403684</v>
      </c>
      <c r="J69">
        <f t="shared" ref="J69:J100" si="21">LN(G69)-LN(I69)</f>
        <v>-1.7196795659772057E-2</v>
      </c>
      <c r="K69">
        <f t="shared" si="17"/>
        <v>131.34057716587046</v>
      </c>
      <c r="L69">
        <f t="shared" ref="L69:L100" si="22" xml:space="preserve"> $C$36*L68 + (1-$C$36)*(2 + $C$37 *J68 + $C$38 * M68)</f>
        <v>2.0039157021066196</v>
      </c>
      <c r="M69">
        <f t="shared" si="18"/>
        <v>-1.7196795659772059E-3</v>
      </c>
      <c r="N69">
        <f t="shared" si="19"/>
        <v>2.0056353816725969</v>
      </c>
      <c r="O69">
        <f t="shared" si="12"/>
        <v>-3.7561578965801347E-2</v>
      </c>
      <c r="P69">
        <f ca="1">'Fixing Money'!P69</f>
        <v>-5.2543150083943217E-2</v>
      </c>
      <c r="Q69">
        <f t="shared" ref="Q69:Q100" si="23">$C$33*Q68+T69</f>
        <v>1.7243717911920139E-2</v>
      </c>
      <c r="R69">
        <f t="shared" ref="R69:R100" si="24">EXP(Q69)</f>
        <v>1.0173932490701842</v>
      </c>
      <c r="S69" s="7">
        <f t="shared" ref="S69:S100" si="25">L69-L68</f>
        <v>-5.2766224904736703E-3</v>
      </c>
      <c r="T69">
        <v>3.5774684218784374E-2</v>
      </c>
    </row>
    <row r="70" spans="5:20" ht="14.25" x14ac:dyDescent="0.45">
      <c r="E70">
        <v>67</v>
      </c>
      <c r="F70">
        <f t="shared" ref="F70:F100" si="26">F69+M69</f>
        <v>1.311613173553281</v>
      </c>
      <c r="G70">
        <f t="shared" si="15"/>
        <v>2000.0562851270624</v>
      </c>
      <c r="H70">
        <f t="shared" si="16"/>
        <v>1999.7668605644465</v>
      </c>
      <c r="I70">
        <f t="shared" si="20"/>
        <v>2168.8494100677171</v>
      </c>
      <c r="J70">
        <f t="shared" si="21"/>
        <v>-8.1021478430245431E-2</v>
      </c>
      <c r="K70">
        <f t="shared" si="17"/>
        <v>131.17032201295712</v>
      </c>
      <c r="L70">
        <f t="shared" si="22"/>
        <v>1.9965606408680456</v>
      </c>
      <c r="M70">
        <f t="shared" si="18"/>
        <v>-8.1021478430245431E-3</v>
      </c>
      <c r="N70">
        <f t="shared" si="19"/>
        <v>2.0046627887110704</v>
      </c>
      <c r="O70">
        <f t="shared" ref="O70:O100" si="27">Ni*(H70-G70)</f>
        <v>-2.8942456261597728E-2</v>
      </c>
      <c r="P70">
        <f ca="1">'Fixing Money'!P70</f>
        <v>-8.2730295077972187E-3</v>
      </c>
      <c r="Q70">
        <f t="shared" si="23"/>
        <v>8.1049620597782257E-2</v>
      </c>
      <c r="R70">
        <f t="shared" si="24"/>
        <v>1.0844247050338587</v>
      </c>
      <c r="S70" s="7">
        <f t="shared" si="25"/>
        <v>-7.35506123857399E-3</v>
      </c>
      <c r="T70">
        <v>6.466808858145813E-2</v>
      </c>
    </row>
    <row r="71" spans="5:20" ht="14.25" x14ac:dyDescent="0.45">
      <c r="E71">
        <v>68</v>
      </c>
      <c r="F71">
        <f t="shared" si="26"/>
        <v>1.3035110257102565</v>
      </c>
      <c r="G71">
        <f t="shared" si="15"/>
        <v>2000.0273426708009</v>
      </c>
      <c r="H71">
        <f t="shared" si="16"/>
        <v>2000.732788529119</v>
      </c>
      <c r="I71">
        <f t="shared" si="20"/>
        <v>2031.239307005467</v>
      </c>
      <c r="J71">
        <f t="shared" si="21"/>
        <v>-1.5485251036698955E-2</v>
      </c>
      <c r="K71">
        <f t="shared" si="17"/>
        <v>130.3538939044418</v>
      </c>
      <c r="L71">
        <f t="shared" si="22"/>
        <v>1.9837957043139509</v>
      </c>
      <c r="M71">
        <f t="shared" si="18"/>
        <v>-1.5485251036698956E-3</v>
      </c>
      <c r="N71">
        <f t="shared" si="19"/>
        <v>1.9853442294176209</v>
      </c>
      <c r="O71">
        <f t="shared" si="27"/>
        <v>7.0544585831817136E-2</v>
      </c>
      <c r="P71">
        <f ca="1">'Fixing Money'!P71</f>
        <v>3.3312733373142712E-3</v>
      </c>
      <c r="Q71">
        <f t="shared" si="23"/>
        <v>1.5498922278646632E-2</v>
      </c>
      <c r="R71">
        <f t="shared" si="24"/>
        <v>1.0156196535027335</v>
      </c>
      <c r="S71" s="7">
        <f t="shared" si="25"/>
        <v>-1.2764936554094719E-2</v>
      </c>
      <c r="T71">
        <v>-6.149821728924651E-2</v>
      </c>
    </row>
    <row r="72" spans="5:20" ht="14.25" x14ac:dyDescent="0.45">
      <c r="E72">
        <v>69</v>
      </c>
      <c r="F72">
        <f t="shared" si="26"/>
        <v>1.3019625006065865</v>
      </c>
      <c r="G72">
        <f t="shared" si="15"/>
        <v>2000.0978872566327</v>
      </c>
      <c r="H72">
        <f t="shared" si="16"/>
        <v>1999.896497856093</v>
      </c>
      <c r="I72">
        <f t="shared" si="20"/>
        <v>2106.1614103064699</v>
      </c>
      <c r="J72">
        <f t="shared" si="21"/>
        <v>-5.1670930854791131E-2</v>
      </c>
      <c r="K72">
        <f t="shared" si="17"/>
        <v>130.20598601824702</v>
      </c>
      <c r="L72">
        <f t="shared" si="22"/>
        <v>1.9969029497926603</v>
      </c>
      <c r="M72">
        <f t="shared" si="18"/>
        <v>-5.1670930854791136E-3</v>
      </c>
      <c r="N72">
        <f t="shared" si="19"/>
        <v>2.0020700428781395</v>
      </c>
      <c r="O72">
        <f t="shared" si="27"/>
        <v>-2.0138940053971058E-2</v>
      </c>
      <c r="P72">
        <f ca="1">'Fixing Money'!P72</f>
        <v>6.2588203517633077E-3</v>
      </c>
      <c r="Q72">
        <f t="shared" si="23"/>
        <v>5.1719873285406906E-2</v>
      </c>
      <c r="R72">
        <f t="shared" si="24"/>
        <v>1.0530807051532349</v>
      </c>
      <c r="S72" s="7">
        <f t="shared" si="25"/>
        <v>1.310724547870934E-2</v>
      </c>
      <c r="T72">
        <v>3.6995897120692608E-2</v>
      </c>
    </row>
    <row r="73" spans="5:20" ht="14.25" x14ac:dyDescent="0.45">
      <c r="E73">
        <v>70</v>
      </c>
      <c r="F73">
        <f t="shared" si="26"/>
        <v>1.2967954075211074</v>
      </c>
      <c r="G73">
        <f t="shared" si="15"/>
        <v>2000.0777483165787</v>
      </c>
      <c r="H73">
        <f t="shared" si="16"/>
        <v>2000.3327911152603</v>
      </c>
      <c r="I73">
        <f t="shared" si="20"/>
        <v>2075.0177183709552</v>
      </c>
      <c r="J73">
        <f t="shared" si="21"/>
        <v>-3.6783638657504447E-2</v>
      </c>
      <c r="K73">
        <f t="shared" si="17"/>
        <v>129.68696697778898</v>
      </c>
      <c r="L73">
        <f t="shared" si="22"/>
        <v>1.9896658138290417</v>
      </c>
      <c r="M73">
        <f t="shared" si="18"/>
        <v>-3.6783638657504449E-3</v>
      </c>
      <c r="N73">
        <f t="shared" si="19"/>
        <v>1.9933441776947922</v>
      </c>
      <c r="O73">
        <f t="shared" si="27"/>
        <v>2.5504279868164306E-2</v>
      </c>
      <c r="P73">
        <f ca="1">'Fixing Money'!P73</f>
        <v>6.9883227870125783E-3</v>
      </c>
      <c r="Q73">
        <f t="shared" si="23"/>
        <v>3.6822512060213641E-2</v>
      </c>
      <c r="R73">
        <f t="shared" si="24"/>
        <v>1.0375088591854775</v>
      </c>
      <c r="S73" s="7">
        <f t="shared" si="25"/>
        <v>-7.237135963618524E-3</v>
      </c>
      <c r="T73">
        <v>-1.2311367560922916E-2</v>
      </c>
    </row>
    <row r="74" spans="5:20" ht="14.25" x14ac:dyDescent="0.45">
      <c r="E74">
        <v>71</v>
      </c>
      <c r="F74">
        <f t="shared" si="26"/>
        <v>1.293117043655357</v>
      </c>
      <c r="G74">
        <f t="shared" si="15"/>
        <v>2000.1032525964467</v>
      </c>
      <c r="H74">
        <f t="shared" si="16"/>
        <v>2000.0306334324875</v>
      </c>
      <c r="I74">
        <f t="shared" si="20"/>
        <v>2139.6438636791613</v>
      </c>
      <c r="J74">
        <f t="shared" si="21"/>
        <v>-6.7440590817517077E-2</v>
      </c>
      <c r="K74">
        <f t="shared" si="17"/>
        <v>129.32274067902006</v>
      </c>
      <c r="L74">
        <f t="shared" si="22"/>
        <v>1.992643272268499</v>
      </c>
      <c r="M74">
        <f t="shared" si="18"/>
        <v>-6.744059081751708E-3</v>
      </c>
      <c r="N74">
        <f t="shared" si="19"/>
        <v>1.9993873313502508</v>
      </c>
      <c r="O74">
        <f t="shared" si="27"/>
        <v>-7.2619163959188882E-3</v>
      </c>
      <c r="P74">
        <f ca="1">'Fixing Money'!P74</f>
        <v>8.0617464541074251E-3</v>
      </c>
      <c r="Q74">
        <f t="shared" si="23"/>
        <v>6.7492215783149512E-2</v>
      </c>
      <c r="R74">
        <f t="shared" si="24"/>
        <v>1.0698219318395807</v>
      </c>
      <c r="S74" s="7">
        <f t="shared" si="25"/>
        <v>2.9774584394572923E-3</v>
      </c>
      <c r="T74">
        <v>3.2510829325946553E-2</v>
      </c>
    </row>
    <row r="75" spans="5:20" ht="14.25" x14ac:dyDescent="0.45">
      <c r="E75">
        <v>72</v>
      </c>
      <c r="F75">
        <f t="shared" si="26"/>
        <v>1.2863729845736052</v>
      </c>
      <c r="G75">
        <f t="shared" si="15"/>
        <v>2000.0959906800508</v>
      </c>
      <c r="H75">
        <f t="shared" si="16"/>
        <v>2000.2213656388783</v>
      </c>
      <c r="I75">
        <f t="shared" si="20"/>
        <v>2189.7847002501867</v>
      </c>
      <c r="J75">
        <f t="shared" si="21"/>
        <v>-9.0608053859352999E-2</v>
      </c>
      <c r="K75">
        <f t="shared" si="17"/>
        <v>128.6493002358734</v>
      </c>
      <c r="L75">
        <f t="shared" si="22"/>
        <v>1.9865118818364966</v>
      </c>
      <c r="M75">
        <f t="shared" si="18"/>
        <v>-9.060805385935301E-3</v>
      </c>
      <c r="N75">
        <f t="shared" si="19"/>
        <v>1.995572687222432</v>
      </c>
      <c r="O75">
        <f t="shared" si="27"/>
        <v>1.2537495882747864E-2</v>
      </c>
      <c r="P75">
        <f ca="1">'Fixing Money'!P75</f>
        <v>-8.5656401625710213E-2</v>
      </c>
      <c r="Q75">
        <f t="shared" si="23"/>
        <v>9.0656048047638688E-2</v>
      </c>
      <c r="R75">
        <f t="shared" si="24"/>
        <v>1.0948923501250933</v>
      </c>
      <c r="S75" s="7">
        <f t="shared" si="25"/>
        <v>-6.1313904320023926E-3</v>
      </c>
      <c r="T75">
        <v>2.6538443053646651E-2</v>
      </c>
    </row>
    <row r="76" spans="5:20" ht="14.25" x14ac:dyDescent="0.45">
      <c r="E76">
        <v>73</v>
      </c>
      <c r="F76">
        <f t="shared" si="26"/>
        <v>1.2773121791876698</v>
      </c>
      <c r="G76">
        <f t="shared" si="15"/>
        <v>2000.1085281759335</v>
      </c>
      <c r="H76">
        <f t="shared" si="16"/>
        <v>2000.3823484541658</v>
      </c>
      <c r="I76">
        <f t="shared" si="20"/>
        <v>2220.978490049928</v>
      </c>
      <c r="J76">
        <f t="shared" si="21"/>
        <v>-0.10474641688554787</v>
      </c>
      <c r="K76">
        <f t="shared" si="17"/>
        <v>127.74483883051293</v>
      </c>
      <c r="L76">
        <f t="shared" si="22"/>
        <v>1.9818783892281293</v>
      </c>
      <c r="M76">
        <f t="shared" si="18"/>
        <v>-1.0474641688554788E-2</v>
      </c>
      <c r="N76">
        <f t="shared" si="19"/>
        <v>1.9923530309166841</v>
      </c>
      <c r="O76">
        <f t="shared" si="27"/>
        <v>2.7382027823227875E-2</v>
      </c>
      <c r="P76">
        <f ca="1">'Fixing Money'!P76</f>
        <v>-9.0651567693094477E-4</v>
      </c>
      <c r="Q76">
        <f t="shared" si="23"/>
        <v>0.10480067950127241</v>
      </c>
      <c r="R76">
        <f t="shared" si="24"/>
        <v>1.1104892450249639</v>
      </c>
      <c r="S76" s="7">
        <f t="shared" si="25"/>
        <v>-4.6334926083673178E-3</v>
      </c>
      <c r="T76">
        <v>1.8677433856015651E-2</v>
      </c>
    </row>
    <row r="77" spans="5:20" ht="14.25" x14ac:dyDescent="0.45">
      <c r="E77">
        <v>74</v>
      </c>
      <c r="F77">
        <f t="shared" si="26"/>
        <v>1.266837537499115</v>
      </c>
      <c r="G77">
        <f t="shared" si="15"/>
        <v>2000.1359102037568</v>
      </c>
      <c r="H77">
        <f t="shared" si="16"/>
        <v>2000.2081978602932</v>
      </c>
      <c r="I77">
        <f t="shared" si="20"/>
        <v>2365.6868321464017</v>
      </c>
      <c r="J77">
        <f t="shared" si="21"/>
        <v>-0.16785326171245085</v>
      </c>
      <c r="K77">
        <f t="shared" si="17"/>
        <v>126.70299469794035</v>
      </c>
      <c r="L77">
        <f t="shared" si="22"/>
        <v>1.9790507166228903</v>
      </c>
      <c r="M77">
        <f t="shared" si="18"/>
        <v>-1.6785326171245087E-2</v>
      </c>
      <c r="N77">
        <f t="shared" si="19"/>
        <v>1.9958360427941355</v>
      </c>
      <c r="O77">
        <f t="shared" si="27"/>
        <v>7.2287656536445871E-3</v>
      </c>
      <c r="P77">
        <f ca="1">'Fixing Money'!P77</f>
        <v>1.6932117411982705E-3</v>
      </c>
      <c r="Q77">
        <f t="shared" si="23"/>
        <v>0.16792121450548614</v>
      </c>
      <c r="R77">
        <f t="shared" si="24"/>
        <v>1.1828434160732009</v>
      </c>
      <c r="S77" s="7">
        <f t="shared" si="25"/>
        <v>-2.8276726052389733E-3</v>
      </c>
      <c r="T77">
        <v>6.8360568979277364E-2</v>
      </c>
    </row>
    <row r="78" spans="5:20" ht="14.25" x14ac:dyDescent="0.45">
      <c r="E78">
        <v>75</v>
      </c>
      <c r="F78">
        <f t="shared" si="26"/>
        <v>1.2500522113278698</v>
      </c>
      <c r="G78">
        <f t="shared" si="15"/>
        <v>2000.1431389694105</v>
      </c>
      <c r="H78">
        <f t="shared" si="16"/>
        <v>2000.9477089244967</v>
      </c>
      <c r="I78">
        <f t="shared" si="20"/>
        <v>2314.9393442550563</v>
      </c>
      <c r="J78">
        <f t="shared" si="21"/>
        <v>-0.14616473852554268</v>
      </c>
      <c r="K78">
        <f t="shared" si="17"/>
        <v>125.02330336977954</v>
      </c>
      <c r="L78">
        <f t="shared" si="22"/>
        <v>1.9664293476575099</v>
      </c>
      <c r="M78">
        <f t="shared" si="18"/>
        <v>-1.4616473852554268E-2</v>
      </c>
      <c r="N78">
        <f t="shared" si="19"/>
        <v>1.9810458215100641</v>
      </c>
      <c r="O78">
        <f t="shared" si="27"/>
        <v>8.0456995508620829E-2</v>
      </c>
      <c r="P78">
        <f ca="1">'Fixing Money'!P78</f>
        <v>-9.8133722029898965E-2</v>
      </c>
      <c r="Q78">
        <f t="shared" si="23"/>
        <v>0.14623630544927424</v>
      </c>
      <c r="R78">
        <f t="shared" si="24"/>
        <v>1.1574696721275282</v>
      </c>
      <c r="S78" s="7">
        <f t="shared" si="25"/>
        <v>-1.2621368965380464E-2</v>
      </c>
      <c r="T78">
        <v>-1.328884833093757E-2</v>
      </c>
    </row>
    <row r="79" spans="5:20" ht="14.25" x14ac:dyDescent="0.45">
      <c r="E79">
        <v>76</v>
      </c>
      <c r="F79">
        <f t="shared" si="26"/>
        <v>1.2354357374753155</v>
      </c>
      <c r="G79">
        <f t="shared" si="15"/>
        <v>2000.2235959649192</v>
      </c>
      <c r="H79">
        <f t="shared" si="16"/>
        <v>2001.0150653338155</v>
      </c>
      <c r="I79">
        <f t="shared" si="20"/>
        <v>2187.0976317986488</v>
      </c>
      <c r="J79">
        <f t="shared" si="21"/>
        <v>-8.9316410287977099E-2</v>
      </c>
      <c r="K79">
        <f t="shared" si="17"/>
        <v>123.56290290408302</v>
      </c>
      <c r="L79">
        <f t="shared" si="22"/>
        <v>1.9707670522948915</v>
      </c>
      <c r="M79">
        <f t="shared" si="18"/>
        <v>-8.9316410287977096E-3</v>
      </c>
      <c r="N79">
        <f t="shared" si="19"/>
        <v>1.9796986933236891</v>
      </c>
      <c r="O79">
        <f t="shared" si="27"/>
        <v>7.9146936889628705E-2</v>
      </c>
      <c r="P79">
        <f ca="1">'Fixing Money'!P79</f>
        <v>-2.3207789933777884E-2</v>
      </c>
      <c r="Q79">
        <f t="shared" si="23"/>
        <v>8.9428202021507419E-2</v>
      </c>
      <c r="R79">
        <f t="shared" si="24"/>
        <v>1.0935488158993243</v>
      </c>
      <c r="S79" s="7">
        <f t="shared" si="25"/>
        <v>4.3377046373815897E-3</v>
      </c>
      <c r="T79">
        <v>-4.9496288155303103E-2</v>
      </c>
    </row>
    <row r="80" spans="5:20" ht="14.25" x14ac:dyDescent="0.45">
      <c r="E80">
        <v>77</v>
      </c>
      <c r="F80">
        <f t="shared" si="26"/>
        <v>1.2265040964465179</v>
      </c>
      <c r="G80">
        <f t="shared" si="15"/>
        <v>2000.3027429018089</v>
      </c>
      <c r="H80">
        <f t="shared" si="16"/>
        <v>2000.5317640121141</v>
      </c>
      <c r="I80">
        <f t="shared" si="20"/>
        <v>2150.2380538011325</v>
      </c>
      <c r="J80">
        <f t="shared" si="21"/>
        <v>-7.2280018153120018E-2</v>
      </c>
      <c r="K80">
        <f t="shared" si="17"/>
        <v>122.67340800203154</v>
      </c>
      <c r="L80">
        <f t="shared" si="22"/>
        <v>1.9821367179424045</v>
      </c>
      <c r="M80">
        <f t="shared" si="18"/>
        <v>-7.2280018153120023E-3</v>
      </c>
      <c r="N80">
        <f t="shared" si="19"/>
        <v>1.9893647197577164</v>
      </c>
      <c r="O80">
        <f t="shared" si="27"/>
        <v>2.2902111030521158E-2</v>
      </c>
      <c r="P80">
        <f ca="1">'Fixing Money'!P80</f>
        <v>5.9672764395068981E-2</v>
      </c>
      <c r="Q80">
        <f t="shared" si="23"/>
        <v>7.2431378148521949E-2</v>
      </c>
      <c r="R80">
        <f t="shared" si="24"/>
        <v>1.0751190269005664</v>
      </c>
      <c r="S80" s="7">
        <f t="shared" si="25"/>
        <v>1.1369665647513072E-2</v>
      </c>
      <c r="T80">
        <v>-1.2525413771910089E-2</v>
      </c>
    </row>
    <row r="81" spans="5:20" ht="14.25" x14ac:dyDescent="0.45">
      <c r="E81">
        <v>78</v>
      </c>
      <c r="F81">
        <f t="shared" si="26"/>
        <v>1.219276094631206</v>
      </c>
      <c r="G81">
        <f t="shared" si="15"/>
        <v>2000.3256450128395</v>
      </c>
      <c r="H81">
        <f t="shared" si="16"/>
        <v>2000.293838479012</v>
      </c>
      <c r="I81">
        <f t="shared" si="20"/>
        <v>2179.51490264319</v>
      </c>
      <c r="J81">
        <f t="shared" si="21"/>
        <v>-8.5792340503838105E-2</v>
      </c>
      <c r="K81">
        <f t="shared" si="17"/>
        <v>121.95269224958911</v>
      </c>
      <c r="L81">
        <f t="shared" si="22"/>
        <v>1.985543996369376</v>
      </c>
      <c r="M81">
        <f t="shared" si="18"/>
        <v>-8.5792340503838115E-3</v>
      </c>
      <c r="N81">
        <f t="shared" si="19"/>
        <v>1.9941232304197598</v>
      </c>
      <c r="O81">
        <f t="shared" si="27"/>
        <v>-3.1806533827420935E-3</v>
      </c>
      <c r="P81">
        <f ca="1">'Fixing Money'!P81</f>
        <v>-1.0601866753119844E-2</v>
      </c>
      <c r="Q81">
        <f t="shared" si="23"/>
        <v>8.5955149756113E-2</v>
      </c>
      <c r="R81">
        <f t="shared" si="24"/>
        <v>1.0897574513215951</v>
      </c>
      <c r="S81" s="7">
        <f t="shared" si="25"/>
        <v>3.4072784269714163E-3</v>
      </c>
      <c r="T81">
        <v>1.7145340515017152E-2</v>
      </c>
    </row>
    <row r="82" spans="5:20" ht="14.25" x14ac:dyDescent="0.45">
      <c r="E82">
        <v>79</v>
      </c>
      <c r="F82">
        <f t="shared" si="26"/>
        <v>1.2106968605808222</v>
      </c>
      <c r="G82">
        <f t="shared" si="15"/>
        <v>2000.3224643594567</v>
      </c>
      <c r="H82">
        <f t="shared" si="16"/>
        <v>2000.3208507899294</v>
      </c>
      <c r="I82">
        <f t="shared" si="20"/>
        <v>2227.1504043872701</v>
      </c>
      <c r="J82">
        <f t="shared" si="21"/>
        <v>-0.10741452302177823</v>
      </c>
      <c r="K82">
        <f t="shared" si="17"/>
        <v>121.09570870875456</v>
      </c>
      <c r="L82">
        <f t="shared" si="22"/>
        <v>1.9828415318992323</v>
      </c>
      <c r="M82">
        <f t="shared" si="18"/>
        <v>-1.0741452302177823E-2</v>
      </c>
      <c r="N82">
        <f t="shared" si="19"/>
        <v>1.9935829842014101</v>
      </c>
      <c r="O82">
        <f t="shared" si="27"/>
        <v>-1.6135695273078454E-4</v>
      </c>
      <c r="P82">
        <f ca="1">'Fixing Money'!P82</f>
        <v>-2.9731252280796629E-2</v>
      </c>
      <c r="Q82">
        <f t="shared" si="23"/>
        <v>0.10757574220499599</v>
      </c>
      <c r="R82">
        <f t="shared" si="24"/>
        <v>1.1135752021936351</v>
      </c>
      <c r="S82" s="7">
        <f t="shared" si="25"/>
        <v>-2.7024644701436618E-3</v>
      </c>
      <c r="T82">
        <v>2.5918349936688657E-2</v>
      </c>
    </row>
    <row r="83" spans="5:20" ht="14.25" x14ac:dyDescent="0.45">
      <c r="E83">
        <v>80</v>
      </c>
      <c r="F83">
        <f t="shared" si="26"/>
        <v>1.1999554082786443</v>
      </c>
      <c r="G83">
        <f t="shared" si="15"/>
        <v>2000.322303002504</v>
      </c>
      <c r="H83">
        <f t="shared" si="16"/>
        <v>2000.6021228527077</v>
      </c>
      <c r="I83">
        <f t="shared" si="20"/>
        <v>2198.3625649386522</v>
      </c>
      <c r="J83">
        <f t="shared" si="21"/>
        <v>-9.4404475502010143E-2</v>
      </c>
      <c r="K83">
        <f t="shared" si="17"/>
        <v>120.0205423474596</v>
      </c>
      <c r="L83">
        <f t="shared" si="22"/>
        <v>1.9785170953956444</v>
      </c>
      <c r="M83">
        <f t="shared" si="18"/>
        <v>-9.4404475502010143E-3</v>
      </c>
      <c r="N83">
        <f t="shared" si="19"/>
        <v>1.9879575429458454</v>
      </c>
      <c r="O83">
        <f t="shared" si="27"/>
        <v>2.7981985020369395E-2</v>
      </c>
      <c r="P83">
        <f ca="1">'Fixing Money'!P83</f>
        <v>-1.9317474280503885E-2</v>
      </c>
      <c r="Q83">
        <f t="shared" si="23"/>
        <v>9.4565614019754371E-2</v>
      </c>
      <c r="R83">
        <f t="shared" si="24"/>
        <v>1.0991812824693261</v>
      </c>
      <c r="S83" s="7">
        <f t="shared" si="25"/>
        <v>-4.3244365035879362E-3</v>
      </c>
      <c r="T83">
        <v>-7.6313410749918242E-3</v>
      </c>
    </row>
    <row r="84" spans="5:20" ht="14.25" x14ac:dyDescent="0.45">
      <c r="E84">
        <v>81</v>
      </c>
      <c r="F84">
        <f t="shared" si="26"/>
        <v>1.1905149607284433</v>
      </c>
      <c r="G84">
        <f t="shared" si="15"/>
        <v>2000.3502849875244</v>
      </c>
      <c r="H84">
        <f t="shared" si="16"/>
        <v>2000.5385272143858</v>
      </c>
      <c r="I84">
        <f t="shared" si="20"/>
        <v>2169.3461653168265</v>
      </c>
      <c r="J84">
        <f t="shared" si="21"/>
        <v>-8.1103508126841639E-2</v>
      </c>
      <c r="K84">
        <f t="shared" si="17"/>
        <v>119.07717479574229</v>
      </c>
      <c r="L84">
        <f t="shared" si="22"/>
        <v>1.981119104899598</v>
      </c>
      <c r="M84">
        <f t="shared" si="18"/>
        <v>-8.1103508126841636E-3</v>
      </c>
      <c r="N84">
        <f t="shared" si="19"/>
        <v>1.989229455712282</v>
      </c>
      <c r="O84">
        <f t="shared" si="27"/>
        <v>1.8824222686134817E-2</v>
      </c>
      <c r="P84">
        <f ca="1">'Fixing Money'!P84</f>
        <v>6.1443312116776151E-2</v>
      </c>
      <c r="Q84">
        <f t="shared" si="23"/>
        <v>8.1278635284947817E-2</v>
      </c>
      <c r="R84">
        <f t="shared" si="24"/>
        <v>1.0846730826584132</v>
      </c>
      <c r="S84" s="7">
        <f t="shared" si="25"/>
        <v>2.6020095039536173E-3</v>
      </c>
      <c r="T84">
        <v>-8.5586980338188227E-3</v>
      </c>
    </row>
    <row r="85" spans="5:20" ht="14.25" x14ac:dyDescent="0.45">
      <c r="E85">
        <v>82</v>
      </c>
      <c r="F85">
        <f t="shared" si="26"/>
        <v>1.1824046099157592</v>
      </c>
      <c r="G85">
        <f t="shared" si="15"/>
        <v>2000.3691092102106</v>
      </c>
      <c r="H85">
        <f t="shared" si="16"/>
        <v>2000.2406421635849</v>
      </c>
      <c r="I85">
        <f t="shared" si="20"/>
        <v>2242.094114462443</v>
      </c>
      <c r="J85">
        <f t="shared" si="21"/>
        <v>-0.11407858353672307</v>
      </c>
      <c r="K85">
        <f t="shared" si="17"/>
        <v>118.26902716531502</v>
      </c>
      <c r="L85">
        <f t="shared" si="22"/>
        <v>1.9837792983746316</v>
      </c>
      <c r="M85">
        <f t="shared" si="18"/>
        <v>-1.1407858353672307E-2</v>
      </c>
      <c r="N85">
        <f t="shared" si="19"/>
        <v>1.9951871567283039</v>
      </c>
      <c r="O85">
        <f t="shared" si="27"/>
        <v>-1.2846704662570119E-2</v>
      </c>
      <c r="P85">
        <f ca="1">'Fixing Money'!P85</f>
        <v>0.11444456830362969</v>
      </c>
      <c r="Q85">
        <f t="shared" si="23"/>
        <v>0.11426312111372239</v>
      </c>
      <c r="R85">
        <f t="shared" si="24"/>
        <v>1.1210470572312214</v>
      </c>
      <c r="S85" s="7">
        <f t="shared" si="25"/>
        <v>2.6601934750336564E-3</v>
      </c>
      <c r="T85">
        <v>3.7048417593021965E-2</v>
      </c>
    </row>
    <row r="86" spans="5:20" ht="14.25" x14ac:dyDescent="0.45">
      <c r="E86">
        <v>83</v>
      </c>
      <c r="F86">
        <f t="shared" si="26"/>
        <v>1.1709967515620869</v>
      </c>
      <c r="G86">
        <f t="shared" si="15"/>
        <v>2000.3562625055481</v>
      </c>
      <c r="H86">
        <f t="shared" si="16"/>
        <v>2000.8094364073238</v>
      </c>
      <c r="I86">
        <f t="shared" si="20"/>
        <v>2137.4107820330701</v>
      </c>
      <c r="J86">
        <f t="shared" si="21"/>
        <v>-6.6269885608700285E-2</v>
      </c>
      <c r="K86">
        <f t="shared" si="17"/>
        <v>117.12441435908242</v>
      </c>
      <c r="L86">
        <f t="shared" si="22"/>
        <v>1.9771842832926554</v>
      </c>
      <c r="M86">
        <f t="shared" si="18"/>
        <v>-6.6269885608700287E-3</v>
      </c>
      <c r="N86">
        <f t="shared" si="19"/>
        <v>1.9838112718535255</v>
      </c>
      <c r="O86">
        <f t="shared" si="27"/>
        <v>4.5317390177569909E-2</v>
      </c>
      <c r="P86">
        <f ca="1">'Fixing Money'!P86</f>
        <v>-2.8136595372678253E-2</v>
      </c>
      <c r="Q86">
        <f t="shared" si="23"/>
        <v>6.6448000997986589E-2</v>
      </c>
      <c r="R86">
        <f t="shared" si="24"/>
        <v>1.0687053910165349</v>
      </c>
      <c r="S86" s="7">
        <f t="shared" si="25"/>
        <v>-6.595015081976241E-3</v>
      </c>
      <c r="T86">
        <v>-4.2101964060049686E-2</v>
      </c>
    </row>
    <row r="87" spans="5:20" ht="14.25" x14ac:dyDescent="0.45">
      <c r="E87">
        <v>84</v>
      </c>
      <c r="F87">
        <f t="shared" si="26"/>
        <v>1.1643697630012169</v>
      </c>
      <c r="G87">
        <f t="shared" si="15"/>
        <v>2000.4015798957257</v>
      </c>
      <c r="H87">
        <f t="shared" si="16"/>
        <v>2000.8618993406876</v>
      </c>
      <c r="I87">
        <f t="shared" si="20"/>
        <v>1922.2720646769917</v>
      </c>
      <c r="J87">
        <f t="shared" si="21"/>
        <v>3.9840096920110035E-2</v>
      </c>
      <c r="K87">
        <f t="shared" si="17"/>
        <v>116.45803624431186</v>
      </c>
      <c r="L87">
        <f t="shared" si="22"/>
        <v>1.9867460228782599</v>
      </c>
      <c r="M87">
        <f t="shared" si="18"/>
        <v>3.9840096920110033E-3</v>
      </c>
      <c r="N87">
        <f t="shared" si="19"/>
        <v>1.9827620131862489</v>
      </c>
      <c r="O87">
        <f t="shared" si="27"/>
        <v>4.6031944496189685E-2</v>
      </c>
      <c r="P87">
        <f ca="1">'Fixing Money'!P87</f>
        <v>3.9831320990896958E-2</v>
      </c>
      <c r="Q87">
        <f t="shared" si="23"/>
        <v>-3.9639327127850552E-2</v>
      </c>
      <c r="R87">
        <f t="shared" si="24"/>
        <v>0.96113603233849587</v>
      </c>
      <c r="S87" s="7">
        <f t="shared" si="25"/>
        <v>9.5617395856044674E-3</v>
      </c>
      <c r="T87">
        <v>-0.1027649280759378</v>
      </c>
    </row>
    <row r="88" spans="5:20" ht="14.25" x14ac:dyDescent="0.45">
      <c r="E88">
        <v>85</v>
      </c>
      <c r="F88">
        <f t="shared" si="26"/>
        <v>1.1683537726932278</v>
      </c>
      <c r="G88">
        <f t="shared" si="15"/>
        <v>2000.447611840222</v>
      </c>
      <c r="H88">
        <f t="shared" si="16"/>
        <v>2000.0990072269897</v>
      </c>
      <c r="I88">
        <f t="shared" si="20"/>
        <v>1811.0183696091131</v>
      </c>
      <c r="J88">
        <f t="shared" si="21"/>
        <v>9.9481639238165442E-2</v>
      </c>
      <c r="K88">
        <f t="shared" si="17"/>
        <v>116.85571423100819</v>
      </c>
      <c r="L88">
        <f t="shared" si="22"/>
        <v>2.0079680193840219</v>
      </c>
      <c r="M88">
        <f t="shared" si="18"/>
        <v>9.9481639238165453E-3</v>
      </c>
      <c r="N88">
        <f t="shared" si="19"/>
        <v>1.9980198554602053</v>
      </c>
      <c r="O88">
        <f t="shared" si="27"/>
        <v>-3.4860461323228266E-2</v>
      </c>
      <c r="P88">
        <f ca="1">'Fixing Money'!P88</f>
        <v>3.9284299345153803E-2</v>
      </c>
      <c r="Q88">
        <f t="shared" si="23"/>
        <v>-9.9257858358862763E-2</v>
      </c>
      <c r="R88">
        <f t="shared" si="24"/>
        <v>0.90550918480455656</v>
      </c>
      <c r="S88" s="7">
        <f t="shared" si="25"/>
        <v>2.1221996505762064E-2</v>
      </c>
      <c r="T88">
        <v>-6.160049758740474E-2</v>
      </c>
    </row>
    <row r="89" spans="5:20" ht="14.25" x14ac:dyDescent="0.45">
      <c r="E89">
        <v>86</v>
      </c>
      <c r="F89">
        <f t="shared" si="26"/>
        <v>1.1783019366170444</v>
      </c>
      <c r="G89">
        <f t="shared" si="15"/>
        <v>2000.4127513788987</v>
      </c>
      <c r="H89">
        <f t="shared" si="16"/>
        <v>1999.6759344585512</v>
      </c>
      <c r="I89">
        <f t="shared" si="20"/>
        <v>1749.2784082717935</v>
      </c>
      <c r="J89">
        <f t="shared" si="21"/>
        <v>0.1341501701865857</v>
      </c>
      <c r="K89">
        <f t="shared" si="17"/>
        <v>117.84660747889293</v>
      </c>
      <c r="L89">
        <f t="shared" si="22"/>
        <v>2.0198963278476332</v>
      </c>
      <c r="M89">
        <f t="shared" si="18"/>
        <v>1.3415017018658571E-2</v>
      </c>
      <c r="N89">
        <f t="shared" si="19"/>
        <v>2.0064813108289745</v>
      </c>
      <c r="O89">
        <f t="shared" si="27"/>
        <v>-7.3681692034756455E-2</v>
      </c>
      <c r="P89">
        <f ca="1">'Fixing Money'!P89</f>
        <v>-4.1133611372418964E-2</v>
      </c>
      <c r="Q89">
        <f t="shared" si="23"/>
        <v>-0.13394381578966938</v>
      </c>
      <c r="R89">
        <f t="shared" si="24"/>
        <v>0.8746392041358968</v>
      </c>
      <c r="S89" s="7">
        <f t="shared" si="25"/>
        <v>1.1928308463611259E-2</v>
      </c>
      <c r="T89">
        <v>-3.9648850348749765E-2</v>
      </c>
    </row>
    <row r="90" spans="5:20" ht="14.25" x14ac:dyDescent="0.45">
      <c r="E90">
        <v>87</v>
      </c>
      <c r="F90">
        <f t="shared" si="26"/>
        <v>1.1917169536357031</v>
      </c>
      <c r="G90">
        <f t="shared" si="15"/>
        <v>2000.3390696868639</v>
      </c>
      <c r="H90">
        <f t="shared" si="16"/>
        <v>1999.6084678268483</v>
      </c>
      <c r="I90">
        <f t="shared" si="20"/>
        <v>1654.208745804154</v>
      </c>
      <c r="J90">
        <f t="shared" si="21"/>
        <v>0.18999390574280373</v>
      </c>
      <c r="K90">
        <f t="shared" si="17"/>
        <v>119.18057817035724</v>
      </c>
      <c r="L90">
        <f t="shared" si="22"/>
        <v>2.0268300340373173</v>
      </c>
      <c r="M90">
        <f t="shared" si="18"/>
        <v>1.8999390574280375E-2</v>
      </c>
      <c r="N90">
        <f t="shared" si="19"/>
        <v>2.0078306434630369</v>
      </c>
      <c r="O90">
        <f t="shared" si="27"/>
        <v>-7.306018600156676E-2</v>
      </c>
      <c r="P90">
        <f ca="1">'Fixing Money'!P90</f>
        <v>2.5505491989453379E-2</v>
      </c>
      <c r="Q90">
        <f t="shared" si="23"/>
        <v>-0.18982438526877976</v>
      </c>
      <c r="R90">
        <f t="shared" si="24"/>
        <v>0.82710437290207695</v>
      </c>
      <c r="S90" s="7">
        <f t="shared" si="25"/>
        <v>6.9337061896841412E-3</v>
      </c>
      <c r="T90">
        <v>-6.2577760268593838E-2</v>
      </c>
    </row>
    <row r="91" spans="5:20" ht="14.25" x14ac:dyDescent="0.45">
      <c r="E91">
        <v>88</v>
      </c>
      <c r="F91">
        <f t="shared" si="26"/>
        <v>1.2107163442099835</v>
      </c>
      <c r="G91">
        <f t="shared" si="15"/>
        <v>2000.2660095008623</v>
      </c>
      <c r="H91">
        <f t="shared" si="16"/>
        <v>1998.9652881111742</v>
      </c>
      <c r="I91">
        <f t="shared" si="20"/>
        <v>1682.4225398345054</v>
      </c>
      <c r="J91">
        <f t="shared" si="21"/>
        <v>0.17304543372044723</v>
      </c>
      <c r="K91">
        <f t="shared" si="17"/>
        <v>121.07726207677402</v>
      </c>
      <c r="L91">
        <f t="shared" si="22"/>
        <v>2.0379987811485609</v>
      </c>
      <c r="M91">
        <f t="shared" si="18"/>
        <v>1.7304543372044724E-2</v>
      </c>
      <c r="N91">
        <f t="shared" si="19"/>
        <v>2.020694237776516</v>
      </c>
      <c r="O91">
        <f t="shared" si="27"/>
        <v>-0.13007213896880784</v>
      </c>
      <c r="P91">
        <f ca="1">'Fixing Money'!P91</f>
        <v>4.2699760480059988E-2</v>
      </c>
      <c r="Q91">
        <f t="shared" si="23"/>
        <v>-0.17291243781436338</v>
      </c>
      <c r="R91">
        <f t="shared" si="24"/>
        <v>0.8412112699172527</v>
      </c>
      <c r="S91" s="7">
        <f t="shared" si="25"/>
        <v>1.1168747111243604E-2</v>
      </c>
      <c r="T91">
        <v>7.4207281909773985E-3</v>
      </c>
    </row>
    <row r="92" spans="5:20" ht="14.25" x14ac:dyDescent="0.45">
      <c r="E92">
        <v>89</v>
      </c>
      <c r="F92">
        <f t="shared" si="26"/>
        <v>1.2280208875820282</v>
      </c>
      <c r="G92">
        <f t="shared" si="15"/>
        <v>2000.1359373618934</v>
      </c>
      <c r="H92">
        <f t="shared" si="16"/>
        <v>1998.733712616729</v>
      </c>
      <c r="I92">
        <f t="shared" si="20"/>
        <v>1822.8145382310809</v>
      </c>
      <c r="J92">
        <f t="shared" si="21"/>
        <v>9.283339078669961E-2</v>
      </c>
      <c r="K92">
        <f t="shared" si="17"/>
        <v>122.80473538704567</v>
      </c>
      <c r="L92">
        <f t="shared" si="22"/>
        <v>2.0346090867440894</v>
      </c>
      <c r="M92">
        <f t="shared" si="18"/>
        <v>9.283339078669961E-3</v>
      </c>
      <c r="N92">
        <f t="shared" si="19"/>
        <v>2.0253257476654194</v>
      </c>
      <c r="O92">
        <f t="shared" si="27"/>
        <v>-0.14022247451644035</v>
      </c>
      <c r="P92">
        <f ca="1">'Fixing Money'!P92</f>
        <v>-3.9137688551789333E-2</v>
      </c>
      <c r="Q92">
        <f t="shared" si="23"/>
        <v>-9.2765424415518938E-2</v>
      </c>
      <c r="R92">
        <f t="shared" si="24"/>
        <v>0.91140726911554049</v>
      </c>
      <c r="S92" s="7">
        <f t="shared" si="25"/>
        <v>-3.389694404471566E-3</v>
      </c>
      <c r="T92">
        <v>7.1501391508126261E-2</v>
      </c>
    </row>
    <row r="93" spans="5:20" ht="14.25" x14ac:dyDescent="0.45">
      <c r="E93">
        <v>90</v>
      </c>
      <c r="F93">
        <f t="shared" si="26"/>
        <v>1.2373042266606982</v>
      </c>
      <c r="G93">
        <f t="shared" si="15"/>
        <v>1999.9957148873771</v>
      </c>
      <c r="H93">
        <f t="shared" si="16"/>
        <v>1999.3959912206105</v>
      </c>
      <c r="I93">
        <f t="shared" si="20"/>
        <v>1874.3838879037989</v>
      </c>
      <c r="J93">
        <f t="shared" si="21"/>
        <v>6.4865025695485912E-2</v>
      </c>
      <c r="K93">
        <f t="shared" si="17"/>
        <v>123.72614467814905</v>
      </c>
      <c r="L93">
        <f t="shared" si="22"/>
        <v>2.0185666781573399</v>
      </c>
      <c r="M93">
        <f t="shared" si="18"/>
        <v>6.4865025695485913E-3</v>
      </c>
      <c r="N93">
        <f t="shared" si="19"/>
        <v>2.0120801755877915</v>
      </c>
      <c r="O93">
        <f t="shared" si="27"/>
        <v>-5.9972366676652206E-2</v>
      </c>
      <c r="P93">
        <f ca="1">'Fixing Money'!P93</f>
        <v>1.8779738122671249E-2</v>
      </c>
      <c r="Q93">
        <f t="shared" si="23"/>
        <v>-6.4867168254092999E-2</v>
      </c>
      <c r="R93">
        <f t="shared" si="24"/>
        <v>0.93719194395189953</v>
      </c>
      <c r="S93" s="7">
        <f t="shared" si="25"/>
        <v>-1.6042408586749435E-2</v>
      </c>
      <c r="T93">
        <v>2.3259984940649986E-2</v>
      </c>
    </row>
    <row r="94" spans="5:20" ht="14.25" x14ac:dyDescent="0.45">
      <c r="E94">
        <v>91</v>
      </c>
      <c r="F94">
        <f t="shared" si="26"/>
        <v>1.2437907292302468</v>
      </c>
      <c r="G94">
        <f t="shared" si="15"/>
        <v>1999.9357425207004</v>
      </c>
      <c r="H94">
        <f t="shared" si="16"/>
        <v>1999.5541077200221</v>
      </c>
      <c r="I94">
        <f t="shared" si="20"/>
        <v>1920.4575326545478</v>
      </c>
      <c r="J94">
        <f t="shared" si="21"/>
        <v>4.0551595395409201E-2</v>
      </c>
      <c r="K94">
        <f t="shared" si="17"/>
        <v>124.37255489525245</v>
      </c>
      <c r="L94">
        <f t="shared" si="22"/>
        <v>2.0129730051390973</v>
      </c>
      <c r="M94">
        <f t="shared" si="18"/>
        <v>4.0551595395409206E-3</v>
      </c>
      <c r="N94">
        <f t="shared" si="19"/>
        <v>2.0089178455995564</v>
      </c>
      <c r="O94">
        <f t="shared" si="27"/>
        <v>-3.8163480067828465E-2</v>
      </c>
      <c r="P94">
        <f ca="1">'Fixing Money'!P94</f>
        <v>9.807364416217608E-3</v>
      </c>
      <c r="Q94">
        <f t="shared" si="23"/>
        <v>-4.0583724651198055E-2</v>
      </c>
      <c r="R94">
        <f t="shared" si="24"/>
        <v>0.96022876632727394</v>
      </c>
      <c r="S94" s="7">
        <f t="shared" si="25"/>
        <v>-5.5936730182426508E-3</v>
      </c>
      <c r="T94">
        <v>2.1040085190190294E-2</v>
      </c>
    </row>
    <row r="95" spans="5:20" ht="14.25" x14ac:dyDescent="0.45">
      <c r="E95">
        <v>92</v>
      </c>
      <c r="F95">
        <f t="shared" si="26"/>
        <v>1.2478458887697876</v>
      </c>
      <c r="G95">
        <f t="shared" si="15"/>
        <v>1999.8975790406325</v>
      </c>
      <c r="H95">
        <f t="shared" si="16"/>
        <v>1999.7900115052828</v>
      </c>
      <c r="I95">
        <f t="shared" si="20"/>
        <v>1923.2000222376194</v>
      </c>
      <c r="J95">
        <f t="shared" si="21"/>
        <v>3.9105491847386986E-2</v>
      </c>
      <c r="K95">
        <f t="shared" si="17"/>
        <v>124.77575871696372</v>
      </c>
      <c r="L95">
        <f t="shared" si="22"/>
        <v>2.0081103190790817</v>
      </c>
      <c r="M95">
        <f t="shared" si="18"/>
        <v>3.9105491847386984E-3</v>
      </c>
      <c r="N95">
        <f t="shared" si="19"/>
        <v>2.0041997698943428</v>
      </c>
      <c r="O95">
        <f t="shared" si="27"/>
        <v>-1.0756753534974451E-2</v>
      </c>
      <c r="P95">
        <f ca="1">'Fixing Money'!P95</f>
        <v>-8.8031312673413686E-2</v>
      </c>
      <c r="Q95">
        <f t="shared" si="23"/>
        <v>-3.9156703638371926E-2</v>
      </c>
      <c r="R95">
        <f t="shared" si="24"/>
        <v>0.96160001111880966</v>
      </c>
      <c r="S95" s="7">
        <f t="shared" si="25"/>
        <v>-4.8626860600156085E-3</v>
      </c>
      <c r="T95">
        <v>-6.0216521973377641E-4</v>
      </c>
    </row>
    <row r="96" spans="5:20" ht="14.25" x14ac:dyDescent="0.45">
      <c r="E96">
        <v>93</v>
      </c>
      <c r="F96">
        <f t="shared" si="26"/>
        <v>1.2517564379545263</v>
      </c>
      <c r="G96">
        <f t="shared" si="15"/>
        <v>1999.8868222870976</v>
      </c>
      <c r="H96">
        <f t="shared" si="16"/>
        <v>1999.6672455988644</v>
      </c>
      <c r="I96">
        <f t="shared" si="20"/>
        <v>1976.7033584732369</v>
      </c>
      <c r="J96">
        <f t="shared" si="21"/>
        <v>1.1660103467659333E-2</v>
      </c>
      <c r="K96">
        <f t="shared" si="17"/>
        <v>125.16783046843557</v>
      </c>
      <c r="L96">
        <f t="shared" si="22"/>
        <v>2.0078210983694773</v>
      </c>
      <c r="M96">
        <f t="shared" si="18"/>
        <v>1.1660103467659333E-3</v>
      </c>
      <c r="N96">
        <f t="shared" si="19"/>
        <v>2.0066550880227112</v>
      </c>
      <c r="O96">
        <f t="shared" si="27"/>
        <v>-2.1957668823324641E-2</v>
      </c>
      <c r="P96">
        <f ca="1">'Fixing Money'!P96</f>
        <v>2.0836033248776375E-2</v>
      </c>
      <c r="Q96">
        <f t="shared" si="23"/>
        <v>-1.1716693925320022E-2</v>
      </c>
      <c r="R96">
        <f t="shared" si="24"/>
        <v>0.98835167923661849</v>
      </c>
      <c r="S96" s="7">
        <f t="shared" si="25"/>
        <v>-2.892207096043542E-4</v>
      </c>
      <c r="T96">
        <v>2.5482174531133307E-2</v>
      </c>
    </row>
    <row r="97" spans="1:20" ht="14.25" x14ac:dyDescent="0.45">
      <c r="E97">
        <v>94</v>
      </c>
      <c r="F97">
        <f t="shared" si="26"/>
        <v>1.2529224483012922</v>
      </c>
      <c r="G97">
        <f t="shared" si="15"/>
        <v>1999.8648646182744</v>
      </c>
      <c r="H97">
        <f t="shared" si="16"/>
        <v>2000.0968749886183</v>
      </c>
      <c r="I97">
        <f t="shared" si="20"/>
        <v>1916.2773158084535</v>
      </c>
      <c r="J97">
        <f t="shared" si="21"/>
        <v>4.2695204658970809E-2</v>
      </c>
      <c r="K97">
        <f t="shared" si="17"/>
        <v>125.28110443344542</v>
      </c>
      <c r="L97">
        <f t="shared" si="22"/>
        <v>2.0023320206935318</v>
      </c>
      <c r="M97">
        <f t="shared" si="18"/>
        <v>4.2695204658970811E-3</v>
      </c>
      <c r="N97">
        <f t="shared" si="19"/>
        <v>1.9980625002276347</v>
      </c>
      <c r="O97">
        <f t="shared" si="27"/>
        <v>2.3201037034391449E-2</v>
      </c>
      <c r="P97">
        <f ca="1">'Fixing Money'!P97</f>
        <v>-5.1120591824146744E-2</v>
      </c>
      <c r="Q97">
        <f t="shared" si="23"/>
        <v>-4.2762774632632783E-2</v>
      </c>
      <c r="R97">
        <f t="shared" si="24"/>
        <v>0.95813865790422681</v>
      </c>
      <c r="S97" s="7">
        <f t="shared" si="25"/>
        <v>-5.4890776759455306E-3</v>
      </c>
      <c r="T97">
        <v>-3.1631915403578764E-2</v>
      </c>
    </row>
    <row r="98" spans="1:20" ht="14.25" x14ac:dyDescent="0.45">
      <c r="E98">
        <v>95</v>
      </c>
      <c r="F98">
        <f t="shared" si="26"/>
        <v>1.2571919687671893</v>
      </c>
      <c r="G98">
        <f t="shared" si="15"/>
        <v>1999.8880656553088</v>
      </c>
      <c r="H98">
        <f t="shared" si="16"/>
        <v>1999.7021549128406</v>
      </c>
      <c r="I98">
        <f t="shared" si="20"/>
        <v>1948.9091775660959</v>
      </c>
      <c r="J98">
        <f t="shared" si="21"/>
        <v>2.5821391886057476E-2</v>
      </c>
      <c r="K98">
        <f t="shared" si="17"/>
        <v>125.71053760643511</v>
      </c>
      <c r="L98">
        <f t="shared" si="22"/>
        <v>2.0085390409317943</v>
      </c>
      <c r="M98">
        <f t="shared" si="18"/>
        <v>2.582139188605748E-3</v>
      </c>
      <c r="N98">
        <f t="shared" si="19"/>
        <v>2.0059569017431884</v>
      </c>
      <c r="O98">
        <f t="shared" si="27"/>
        <v>-1.8591074246819519E-2</v>
      </c>
      <c r="P98">
        <f ca="1">'Fixing Money'!P98</f>
        <v>5.8201384854229966E-2</v>
      </c>
      <c r="Q98">
        <f t="shared" si="23"/>
        <v>-2.5877360624624188E-2</v>
      </c>
      <c r="R98">
        <f t="shared" si="24"/>
        <v>0.97445458878304791</v>
      </c>
      <c r="S98" s="7">
        <f t="shared" si="25"/>
        <v>6.2070202382624728E-3</v>
      </c>
      <c r="T98">
        <v>1.4747275276376951E-2</v>
      </c>
    </row>
    <row r="99" spans="1:20" ht="14.25" x14ac:dyDescent="0.45">
      <c r="E99">
        <v>96</v>
      </c>
      <c r="F99">
        <f t="shared" si="26"/>
        <v>1.2597741079557951</v>
      </c>
      <c r="G99">
        <f t="shared" si="15"/>
        <v>1999.8694745810619</v>
      </c>
      <c r="H99">
        <f t="shared" si="16"/>
        <v>1999.3872876194616</v>
      </c>
      <c r="I99">
        <f t="shared" si="20"/>
        <v>2146.8069701037598</v>
      </c>
      <c r="J99">
        <f t="shared" si="21"/>
        <v>-7.0899692335577136E-2</v>
      </c>
      <c r="K99">
        <f t="shared" si="17"/>
        <v>125.97365504825244</v>
      </c>
      <c r="L99">
        <f t="shared" si="22"/>
        <v>2.0051642783772117</v>
      </c>
      <c r="M99">
        <f t="shared" si="18"/>
        <v>-7.0899692335577138E-3</v>
      </c>
      <c r="N99">
        <f t="shared" si="19"/>
        <v>2.0122542476107692</v>
      </c>
      <c r="O99">
        <f t="shared" si="27"/>
        <v>-4.8218696160029141E-2</v>
      </c>
      <c r="P99">
        <f ca="1">'Fixing Money'!P99</f>
        <v>-4.0304239097927796E-2</v>
      </c>
      <c r="Q99">
        <f t="shared" si="23"/>
        <v>7.0834427496404964E-2</v>
      </c>
      <c r="R99">
        <f t="shared" si="24"/>
        <v>1.0734034850518799</v>
      </c>
      <c r="S99" s="7">
        <f t="shared" si="25"/>
        <v>-3.3747625545825777E-3</v>
      </c>
      <c r="T99">
        <v>9.5417920089797936E-2</v>
      </c>
    </row>
    <row r="100" spans="1:20" ht="14.25" x14ac:dyDescent="0.45">
      <c r="E100">
        <v>97</v>
      </c>
      <c r="F100">
        <f t="shared" si="26"/>
        <v>1.2526841387222374</v>
      </c>
      <c r="G100">
        <f t="shared" si="15"/>
        <v>1999.8212558849018</v>
      </c>
      <c r="H100">
        <f t="shared" si="16"/>
        <v>2000.1424574069001</v>
      </c>
      <c r="I100">
        <f t="shared" si="20"/>
        <v>2239.7532595195935</v>
      </c>
      <c r="J100">
        <f t="shared" si="21"/>
        <v>-0.11330790329111373</v>
      </c>
      <c r="K100">
        <f t="shared" si="17"/>
        <v>125.2643153269923</v>
      </c>
      <c r="L100">
        <f t="shared" si="22"/>
        <v>1.9858200615328845</v>
      </c>
      <c r="M100">
        <f t="shared" si="18"/>
        <v>-1.1330790329111374E-2</v>
      </c>
      <c r="N100">
        <f t="shared" si="19"/>
        <v>1.9971508518619958</v>
      </c>
      <c r="O100">
        <f t="shared" si="27"/>
        <v>3.2120152199831865E-2</v>
      </c>
      <c r="P100">
        <f ca="1">'Fixing Money'!P100</f>
        <v>6.0867041445928187E-2</v>
      </c>
      <c r="Q100">
        <f t="shared" si="23"/>
        <v>0.11321852723964476</v>
      </c>
      <c r="R100">
        <f t="shared" si="24"/>
        <v>1.1198766297597968</v>
      </c>
      <c r="S100" s="7">
        <f t="shared" si="25"/>
        <v>-1.9344216844327189E-2</v>
      </c>
      <c r="T100">
        <v>4.5925821118060053E-2</v>
      </c>
    </row>
    <row r="102" spans="1:20" x14ac:dyDescent="0.4">
      <c r="C102" t="s">
        <v>42</v>
      </c>
      <c r="F102">
        <f>STDEV((F4:F100))</f>
        <v>0.12389298696806499</v>
      </c>
      <c r="G102">
        <f t="shared" ref="G102:R102" si="28">STDEV((G4:G100))</f>
        <v>0.33212611094358047</v>
      </c>
      <c r="H102">
        <f t="shared" si="28"/>
        <v>0.63936346706797931</v>
      </c>
      <c r="I102">
        <f t="shared" si="28"/>
        <v>212.30568381765178</v>
      </c>
      <c r="J102">
        <f t="shared" si="28"/>
        <v>0.10941004651611466</v>
      </c>
      <c r="K102">
        <f t="shared" si="28"/>
        <v>12.382354683355198</v>
      </c>
      <c r="L102">
        <f t="shared" si="28"/>
        <v>2.1704108191179516E-2</v>
      </c>
      <c r="M102">
        <f t="shared" si="28"/>
        <v>1.094100465161147E-2</v>
      </c>
      <c r="N102">
        <f t="shared" si="28"/>
        <v>1.2787269341359535E-2</v>
      </c>
      <c r="O102">
        <f t="shared" si="28"/>
        <v>5.7730879559340822E-2</v>
      </c>
      <c r="P102">
        <f t="shared" ca="1" si="28"/>
        <v>5.4677511329228816E-2</v>
      </c>
      <c r="Q102">
        <f t="shared" si="28"/>
        <v>0.10946187335708761</v>
      </c>
      <c r="R102">
        <f t="shared" si="28"/>
        <v>0.10615284190882236</v>
      </c>
      <c r="S102" s="6">
        <f t="shared" ref="S102" si="29">STDEV(S4:S100)</f>
        <v>9.7291092672755208E-3</v>
      </c>
      <c r="T102">
        <v>4.7996162991352724E-2</v>
      </c>
    </row>
    <row r="103" spans="1:20" ht="14.25" x14ac:dyDescent="0.45">
      <c r="B103" s="4" t="s">
        <v>80</v>
      </c>
      <c r="C103" s="7">
        <v>0.25</v>
      </c>
      <c r="F103" t="s">
        <v>4</v>
      </c>
      <c r="G103" t="s">
        <v>5</v>
      </c>
      <c r="H103" t="s">
        <v>7</v>
      </c>
      <c r="I103" t="s">
        <v>59</v>
      </c>
      <c r="J103" t="s">
        <v>60</v>
      </c>
      <c r="K103" t="s">
        <v>38</v>
      </c>
      <c r="L103" t="s">
        <v>8</v>
      </c>
      <c r="M103" t="s">
        <v>47</v>
      </c>
      <c r="N103" t="s">
        <v>53</v>
      </c>
      <c r="O103" t="s">
        <v>48</v>
      </c>
      <c r="P103" t="s">
        <v>35</v>
      </c>
      <c r="Q103" t="s">
        <v>36</v>
      </c>
      <c r="R103" t="s">
        <v>37</v>
      </c>
      <c r="S103" t="s">
        <v>81</v>
      </c>
      <c r="T103" t="s">
        <v>35</v>
      </c>
    </row>
    <row r="104" spans="1:20" ht="14.25" x14ac:dyDescent="0.45">
      <c r="B104" s="4" t="s">
        <v>79</v>
      </c>
      <c r="C104" s="7">
        <v>0.25</v>
      </c>
    </row>
    <row r="105" spans="1:20" x14ac:dyDescent="0.4">
      <c r="A105" s="4"/>
      <c r="B105" s="4" t="s">
        <v>65</v>
      </c>
      <c r="C105" s="4">
        <v>1</v>
      </c>
      <c r="D105" s="4"/>
      <c r="E105" s="6"/>
    </row>
    <row r="106" spans="1:20" x14ac:dyDescent="0.4">
      <c r="A106" s="4"/>
      <c r="B106" s="4" t="s">
        <v>66</v>
      </c>
      <c r="C106" s="4">
        <v>0.5</v>
      </c>
      <c r="D106" s="4"/>
      <c r="E106" s="6"/>
    </row>
    <row r="107" spans="1:20" x14ac:dyDescent="0.4">
      <c r="A107" s="4"/>
      <c r="B107" s="4"/>
      <c r="C107" s="4" t="s">
        <v>64</v>
      </c>
      <c r="D107" s="4"/>
      <c r="E107" s="6">
        <f>C105*M102^2+C106*J102^2+C103*N102^2 + C104*S102^2</f>
        <v>6.1695271782015353E-3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19</vt:i4>
      </vt:variant>
    </vt:vector>
  </HeadingPairs>
  <TitlesOfParts>
    <vt:vector size="23" baseType="lpstr">
      <vt:lpstr>Fixing Money</vt:lpstr>
      <vt:lpstr>Sheet2</vt:lpstr>
      <vt:lpstr>Base Prod-Interest Rate I</vt:lpstr>
      <vt:lpstr>Base Prod with Taylor</vt:lpstr>
      <vt:lpstr>Beta</vt:lpstr>
      <vt:lpstr>Beta0_0</vt:lpstr>
      <vt:lpstr>Beta0_1</vt:lpstr>
      <vt:lpstr>Beta1</vt:lpstr>
      <vt:lpstr>Delta</vt:lpstr>
      <vt:lpstr>m_0</vt:lpstr>
      <vt:lpstr>m_1</vt:lpstr>
      <vt:lpstr>Mi</vt:lpstr>
      <vt:lpstr>Ni</vt:lpstr>
      <vt:lpstr>pbar_0</vt:lpstr>
      <vt:lpstr>pbar_1</vt:lpstr>
      <vt:lpstr>Psi</vt:lpstr>
      <vt:lpstr>Theta</vt:lpstr>
      <vt:lpstr>ybar0</vt:lpstr>
      <vt:lpstr>ybar1</vt:lpstr>
      <vt:lpstr>ypot_0</vt:lpstr>
      <vt:lpstr>ypot_1</vt:lpstr>
      <vt:lpstr>ypot0</vt:lpstr>
      <vt:lpstr>ypot1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2025-09-29T20:14:19Z</dcterms:modified>
</cp:coreProperties>
</file>