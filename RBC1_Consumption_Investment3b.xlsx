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01BE1CEB-5F7B-488F-90D4-33225C0AF2F3}" xr6:coauthVersionLast="47" xr6:coauthVersionMax="47" xr10:uidLastSave="{00000000-0000-0000-0000-000000000000}"/>
  <bookViews>
    <workbookView xWindow="-120" yWindow="-120" windowWidth="29040" windowHeight="15840" xr2:uid="{909F8FA6-EB0A-40CF-858C-A89B7A4F2411}"/>
  </bookViews>
  <sheets>
    <sheet name="Sheet1" sheetId="1" r:id="rId1"/>
  </sheets>
  <externalReferences>
    <externalReference r:id="rId2"/>
  </externalReferences>
  <definedNames>
    <definedName name="Ac">Sheet1!$B$34</definedName>
    <definedName name="alpha">Sheet1!$B$12</definedName>
    <definedName name="Beta">Sheet1!$B$18</definedName>
    <definedName name="Cbar">Sheet1!$B$39</definedName>
    <definedName name="Delta">Sheet1!$B$13</definedName>
    <definedName name="gamma">Sheet1!$B$49</definedName>
    <definedName name="Interest">Sheet1!$B$17</definedName>
    <definedName name="kbar">Sheet1!$B$21</definedName>
    <definedName name="lambdabar">Sheet1!$B$46</definedName>
    <definedName name="lbar">Sheet1!$B$22</definedName>
    <definedName name="mpk">Sheet1!$B$47</definedName>
    <definedName name="mpl">Sheet1!$B$48</definedName>
    <definedName name="Phi">Sheet1!$B$14</definedName>
    <definedName name="phiL">Sheet1!$B$38</definedName>
    <definedName name="phiLL">Sheet1!$B$37</definedName>
    <definedName name="qbar">Sheet1!$B$20</definedName>
    <definedName name="R_1">#REF!</definedName>
    <definedName name="rho">'[1]Cobb-Dougles'!$B$29</definedName>
    <definedName name="rhoc">Sheet1!$B$31</definedName>
    <definedName name="sigma">'[1]Cobb-Dougles'!$B$30</definedName>
    <definedName name="sigma_c">Sheet1!$B$36</definedName>
    <definedName name="solver_adj" localSheetId="0" hidden="1">Sheet1!$H$3:$H$50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Sheet1!$H$50</definedName>
    <definedName name="solver_lhs2" localSheetId="0" hidden="1">Sheet1!$N$2:$N$50</definedName>
    <definedName name="solver_lhs3" localSheetId="0" hidden="1">Sheet1!$N$3:$N$50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Sheet1!$S$51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hs1" localSheetId="0" hidden="1">1</definedName>
    <definedName name="solver_rhs2" localSheetId="0" hidden="1">0.6</definedName>
    <definedName name="solver_rhs3" localSheetId="0" hidden="1">0.01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tauc">Sheet1!$B$42</definedName>
    <definedName name="tauk">Sheet1!$B$44</definedName>
    <definedName name="tauw">Sheet1!$B$43</definedName>
    <definedName name="ybar">'[1]Cobb-Dougles'!$B$23</definedName>
    <definedName name="yhat">Sheet1!$B$33</definedName>
    <definedName name="yhat1">Sheet1!$B$35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1" l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M2" i="1" l="1"/>
  <c r="B35" i="1"/>
  <c r="B33" i="1"/>
  <c r="B34" i="1" s="1"/>
  <c r="B37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B23" i="1"/>
  <c r="T22" i="1"/>
  <c r="T21" i="1"/>
  <c r="T20" i="1"/>
  <c r="D20" i="1"/>
  <c r="T19" i="1"/>
  <c r="D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J3" i="1"/>
  <c r="V2" i="1"/>
  <c r="J2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O2" i="1" l="1"/>
  <c r="G7" i="1"/>
  <c r="G30" i="1"/>
  <c r="G9" i="1"/>
  <c r="G32" i="1"/>
  <c r="G17" i="1"/>
  <c r="G33" i="1"/>
  <c r="G18" i="1"/>
  <c r="G34" i="1"/>
  <c r="G19" i="1"/>
  <c r="G37" i="1"/>
  <c r="G38" i="1"/>
  <c r="G3" i="1"/>
  <c r="G4" i="1"/>
  <c r="G5" i="1"/>
  <c r="G8" i="1"/>
  <c r="G11" i="1"/>
  <c r="G12" i="1"/>
  <c r="G13" i="1"/>
  <c r="G14" i="1"/>
  <c r="G15" i="1"/>
  <c r="G16" i="1"/>
  <c r="G24" i="1"/>
  <c r="G26" i="1"/>
  <c r="G29" i="1"/>
  <c r="G20" i="1"/>
  <c r="G21" i="1"/>
  <c r="G22" i="1"/>
  <c r="G23" i="1"/>
  <c r="G25" i="1"/>
  <c r="G6" i="1"/>
  <c r="G10" i="1"/>
  <c r="G27" i="1"/>
  <c r="G28" i="1"/>
  <c r="G43" i="1"/>
  <c r="G40" i="1"/>
  <c r="G39" i="1"/>
  <c r="G31" i="1"/>
  <c r="G42" i="1"/>
  <c r="G41" i="1"/>
  <c r="G36" i="1"/>
  <c r="G45" i="1"/>
  <c r="G35" i="1"/>
  <c r="G50" i="1"/>
  <c r="G49" i="1"/>
  <c r="G48" i="1"/>
  <c r="G47" i="1"/>
  <c r="G46" i="1"/>
  <c r="G44" i="1"/>
  <c r="I3" i="1"/>
  <c r="Q3" i="1" s="1"/>
  <c r="Q2" i="1"/>
  <c r="B17" i="1"/>
  <c r="B18" i="1" s="1"/>
  <c r="B47" i="1" a="1"/>
  <c r="B47" i="1" s="1"/>
  <c r="B54" i="1" s="1" a="1"/>
  <c r="B54" i="1" s="1"/>
  <c r="B48" i="1"/>
  <c r="G2" i="1"/>
  <c r="P2" i="1" s="1"/>
  <c r="L3" i="1"/>
  <c r="J4" i="1"/>
  <c r="I4" i="1"/>
  <c r="L2" i="1"/>
  <c r="Q4" i="1" l="1"/>
  <c r="K2" i="1"/>
  <c r="W2" i="1" s="1"/>
  <c r="B39" i="1"/>
  <c r="B24" i="1"/>
  <c r="B53" i="1" a="1"/>
  <c r="B53" i="1" s="1"/>
  <c r="I5" i="1"/>
  <c r="J5" i="1"/>
  <c r="L4" i="1"/>
  <c r="Q5" i="1" l="1"/>
  <c r="B46" i="1"/>
  <c r="B49" i="1" s="1"/>
  <c r="X2" i="1"/>
  <c r="J6" i="1"/>
  <c r="I6" i="1"/>
  <c r="L5" i="1"/>
  <c r="N3" i="1" l="1"/>
  <c r="Q6" i="1"/>
  <c r="M3" i="1"/>
  <c r="O3" i="1"/>
  <c r="B51" i="1"/>
  <c r="J7" i="1"/>
  <c r="I7" i="1"/>
  <c r="L6" i="1"/>
  <c r="Q7" i="1" l="1"/>
  <c r="P3" i="1"/>
  <c r="K3" i="1"/>
  <c r="R3" i="1" s="1"/>
  <c r="S3" i="1" s="1"/>
  <c r="J8" i="1"/>
  <c r="I8" i="1"/>
  <c r="L7" i="1"/>
  <c r="Q8" i="1" l="1"/>
  <c r="W3" i="1"/>
  <c r="X3" i="1" s="1"/>
  <c r="N4" i="1" s="1"/>
  <c r="I9" i="1"/>
  <c r="J9" i="1"/>
  <c r="L8" i="1"/>
  <c r="Q9" i="1" l="1"/>
  <c r="M4" i="1"/>
  <c r="O4" i="1"/>
  <c r="L9" i="1"/>
  <c r="J10" i="1"/>
  <c r="I10" i="1"/>
  <c r="Q10" i="1" l="1"/>
  <c r="P4" i="1"/>
  <c r="K4" i="1"/>
  <c r="R4" i="1" s="1"/>
  <c r="S4" i="1" s="1"/>
  <c r="J11" i="1"/>
  <c r="I11" i="1"/>
  <c r="L10" i="1"/>
  <c r="Q11" i="1" l="1"/>
  <c r="W4" i="1"/>
  <c r="X4" i="1" s="1"/>
  <c r="N5" i="1" s="1"/>
  <c r="M5" i="1" s="1"/>
  <c r="L11" i="1"/>
  <c r="J12" i="1"/>
  <c r="I12" i="1"/>
  <c r="Q12" i="1" l="1"/>
  <c r="O5" i="1"/>
  <c r="K5" i="1"/>
  <c r="R5" i="1" s="1"/>
  <c r="S5" i="1" s="1"/>
  <c r="P5" i="1"/>
  <c r="I13" i="1"/>
  <c r="J13" i="1"/>
  <c r="L12" i="1"/>
  <c r="W5" i="1" l="1"/>
  <c r="X5" i="1" s="1"/>
  <c r="N6" i="1" s="1"/>
  <c r="M6" i="1" s="1"/>
  <c r="K6" i="1" s="1"/>
  <c r="R6" i="1" s="1"/>
  <c r="S6" i="1" s="1"/>
  <c r="Q13" i="1"/>
  <c r="L13" i="1"/>
  <c r="J14" i="1"/>
  <c r="I14" i="1"/>
  <c r="O6" i="1" l="1"/>
  <c r="Q14" i="1"/>
  <c r="P6" i="1"/>
  <c r="J15" i="1"/>
  <c r="I15" i="1"/>
  <c r="L14" i="1"/>
  <c r="W6" i="1" l="1"/>
  <c r="X6" i="1" s="1"/>
  <c r="N7" i="1" s="1"/>
  <c r="M7" i="1" s="1"/>
  <c r="K7" i="1" s="1"/>
  <c r="R7" i="1" s="1"/>
  <c r="S7" i="1" s="1"/>
  <c r="Q15" i="1"/>
  <c r="J16" i="1"/>
  <c r="I16" i="1"/>
  <c r="L15" i="1"/>
  <c r="O7" i="1" l="1"/>
  <c r="Q16" i="1"/>
  <c r="P7" i="1"/>
  <c r="I17" i="1"/>
  <c r="J17" i="1"/>
  <c r="L16" i="1"/>
  <c r="W7" i="1" l="1"/>
  <c r="X7" i="1" s="1"/>
  <c r="N8" i="1" s="1"/>
  <c r="M8" i="1" s="1"/>
  <c r="K8" i="1" s="1"/>
  <c r="R8" i="1" s="1"/>
  <c r="S8" i="1" s="1"/>
  <c r="Q17" i="1"/>
  <c r="L17" i="1"/>
  <c r="J18" i="1"/>
  <c r="I18" i="1"/>
  <c r="O8" i="1" l="1"/>
  <c r="P8" i="1"/>
  <c r="Q18" i="1"/>
  <c r="L18" i="1"/>
  <c r="J19" i="1"/>
  <c r="I19" i="1"/>
  <c r="W8" i="1" l="1"/>
  <c r="X8" i="1" s="1"/>
  <c r="N9" i="1" s="1"/>
  <c r="M9" i="1" s="1"/>
  <c r="K9" i="1" s="1"/>
  <c r="Q19" i="1"/>
  <c r="I20" i="1"/>
  <c r="J20" i="1"/>
  <c r="L19" i="1"/>
  <c r="O9" i="1" l="1"/>
  <c r="Q20" i="1"/>
  <c r="R9" i="1"/>
  <c r="S9" i="1" s="1"/>
  <c r="P9" i="1"/>
  <c r="L20" i="1"/>
  <c r="I21" i="1"/>
  <c r="J21" i="1"/>
  <c r="Q21" i="1" l="1"/>
  <c r="W9" i="1"/>
  <c r="X9" i="1" s="1"/>
  <c r="N10" i="1" s="1"/>
  <c r="L21" i="1"/>
  <c r="J22" i="1"/>
  <c r="I22" i="1"/>
  <c r="Q22" i="1" l="1"/>
  <c r="M10" i="1"/>
  <c r="K10" i="1" s="1"/>
  <c r="O10" i="1"/>
  <c r="I23" i="1"/>
  <c r="J23" i="1"/>
  <c r="L22" i="1"/>
  <c r="Q23" i="1" l="1"/>
  <c r="R10" i="1"/>
  <c r="S10" i="1" s="1"/>
  <c r="P10" i="1"/>
  <c r="L23" i="1"/>
  <c r="J24" i="1"/>
  <c r="I24" i="1"/>
  <c r="Q24" i="1" l="1"/>
  <c r="W10" i="1"/>
  <c r="X10" i="1" s="1"/>
  <c r="N11" i="1" s="1"/>
  <c r="L24" i="1"/>
  <c r="J25" i="1"/>
  <c r="I25" i="1"/>
  <c r="Q25" i="1" l="1"/>
  <c r="M11" i="1"/>
  <c r="K11" i="1" s="1"/>
  <c r="R11" i="1" s="1"/>
  <c r="S11" i="1" s="1"/>
  <c r="O11" i="1"/>
  <c r="J26" i="1"/>
  <c r="I26" i="1"/>
  <c r="L25" i="1"/>
  <c r="Q26" i="1" l="1"/>
  <c r="P11" i="1"/>
  <c r="W11" i="1" s="1"/>
  <c r="X11" i="1" s="1"/>
  <c r="J27" i="1"/>
  <c r="I27" i="1"/>
  <c r="L26" i="1"/>
  <c r="Q27" i="1" l="1"/>
  <c r="N12" i="1"/>
  <c r="I28" i="1"/>
  <c r="J28" i="1"/>
  <c r="L27" i="1"/>
  <c r="Q28" i="1" l="1"/>
  <c r="M12" i="1"/>
  <c r="K12" i="1" s="1"/>
  <c r="R12" i="1" s="1"/>
  <c r="S12" i="1" s="1"/>
  <c r="O12" i="1"/>
  <c r="L28" i="1"/>
  <c r="I29" i="1"/>
  <c r="J29" i="1"/>
  <c r="Q29" i="1" l="1"/>
  <c r="P12" i="1"/>
  <c r="W12" i="1" s="1"/>
  <c r="X12" i="1" s="1"/>
  <c r="L29" i="1"/>
  <c r="J30" i="1"/>
  <c r="I30" i="1"/>
  <c r="Q30" i="1" l="1"/>
  <c r="N13" i="1"/>
  <c r="L30" i="1"/>
  <c r="J31" i="1"/>
  <c r="I31" i="1"/>
  <c r="Q31" i="1" l="1"/>
  <c r="M13" i="1"/>
  <c r="K13" i="1" s="1"/>
  <c r="R13" i="1" s="1"/>
  <c r="S13" i="1" s="1"/>
  <c r="O13" i="1"/>
  <c r="J32" i="1"/>
  <c r="I32" i="1"/>
  <c r="L31" i="1"/>
  <c r="Q32" i="1" l="1"/>
  <c r="P13" i="1"/>
  <c r="W13" i="1" s="1"/>
  <c r="X13" i="1" s="1"/>
  <c r="J33" i="1"/>
  <c r="I33" i="1"/>
  <c r="L32" i="1"/>
  <c r="Q33" i="1" l="1"/>
  <c r="N14" i="1"/>
  <c r="I34" i="1"/>
  <c r="J34" i="1"/>
  <c r="L33" i="1"/>
  <c r="Q34" i="1" l="1"/>
  <c r="M14" i="1"/>
  <c r="K14" i="1" s="1"/>
  <c r="R14" i="1" s="1"/>
  <c r="S14" i="1" s="1"/>
  <c r="O14" i="1"/>
  <c r="L34" i="1"/>
  <c r="I35" i="1"/>
  <c r="J35" i="1"/>
  <c r="Q35" i="1" l="1"/>
  <c r="P14" i="1"/>
  <c r="W14" i="1" s="1"/>
  <c r="X14" i="1" s="1"/>
  <c r="L35" i="1"/>
  <c r="J36" i="1"/>
  <c r="I36" i="1"/>
  <c r="Q36" i="1" l="1"/>
  <c r="N15" i="1"/>
  <c r="J37" i="1"/>
  <c r="I37" i="1"/>
  <c r="L36" i="1"/>
  <c r="Q37" i="1" l="1"/>
  <c r="M15" i="1"/>
  <c r="K15" i="1" s="1"/>
  <c r="R15" i="1" s="1"/>
  <c r="S15" i="1" s="1"/>
  <c r="O15" i="1"/>
  <c r="I38" i="1"/>
  <c r="J38" i="1"/>
  <c r="L37" i="1"/>
  <c r="Q38" i="1" l="1"/>
  <c r="P15" i="1"/>
  <c r="L38" i="1"/>
  <c r="I39" i="1"/>
  <c r="J39" i="1"/>
  <c r="Q39" i="1" l="1"/>
  <c r="W15" i="1"/>
  <c r="X15" i="1" s="1"/>
  <c r="N16" i="1" s="1"/>
  <c r="L39" i="1"/>
  <c r="J40" i="1"/>
  <c r="I40" i="1"/>
  <c r="Q40" i="1" l="1"/>
  <c r="M16" i="1"/>
  <c r="K16" i="1" s="1"/>
  <c r="R16" i="1" s="1"/>
  <c r="S16" i="1" s="1"/>
  <c r="O16" i="1"/>
  <c r="L40" i="1"/>
  <c r="J41" i="1"/>
  <c r="I41" i="1"/>
  <c r="Q41" i="1" l="1"/>
  <c r="P16" i="1"/>
  <c r="W16" i="1" s="1"/>
  <c r="X16" i="1" s="1"/>
  <c r="L41" i="1"/>
  <c r="I42" i="1"/>
  <c r="J42" i="1"/>
  <c r="Q42" i="1" l="1"/>
  <c r="N17" i="1"/>
  <c r="J43" i="1"/>
  <c r="I43" i="1"/>
  <c r="L42" i="1"/>
  <c r="Q43" i="1" l="1"/>
  <c r="M17" i="1"/>
  <c r="K17" i="1" s="1"/>
  <c r="R17" i="1" s="1"/>
  <c r="S17" i="1" s="1"/>
  <c r="O17" i="1"/>
  <c r="J44" i="1"/>
  <c r="I44" i="1"/>
  <c r="L43" i="1"/>
  <c r="Q44" i="1" l="1"/>
  <c r="P17" i="1"/>
  <c r="W17" i="1" s="1"/>
  <c r="X17" i="1" s="1"/>
  <c r="J45" i="1"/>
  <c r="I45" i="1"/>
  <c r="L44" i="1"/>
  <c r="Q45" i="1" l="1"/>
  <c r="N18" i="1"/>
  <c r="I46" i="1"/>
  <c r="J46" i="1"/>
  <c r="L45" i="1"/>
  <c r="Q46" i="1" l="1"/>
  <c r="M18" i="1"/>
  <c r="K18" i="1" s="1"/>
  <c r="O18" i="1"/>
  <c r="L46" i="1"/>
  <c r="J47" i="1"/>
  <c r="I47" i="1"/>
  <c r="Q47" i="1" l="1"/>
  <c r="R18" i="1"/>
  <c r="S18" i="1" s="1"/>
  <c r="P18" i="1"/>
  <c r="J48" i="1"/>
  <c r="I48" i="1"/>
  <c r="L47" i="1"/>
  <c r="Q48" i="1" l="1"/>
  <c r="W18" i="1"/>
  <c r="X18" i="1" s="1"/>
  <c r="N19" i="1" s="1"/>
  <c r="J49" i="1"/>
  <c r="I49" i="1"/>
  <c r="L48" i="1"/>
  <c r="Q49" i="1" l="1"/>
  <c r="M19" i="1"/>
  <c r="K19" i="1" s="1"/>
  <c r="R19" i="1" s="1"/>
  <c r="S19" i="1" s="1"/>
  <c r="O19" i="1"/>
  <c r="I50" i="1"/>
  <c r="J50" i="1"/>
  <c r="L49" i="1"/>
  <c r="Q50" i="1" l="1"/>
  <c r="P19" i="1"/>
  <c r="W19" i="1" s="1"/>
  <c r="X19" i="1" s="1"/>
  <c r="L50" i="1"/>
  <c r="N20" i="1" l="1"/>
  <c r="M20" i="1" l="1"/>
  <c r="K20" i="1" s="1"/>
  <c r="O20" i="1"/>
  <c r="P20" i="1" l="1"/>
  <c r="R20" i="1"/>
  <c r="S20" i="1" s="1"/>
  <c r="W20" i="1" l="1"/>
  <c r="X20" i="1" s="1"/>
  <c r="N21" i="1" s="1"/>
  <c r="M21" i="1" l="1"/>
  <c r="K21" i="1" s="1"/>
  <c r="R21" i="1" s="1"/>
  <c r="S21" i="1" s="1"/>
  <c r="O21" i="1"/>
  <c r="P21" i="1" l="1"/>
  <c r="W21" i="1" s="1"/>
  <c r="X21" i="1" s="1"/>
  <c r="N22" i="1" l="1"/>
  <c r="M22" i="1" l="1"/>
  <c r="K22" i="1" s="1"/>
  <c r="R22" i="1" s="1"/>
  <c r="S22" i="1" s="1"/>
  <c r="O22" i="1"/>
  <c r="P22" i="1" l="1"/>
  <c r="W22" i="1" l="1"/>
  <c r="X22" i="1" s="1"/>
  <c r="N23" i="1" s="1"/>
  <c r="M23" i="1" l="1"/>
  <c r="K23" i="1" s="1"/>
  <c r="R23" i="1" s="1"/>
  <c r="S23" i="1" s="1"/>
  <c r="O23" i="1"/>
  <c r="P23" i="1" l="1"/>
  <c r="W23" i="1" s="1"/>
  <c r="X23" i="1" s="1"/>
  <c r="N24" i="1" l="1"/>
  <c r="M24" i="1" l="1"/>
  <c r="K24" i="1" s="1"/>
  <c r="R24" i="1" s="1"/>
  <c r="S24" i="1" s="1"/>
  <c r="O24" i="1"/>
  <c r="P24" i="1" l="1"/>
  <c r="W24" i="1" s="1"/>
  <c r="X24" i="1" s="1"/>
  <c r="N25" i="1" l="1"/>
  <c r="M25" i="1" l="1"/>
  <c r="K25" i="1" s="1"/>
  <c r="R25" i="1" s="1"/>
  <c r="S25" i="1" s="1"/>
  <c r="O25" i="1"/>
  <c r="P25" i="1" l="1"/>
  <c r="W25" i="1" s="1"/>
  <c r="X25" i="1" s="1"/>
  <c r="N26" i="1" l="1"/>
  <c r="M26" i="1" l="1"/>
  <c r="K26" i="1" s="1"/>
  <c r="R26" i="1" s="1"/>
  <c r="S26" i="1" s="1"/>
  <c r="O26" i="1"/>
  <c r="P26" i="1" l="1"/>
  <c r="W26" i="1" s="1"/>
  <c r="X26" i="1" s="1"/>
  <c r="N27" i="1" l="1"/>
  <c r="M27" i="1" l="1"/>
  <c r="K27" i="1" s="1"/>
  <c r="R27" i="1" s="1"/>
  <c r="S27" i="1" s="1"/>
  <c r="O27" i="1"/>
  <c r="P27" i="1" l="1"/>
  <c r="W27" i="1" l="1"/>
  <c r="X27" i="1" s="1"/>
  <c r="N28" i="1" s="1"/>
  <c r="M28" i="1" l="1"/>
  <c r="K28" i="1" s="1"/>
  <c r="R28" i="1" s="1"/>
  <c r="S28" i="1" s="1"/>
  <c r="O28" i="1"/>
  <c r="P28" i="1" l="1"/>
  <c r="W28" i="1" s="1"/>
  <c r="X28" i="1" s="1"/>
  <c r="N29" i="1" l="1"/>
  <c r="M29" i="1" l="1"/>
  <c r="K29" i="1" s="1"/>
  <c r="R29" i="1" s="1"/>
  <c r="S29" i="1" s="1"/>
  <c r="O29" i="1"/>
  <c r="P29" i="1" l="1"/>
  <c r="W29" i="1" s="1"/>
  <c r="X29" i="1" s="1"/>
  <c r="N30" i="1" l="1"/>
  <c r="M30" i="1" l="1"/>
  <c r="K30" i="1" s="1"/>
  <c r="R30" i="1" s="1"/>
  <c r="S30" i="1" s="1"/>
  <c r="O30" i="1"/>
  <c r="P30" i="1" l="1"/>
  <c r="W30" i="1" s="1"/>
  <c r="X30" i="1" s="1"/>
  <c r="N31" i="1" l="1"/>
  <c r="M31" i="1" l="1"/>
  <c r="K31" i="1" s="1"/>
  <c r="R31" i="1" s="1"/>
  <c r="S31" i="1" s="1"/>
  <c r="O31" i="1"/>
  <c r="P31" i="1" l="1"/>
  <c r="W31" i="1" s="1"/>
  <c r="X31" i="1" s="1"/>
  <c r="N32" i="1" l="1"/>
  <c r="M32" i="1" l="1"/>
  <c r="K32" i="1" s="1"/>
  <c r="R32" i="1" s="1"/>
  <c r="S32" i="1" s="1"/>
  <c r="O32" i="1"/>
  <c r="P32" i="1" l="1"/>
  <c r="W32" i="1" s="1"/>
  <c r="X32" i="1" s="1"/>
  <c r="N33" i="1" l="1"/>
  <c r="M33" i="1" l="1"/>
  <c r="K33" i="1" s="1"/>
  <c r="R33" i="1" s="1"/>
  <c r="S33" i="1" s="1"/>
  <c r="O33" i="1"/>
  <c r="P33" i="1" l="1"/>
  <c r="W33" i="1" s="1"/>
  <c r="X33" i="1" s="1"/>
  <c r="N34" i="1" l="1"/>
  <c r="M34" i="1" l="1"/>
  <c r="K34" i="1" s="1"/>
  <c r="R34" i="1" s="1"/>
  <c r="S34" i="1" s="1"/>
  <c r="O34" i="1"/>
  <c r="P34" i="1" l="1"/>
  <c r="W34" i="1" s="1"/>
  <c r="X34" i="1" s="1"/>
  <c r="N35" i="1" l="1"/>
  <c r="M35" i="1" l="1"/>
  <c r="K35" i="1" s="1"/>
  <c r="O35" i="1"/>
  <c r="R35" i="1" l="1"/>
  <c r="S35" i="1" s="1"/>
  <c r="P35" i="1"/>
  <c r="W35" i="1" l="1"/>
  <c r="X35" i="1" s="1"/>
  <c r="N36" i="1" s="1"/>
  <c r="M36" i="1" l="1"/>
  <c r="K36" i="1" s="1"/>
  <c r="R36" i="1" s="1"/>
  <c r="S36" i="1" s="1"/>
  <c r="O36" i="1"/>
  <c r="P36" i="1" l="1"/>
  <c r="W36" i="1" l="1"/>
  <c r="X36" i="1" s="1"/>
  <c r="N37" i="1" s="1"/>
  <c r="M37" i="1" l="1"/>
  <c r="K37" i="1" s="1"/>
  <c r="R37" i="1" s="1"/>
  <c r="S37" i="1" s="1"/>
  <c r="O37" i="1"/>
  <c r="P37" i="1" l="1"/>
  <c r="W37" i="1" l="1"/>
  <c r="X37" i="1" s="1"/>
  <c r="N38" i="1" s="1"/>
  <c r="M38" i="1" l="1"/>
  <c r="K38" i="1" s="1"/>
  <c r="R38" i="1" s="1"/>
  <c r="S38" i="1" s="1"/>
  <c r="O38" i="1"/>
  <c r="P38" i="1" l="1"/>
  <c r="W38" i="1" l="1"/>
  <c r="X38" i="1" s="1"/>
  <c r="N39" i="1" s="1"/>
  <c r="M39" i="1" l="1"/>
  <c r="K39" i="1" s="1"/>
  <c r="R39" i="1" s="1"/>
  <c r="S39" i="1" s="1"/>
  <c r="O39" i="1"/>
  <c r="P39" i="1" l="1"/>
  <c r="W39" i="1" l="1"/>
  <c r="X39" i="1" s="1"/>
  <c r="N40" i="1" s="1"/>
  <c r="M40" i="1" l="1"/>
  <c r="K40" i="1" s="1"/>
  <c r="R40" i="1" s="1"/>
  <c r="S40" i="1" s="1"/>
  <c r="O40" i="1"/>
  <c r="P40" i="1" l="1"/>
  <c r="W40" i="1" l="1"/>
  <c r="X40" i="1" s="1"/>
  <c r="N41" i="1" s="1"/>
  <c r="M41" i="1" l="1"/>
  <c r="K41" i="1" s="1"/>
  <c r="O41" i="1"/>
  <c r="R41" i="1" l="1"/>
  <c r="S41" i="1" s="1"/>
  <c r="P41" i="1"/>
  <c r="W41" i="1" l="1"/>
  <c r="X41" i="1" s="1"/>
  <c r="N42" i="1" s="1"/>
  <c r="M42" i="1" l="1"/>
  <c r="K42" i="1" s="1"/>
  <c r="R42" i="1" s="1"/>
  <c r="S42" i="1" s="1"/>
  <c r="O42" i="1"/>
  <c r="P42" i="1" l="1"/>
  <c r="W42" i="1" l="1"/>
  <c r="X42" i="1" s="1"/>
  <c r="N43" i="1" s="1"/>
  <c r="M43" i="1" l="1"/>
  <c r="K43" i="1" s="1"/>
  <c r="R43" i="1" s="1"/>
  <c r="S43" i="1" s="1"/>
  <c r="O43" i="1"/>
  <c r="P43" i="1" l="1"/>
  <c r="W43" i="1" l="1"/>
  <c r="X43" i="1" s="1"/>
  <c r="N44" i="1" s="1"/>
  <c r="M44" i="1" l="1"/>
  <c r="K44" i="1" s="1"/>
  <c r="R44" i="1" s="1"/>
  <c r="S44" i="1" s="1"/>
  <c r="O44" i="1"/>
  <c r="P44" i="1" l="1"/>
  <c r="W44" i="1" l="1"/>
  <c r="X44" i="1" s="1"/>
  <c r="N45" i="1" s="1"/>
  <c r="M45" i="1" l="1"/>
  <c r="K45" i="1" s="1"/>
  <c r="O45" i="1"/>
  <c r="R45" i="1" l="1"/>
  <c r="S45" i="1" s="1"/>
  <c r="P45" i="1"/>
  <c r="W45" i="1" l="1"/>
  <c r="X45" i="1" s="1"/>
  <c r="N46" i="1" s="1"/>
  <c r="M46" i="1" l="1"/>
  <c r="K46" i="1" s="1"/>
  <c r="R46" i="1" s="1"/>
  <c r="S46" i="1" s="1"/>
  <c r="O46" i="1"/>
  <c r="P46" i="1" l="1"/>
  <c r="W46" i="1" l="1"/>
  <c r="X46" i="1" s="1"/>
  <c r="N47" i="1" s="1"/>
  <c r="M47" i="1" l="1"/>
  <c r="K47" i="1" s="1"/>
  <c r="O47" i="1"/>
  <c r="R47" i="1" l="1"/>
  <c r="S47" i="1" s="1"/>
  <c r="P47" i="1"/>
  <c r="W47" i="1" l="1"/>
  <c r="X47" i="1" s="1"/>
  <c r="N48" i="1" s="1"/>
  <c r="M48" i="1" l="1"/>
  <c r="K48" i="1" s="1"/>
  <c r="R48" i="1" s="1"/>
  <c r="S48" i="1" s="1"/>
  <c r="O48" i="1"/>
  <c r="P48" i="1" l="1"/>
  <c r="W48" i="1" l="1"/>
  <c r="X48" i="1" s="1"/>
  <c r="N49" i="1" s="1"/>
  <c r="M49" i="1" l="1"/>
  <c r="K49" i="1" s="1"/>
  <c r="R49" i="1" s="1"/>
  <c r="S49" i="1" s="1"/>
  <c r="O49" i="1"/>
  <c r="P49" i="1" l="1"/>
  <c r="W49" i="1" l="1"/>
  <c r="X49" i="1" s="1"/>
  <c r="N50" i="1" s="1"/>
  <c r="M50" i="1" l="1"/>
  <c r="K50" i="1" s="1"/>
  <c r="R50" i="1" s="1"/>
  <c r="S50" i="1" s="1"/>
  <c r="O50" i="1"/>
  <c r="P50" i="1" l="1"/>
  <c r="W50" i="1" l="1"/>
  <c r="X50" i="1" s="1"/>
  <c r="S5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<sst xmlns="http://schemas.openxmlformats.org/spreadsheetml/2006/main" count="57" uniqueCount="56">
  <si>
    <t>Date</t>
  </si>
  <si>
    <t>TFP</t>
  </si>
  <si>
    <t>q</t>
  </si>
  <si>
    <t>k</t>
  </si>
  <si>
    <t>i</t>
  </si>
  <si>
    <t>Marg Prod K</t>
  </si>
  <si>
    <t>AdjCosts</t>
  </si>
  <si>
    <t xml:space="preserve">yhat </t>
  </si>
  <si>
    <t>L</t>
  </si>
  <si>
    <t>Y</t>
  </si>
  <si>
    <t>W</t>
  </si>
  <si>
    <t>C_k</t>
  </si>
  <si>
    <t>Euler</t>
  </si>
  <si>
    <t>EulerSQ</t>
  </si>
  <si>
    <t>epsilon</t>
  </si>
  <si>
    <t>z</t>
  </si>
  <si>
    <t>Z</t>
  </si>
  <si>
    <t xml:space="preserve"> </t>
  </si>
  <si>
    <t>Parameters</t>
  </si>
  <si>
    <t>Initial</t>
  </si>
  <si>
    <t>alpha</t>
  </si>
  <si>
    <t>Delta</t>
  </si>
  <si>
    <t>Phi</t>
  </si>
  <si>
    <t>Exogenous variables</t>
  </si>
  <si>
    <t>Interest rate</t>
  </si>
  <si>
    <t>Beta</t>
  </si>
  <si>
    <t>Steady state</t>
  </si>
  <si>
    <t>Initial SS</t>
  </si>
  <si>
    <t>qbar</t>
  </si>
  <si>
    <t>kbar</t>
  </si>
  <si>
    <t>lbar</t>
  </si>
  <si>
    <t>ybar</t>
  </si>
  <si>
    <t>rho</t>
  </si>
  <si>
    <t>sigma</t>
  </si>
  <si>
    <t>rhoc1</t>
  </si>
  <si>
    <t>yhat</t>
  </si>
  <si>
    <t>Ac</t>
  </si>
  <si>
    <t>DSGE Model</t>
  </si>
  <si>
    <t>sigma_c</t>
  </si>
  <si>
    <t>phiL</t>
  </si>
  <si>
    <t>Cbar</t>
  </si>
  <si>
    <t>tauc</t>
  </si>
  <si>
    <t>tauw</t>
  </si>
  <si>
    <t>tauk</t>
  </si>
  <si>
    <t>lambdabar</t>
  </si>
  <si>
    <t xml:space="preserve">mpk </t>
  </si>
  <si>
    <t>rhoc</t>
  </si>
  <si>
    <t>mpl</t>
  </si>
  <si>
    <t>gamma</t>
  </si>
  <si>
    <t>LL</t>
  </si>
  <si>
    <t xml:space="preserve">junk1 </t>
  </si>
  <si>
    <t>C</t>
  </si>
  <si>
    <t>lambda</t>
  </si>
  <si>
    <t>cbar</t>
  </si>
  <si>
    <t>junk</t>
  </si>
  <si>
    <t>yhat1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</si>
</sst>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0" fontId="3" fillId="3" borderId="3" xfId="0" applyFont="1" applyFill="1" applyBorder="1"/>
    <xf numFmtId="0" fontId="4" fillId="3" borderId="4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2" fillId="4" borderId="6" xfId="0" applyFont="1" applyFill="1" applyBorder="1"/>
    <xf numFmtId="0" fontId="2" fillId="4" borderId="0" xfId="0" applyFont="1" applyFill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0" xfId="0" applyFont="1" applyFill="1"/>
    <xf numFmtId="0" fontId="2" fillId="5" borderId="9" xfId="0" applyFont="1" applyFill="1" applyBorder="1"/>
    <xf numFmtId="0" fontId="2" fillId="5" borderId="7" xfId="0" applyFont="1" applyFill="1" applyBorder="1"/>
    <xf numFmtId="0" fontId="2" fillId="5" borderId="8" xfId="0" applyFont="1" applyFill="1" applyBorder="1"/>
    <xf numFmtId="0" fontId="2" fillId="5" borderId="10" xfId="0" applyFont="1" applyFill="1" applyBorder="1"/>
    <xf numFmtId="2" fontId="2" fillId="6" borderId="9" xfId="0" applyNumberFormat="1" applyFont="1" applyFill="1" applyBorder="1" applyAlignment="1">
      <alignment horizontal="right"/>
    </xf>
    <xf numFmtId="0" fontId="3" fillId="3" borderId="5" xfId="0" applyFont="1" applyFill="1" applyBorder="1"/>
    <xf numFmtId="2" fontId="2" fillId="4" borderId="0" xfId="0" applyNumberFormat="1" applyFont="1" applyFill="1" applyAlignment="1">
      <alignment horizontal="right"/>
    </xf>
    <xf numFmtId="2" fontId="2" fillId="4" borderId="9" xfId="0" applyNumberFormat="1" applyFont="1" applyFill="1" applyBorder="1"/>
    <xf numFmtId="2" fontId="2" fillId="6" borderId="10" xfId="0" applyNumberFormat="1" applyFont="1" applyFill="1" applyBorder="1" applyAlignment="1">
      <alignment horizontal="right"/>
    </xf>
    <xf numFmtId="2" fontId="2" fillId="4" borderId="8" xfId="0" applyNumberFormat="1" applyFont="1" applyFill="1" applyBorder="1" applyAlignment="1">
      <alignment horizontal="right"/>
    </xf>
    <xf numFmtId="2" fontId="2" fillId="4" borderId="1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164" fontId="2" fillId="4" borderId="9" xfId="0" applyNumberFormat="1" applyFont="1" applyFill="1" applyBorder="1"/>
    <xf numFmtId="0" fontId="5" fillId="4" borderId="7" xfId="0" applyFont="1" applyFill="1" applyBorder="1"/>
    <xf numFmtId="164" fontId="2" fillId="4" borderId="8" xfId="0" applyNumberFormat="1" applyFont="1" applyFill="1" applyBorder="1"/>
    <xf numFmtId="164" fontId="2" fillId="4" borderId="10" xfId="0" applyNumberFormat="1" applyFont="1" applyFill="1" applyBorder="1"/>
    <xf numFmtId="0" fontId="3" fillId="3" borderId="3" xfId="0" applyFont="1" applyFill="1" applyBorder="1" applyProtection="1">
      <protection locked="0"/>
    </xf>
    <xf numFmtId="0" fontId="4" fillId="3" borderId="5" xfId="0" applyFont="1" applyFill="1" applyBorder="1" applyProtection="1">
      <protection locked="0"/>
    </xf>
    <xf numFmtId="2" fontId="2" fillId="4" borderId="9" xfId="0" applyNumberFormat="1" applyFont="1" applyFill="1" applyBorder="1" applyProtection="1">
      <protection locked="0"/>
    </xf>
    <xf numFmtId="2" fontId="2" fillId="4" borderId="10" xfId="0" applyNumberFormat="1" applyFont="1" applyFill="1" applyBorder="1" applyProtection="1">
      <protection locked="0"/>
    </xf>
    <xf numFmtId="0" fontId="6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Sheet1!$J$2:$J$32</c:f>
              <c:numCache>
                <c:formatCode>General</c:formatCode>
                <c:ptCount val="31"/>
                <c:pt idx="0">
                  <c:v>0.1484</c:v>
                </c:pt>
                <c:pt idx="1">
                  <c:v>0.14853040701714057</c:v>
                </c:pt>
                <c:pt idx="2">
                  <c:v>0.14885637039626778</c:v>
                </c:pt>
                <c:pt idx="3">
                  <c:v>0.14891955170319673</c:v>
                </c:pt>
                <c:pt idx="4">
                  <c:v>0.14923672973388488</c:v>
                </c:pt>
                <c:pt idx="5">
                  <c:v>0.14924583410700878</c:v>
                </c:pt>
                <c:pt idx="6">
                  <c:v>0.14955830471654694</c:v>
                </c:pt>
                <c:pt idx="7">
                  <c:v>0.14951256697864487</c:v>
                </c:pt>
                <c:pt idx="8">
                  <c:v>0.14982450486314369</c:v>
                </c:pt>
                <c:pt idx="9">
                  <c:v>0.14972179877990247</c:v>
                </c:pt>
                <c:pt idx="10">
                  <c:v>0.15003597349119949</c:v>
                </c:pt>
                <c:pt idx="11">
                  <c:v>0.14987325763227274</c:v>
                </c:pt>
                <c:pt idx="12">
                  <c:v>0.15019399450873253</c:v>
                </c:pt>
                <c:pt idx="13">
                  <c:v>0.14996939359358427</c:v>
                </c:pt>
                <c:pt idx="14">
                  <c:v>0.15029957612572623</c:v>
                </c:pt>
                <c:pt idx="15">
                  <c:v>0.15000599242962595</c:v>
                </c:pt>
                <c:pt idx="16">
                  <c:v>0.15034697050312254</c:v>
                </c:pt>
                <c:pt idx="17">
                  <c:v>0.14997900961664409</c:v>
                </c:pt>
                <c:pt idx="18">
                  <c:v>0.15033646081738963</c:v>
                </c:pt>
                <c:pt idx="19">
                  <c:v>0.14988555990775471</c:v>
                </c:pt>
                <c:pt idx="20">
                  <c:v>0.15026759746931931</c:v>
                </c:pt>
                <c:pt idx="21">
                  <c:v>0.14972874563810062</c:v>
                </c:pt>
                <c:pt idx="22">
                  <c:v>0.1501343771350481</c:v>
                </c:pt>
                <c:pt idx="23">
                  <c:v>0.14949878675232098</c:v>
                </c:pt>
                <c:pt idx="24">
                  <c:v>0.14993541896297508</c:v>
                </c:pt>
                <c:pt idx="25">
                  <c:v>0.14918821332120355</c:v>
                </c:pt>
                <c:pt idx="26">
                  <c:v>0.14965614983846581</c:v>
                </c:pt>
                <c:pt idx="27">
                  <c:v>0.14878665060687865</c:v>
                </c:pt>
                <c:pt idx="28">
                  <c:v>0.1497487413527881</c:v>
                </c:pt>
                <c:pt idx="29">
                  <c:v>0.14896349868660833</c:v>
                </c:pt>
                <c:pt idx="30">
                  <c:v>0.15003692868373808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F-435E-AE60-F29E85A02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151760"/>
        <c:axId val="1185126800"/>
      </c:lineChart>
      <c:catAx>
        <c:axId val="1185151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26800"/>
        <c:crosses val="autoZero"/>
        <c:auto val="1"/>
        <c:lblAlgn val="ctr"/>
        <c:lblOffset val="100"/>
        <c:noMultiLvlLbl val="0"/>
      </c:catAx>
      <c:valAx>
        <c:axId val="11851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15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9</xdr:row>
      <xdr:rowOff>195262</xdr:rowOff>
    </xdr:from>
    <xdr:to>
      <xdr:col>13</xdr:col>
      <xdr:colOff>57150</xdr:colOff>
      <xdr:row>23</xdr:row>
      <xdr:rowOff>138112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6813974-6C23-391A-86B1-5FE16426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ostlePaul1906\Dropbox\ComputMacro\EXCEL-ICM\ICM-7b.xlsx" TargetMode="External"/><Relationship Id="rId1" Type="http://schemas.openxmlformats.org/officeDocument/2006/relationships/externalLinkPath" Target="ICM-7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bb-Dougles"/>
      <sheetName val="CES"/>
      <sheetName val="Sheet1"/>
    </sheetNames>
    <sheetDataSet>
      <sheetData sheetId="0">
        <row r="23">
          <cell r="B23">
            <v>1</v>
          </cell>
        </row>
        <row r="29">
          <cell r="B29">
            <v>0.95</v>
          </cell>
        </row>
        <row r="30">
          <cell r="B30">
            <v>0.05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3246-20A0-4BA5-832F-0CE6502C9F05}">
  <dimension ref="A1:X54"/>
  <sheetViews>
    <sheetView tabSelected="1" workbookViewId="0">
      <selection activeCell="J1" sqref="J1:J32"/>
    </sheetView>
  </sheetViews>
  <sheetFormatPr defaultColWidth="11.42578125" defaultRowHeight="15" x14ac:dyDescent="0.25"/>
  <cols>
    <col min="1" max="1" width="32.28515625" style="3" customWidth="1"/>
    <col min="2" max="2" width="18.28515625" style="3" customWidth="1"/>
    <col min="3" max="3" width="13.7109375" style="3" bestFit="1" customWidth="1"/>
    <col min="4" max="4" width="11.42578125" style="3" hidden="1" customWidth="1"/>
    <col min="5" max="6" width="11.42578125" style="3"/>
    <col min="16" max="16" width="12.42578125" bestFit="1" customWidth="1"/>
    <col min="19" max="19" width="12.42578125" bestFit="1" customWidth="1"/>
  </cols>
  <sheetData>
    <row r="1" spans="1:24" ht="15.75" thickBot="1" x14ac:dyDescent="0.3">
      <c r="A1" s="1"/>
      <c r="B1" s="2"/>
      <c r="C1" s="3" t="s">
        <v>37</v>
      </c>
      <c r="F1" s="3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51</v>
      </c>
      <c r="X1" t="s">
        <v>52</v>
      </c>
    </row>
    <row r="2" spans="1:24" ht="15.75" thickBot="1" x14ac:dyDescent="0.3">
      <c r="A2" s="3" t="s">
        <v>17</v>
      </c>
      <c r="F2" s="3">
        <f>1</f>
        <v>1</v>
      </c>
      <c r="G2">
        <f t="shared" ref="G2:G50" si="0">Ac *V2</f>
        <v>1.3863127604892389</v>
      </c>
      <c r="H2">
        <v>1</v>
      </c>
      <c r="I2">
        <v>3.71</v>
      </c>
      <c r="J2">
        <f>Delta*I2</f>
        <v>0.1484</v>
      </c>
      <c r="K2">
        <f t="shared" ref="K2:K33" si="1">G2*(alpha*I2^(rhoc-1))*M2</f>
        <v>8.0088585194104417E-2</v>
      </c>
      <c r="L2">
        <f t="shared" ref="L2:L33" si="2">(Phi/2)*((J2-Delta*I2)/I2)^2*I2</f>
        <v>0</v>
      </c>
      <c r="M2">
        <f t="shared" ref="M2:M33" si="3">(alpha* I2^rhoc + (1-alpha)*N2^rhoc)^(1/rhoc-1)</f>
        <v>0.69815629325111683</v>
      </c>
      <c r="N2">
        <v>0.33</v>
      </c>
      <c r="O2">
        <f>Ac*(alpha* kbar^rhoc + (1-alpha)*lbar^rhoc)^(1/rhoc)</f>
        <v>0.99999999999999989</v>
      </c>
      <c r="P2">
        <f t="shared" ref="P2:P33" si="4">G2*(1-alpha)*N2^(rhoc-1)*M2</f>
        <v>2.1299131785753715</v>
      </c>
      <c r="Q2">
        <f t="shared" ref="Q2:Q33" si="5">(Phi/2)*((J2-Delta*I2)/I2)^2 - Phi *((J2-Delta*I2)/I2)* (J2/I2)</f>
        <v>0</v>
      </c>
      <c r="T2">
        <v>0</v>
      </c>
      <c r="U2">
        <v>0</v>
      </c>
      <c r="V2">
        <f>EXP(U2)</f>
        <v>1</v>
      </c>
      <c r="W2">
        <f xml:space="preserve"> (O2 - J2 - tauw *P2* N2 - tauk * K2 * I2 *H2)/(1+tauc)</f>
        <v>0.51002339110365946</v>
      </c>
      <c r="X2">
        <f t="shared" ref="X2:X33" si="6">W2^(-sigma_c) /(1+tauc)</f>
        <v>3.4948386162388987</v>
      </c>
    </row>
    <row r="3" spans="1:24" ht="15.75" thickBot="1" x14ac:dyDescent="0.3">
      <c r="A3" s="4"/>
      <c r="B3" s="5"/>
      <c r="C3" s="6"/>
      <c r="D3" s="5"/>
      <c r="E3" s="5"/>
      <c r="F3" s="7">
        <f>F2+1</f>
        <v>2</v>
      </c>
      <c r="G3">
        <f t="shared" si="0"/>
        <v>1.4556283985137008</v>
      </c>
      <c r="H3">
        <v>1.0010545041817296</v>
      </c>
      <c r="I3">
        <f t="shared" ref="I3:I34" si="7">(1-Delta)*I2+J2</f>
        <v>3.71</v>
      </c>
      <c r="J3">
        <f t="shared" ref="J3:J34" si="8">Delta*I2+ (H3-1)*(I2/Phi)</f>
        <v>0.14853040701714057</v>
      </c>
      <c r="K3">
        <f t="shared" si="1"/>
        <v>8.4093014453809636E-2</v>
      </c>
      <c r="L3">
        <f t="shared" si="2"/>
        <v>6.8757372450807899E-8</v>
      </c>
      <c r="M3">
        <f t="shared" si="3"/>
        <v>0.69815629325111683</v>
      </c>
      <c r="N3">
        <f t="shared" ref="N3:N34" si="9">(P2 *(1-tauw)*X2/gamma)^phiLL</f>
        <v>0.33</v>
      </c>
      <c r="O3">
        <f t="shared" ref="O3:O50" si="10">G3*(alpha* I3^rhoc + (1-alpha)*N3^rhoc)^(1/rhoc)</f>
        <v>1.0499999999999998</v>
      </c>
      <c r="P3">
        <f t="shared" si="4"/>
        <v>2.2364088375041402</v>
      </c>
      <c r="Q3">
        <f t="shared" si="5"/>
        <v>-4.2198700253673797E-5</v>
      </c>
      <c r="R3">
        <f t="shared" ref="R3:R34" si="11">Beta *((1-Delta)*H3 + K3 - Q3)-H2</f>
        <v>4.8639625955275712E-3</v>
      </c>
      <c r="S3">
        <f>R3^2</f>
        <v>2.3658132130691306E-5</v>
      </c>
      <c r="T3">
        <f t="shared" ref="T3:T34" ca="1" si="12">_xlfn.NORM.INV(RAND(),0,sigma)</f>
        <v>2.7406564270925124E-2</v>
      </c>
      <c r="U3">
        <v>0</v>
      </c>
      <c r="V3">
        <v>1.05</v>
      </c>
      <c r="W3">
        <f t="shared" ref="W3:W34" si="13" xml:space="preserve"> (O3 - J3 - tauw * P3*N3 - tauk * K3 * I3 *H3)/(1+tauc)</f>
        <v>0.54210660115571652</v>
      </c>
      <c r="X3">
        <f t="shared" si="6"/>
        <v>3.0934131226603743</v>
      </c>
    </row>
    <row r="4" spans="1:24" ht="15.75" thickBot="1" x14ac:dyDescent="0.3">
      <c r="A4" s="8"/>
      <c r="B4" s="9"/>
      <c r="C4" s="9"/>
      <c r="D4" s="9"/>
      <c r="E4" s="9"/>
      <c r="F4" s="7">
        <f t="shared" ref="F4:F50" si="14">F3+1</f>
        <v>3</v>
      </c>
      <c r="G4">
        <f t="shared" si="0"/>
        <v>1.4556283985137008</v>
      </c>
      <c r="H4">
        <v>1.0036903266544563</v>
      </c>
      <c r="I4">
        <f t="shared" si="7"/>
        <v>3.7101304070171404</v>
      </c>
      <c r="J4">
        <f t="shared" si="8"/>
        <v>0.14885637039626778</v>
      </c>
      <c r="K4">
        <f t="shared" si="1"/>
        <v>8.1742560978084758E-2</v>
      </c>
      <c r="L4">
        <f t="shared" si="2"/>
        <v>8.2290922559659908E-7</v>
      </c>
      <c r="M4">
        <f t="shared" si="3"/>
        <v>0.6786686187043286</v>
      </c>
      <c r="N4">
        <f t="shared" si="9"/>
        <v>0.31813685852655826</v>
      </c>
      <c r="O4">
        <f t="shared" si="10"/>
        <v>1.0233215670346116</v>
      </c>
      <c r="P4">
        <f t="shared" si="4"/>
        <v>2.2633215444989276</v>
      </c>
      <c r="Q4">
        <f t="shared" si="5"/>
        <v>-1.4614253097376066E-4</v>
      </c>
      <c r="R4">
        <f t="shared" si="11"/>
        <v>4.0823966354588404E-3</v>
      </c>
      <c r="S4">
        <f t="shared" ref="S4:S50" si="15">R4^2</f>
        <v>1.666596228920566E-5</v>
      </c>
      <c r="T4">
        <f t="shared" ca="1" si="12"/>
        <v>-0.1363088043112741</v>
      </c>
      <c r="U4">
        <v>0</v>
      </c>
      <c r="V4">
        <v>1.05</v>
      </c>
      <c r="W4">
        <f t="shared" si="13"/>
        <v>0.52435443863609132</v>
      </c>
      <c r="X4">
        <f t="shared" si="6"/>
        <v>3.3064154191166066</v>
      </c>
    </row>
    <row r="5" spans="1:24" ht="15.75" thickBot="1" x14ac:dyDescent="0.3">
      <c r="A5" s="10"/>
      <c r="B5" s="11"/>
      <c r="C5" s="11"/>
      <c r="D5" s="11"/>
      <c r="E5" s="11"/>
      <c r="F5" s="7">
        <f t="shared" si="14"/>
        <v>4</v>
      </c>
      <c r="G5">
        <f t="shared" si="0"/>
        <v>1.4556283985137008</v>
      </c>
      <c r="H5">
        <v>1.0041589003572893</v>
      </c>
      <c r="I5">
        <f t="shared" si="7"/>
        <v>3.7105815611327224</v>
      </c>
      <c r="J5">
        <f t="shared" si="8"/>
        <v>0.14891955170319673</v>
      </c>
      <c r="K5">
        <f t="shared" si="1"/>
        <v>8.4256235951504777E-2</v>
      </c>
      <c r="L5">
        <f t="shared" si="2"/>
        <v>9.9567826540242227E-7</v>
      </c>
      <c r="M5">
        <f t="shared" si="3"/>
        <v>0.6996320074108634</v>
      </c>
      <c r="N5">
        <f t="shared" si="9"/>
        <v>0.3308805691781076</v>
      </c>
      <c r="O5">
        <f t="shared" si="10"/>
        <v>1.0520174580119785</v>
      </c>
      <c r="P5">
        <f t="shared" si="4"/>
        <v>2.2345761321568638</v>
      </c>
      <c r="Q5">
        <f t="shared" si="5"/>
        <v>-1.6076800304820591E-4</v>
      </c>
      <c r="R5">
        <f t="shared" si="11"/>
        <v>4.3099179611436611E-3</v>
      </c>
      <c r="S5">
        <f t="shared" si="15"/>
        <v>1.8575392831788733E-5</v>
      </c>
      <c r="T5">
        <f t="shared" ca="1" si="12"/>
        <v>-7.1805799328095041E-2</v>
      </c>
      <c r="U5">
        <v>0</v>
      </c>
      <c r="V5">
        <v>1.05</v>
      </c>
      <c r="W5">
        <f t="shared" si="13"/>
        <v>0.5429315341338381</v>
      </c>
      <c r="X5">
        <f t="shared" si="6"/>
        <v>3.0840199683267993</v>
      </c>
    </row>
    <row r="6" spans="1:24" ht="15.75" thickBot="1" x14ac:dyDescent="0.3">
      <c r="F6" s="7">
        <f t="shared" si="14"/>
        <v>5</v>
      </c>
      <c r="G6">
        <f t="shared" si="0"/>
        <v>1.4556283985137008</v>
      </c>
      <c r="H6">
        <v>1.0065768716453789</v>
      </c>
      <c r="I6">
        <f t="shared" si="7"/>
        <v>3.7110778503906099</v>
      </c>
      <c r="J6">
        <f t="shared" si="8"/>
        <v>0.14923672973388488</v>
      </c>
      <c r="K6">
        <f t="shared" si="1"/>
        <v>8.1604380307414501E-2</v>
      </c>
      <c r="L6">
        <f t="shared" si="2"/>
        <v>2.5457263374458699E-6</v>
      </c>
      <c r="M6">
        <f t="shared" si="3"/>
        <v>0.67771169237432727</v>
      </c>
      <c r="N6">
        <f t="shared" si="9"/>
        <v>0.31752329680138086</v>
      </c>
      <c r="O6">
        <f t="shared" si="10"/>
        <v>1.0220097658274756</v>
      </c>
      <c r="P6">
        <f t="shared" si="4"/>
        <v>2.2649347774429205</v>
      </c>
      <c r="Q6">
        <f t="shared" si="5"/>
        <v>-2.5730653646878124E-4</v>
      </c>
      <c r="R6">
        <f t="shared" si="11"/>
        <v>3.6163012404031303E-3</v>
      </c>
      <c r="S6">
        <f t="shared" si="15"/>
        <v>1.3077634661341219E-5</v>
      </c>
      <c r="T6">
        <f t="shared" ca="1" si="12"/>
        <v>-3.1775974159176334E-4</v>
      </c>
      <c r="U6">
        <v>0</v>
      </c>
      <c r="V6">
        <v>1.05</v>
      </c>
      <c r="W6">
        <f t="shared" si="13"/>
        <v>0.52303536229809289</v>
      </c>
      <c r="X6">
        <f t="shared" si="6"/>
        <v>3.3231137700222706</v>
      </c>
    </row>
    <row r="7" spans="1:24" ht="15.75" thickBot="1" x14ac:dyDescent="0.3">
      <c r="A7" s="4"/>
      <c r="B7" s="7"/>
      <c r="F7" s="7">
        <f t="shared" si="14"/>
        <v>6</v>
      </c>
      <c r="G7">
        <f t="shared" si="0"/>
        <v>1.4556283985137008</v>
      </c>
      <c r="H7">
        <v>1.0064891127894275</v>
      </c>
      <c r="I7">
        <f t="shared" si="7"/>
        <v>3.7118714661088705</v>
      </c>
      <c r="J7">
        <f t="shared" si="8"/>
        <v>0.14924583410700878</v>
      </c>
      <c r="K7">
        <f t="shared" si="1"/>
        <v>8.4421027138997892E-2</v>
      </c>
      <c r="L7">
        <f t="shared" si="2"/>
        <v>2.4020356150865631E-6</v>
      </c>
      <c r="M7">
        <f t="shared" si="3"/>
        <v>0.7012684326435944</v>
      </c>
      <c r="N7">
        <f t="shared" si="9"/>
        <v>0.33183323564154926</v>
      </c>
      <c r="O7">
        <f t="shared" si="10"/>
        <v>1.0542541728726489</v>
      </c>
      <c r="P7">
        <f t="shared" si="4"/>
        <v>2.2327304546917777</v>
      </c>
      <c r="Q7">
        <f t="shared" si="5"/>
        <v>-2.4989351039468902E-4</v>
      </c>
      <c r="R7">
        <f t="shared" si="11"/>
        <v>3.8182849663253027E-3</v>
      </c>
      <c r="S7">
        <f t="shared" si="15"/>
        <v>1.4579300084065817E-5</v>
      </c>
      <c r="T7">
        <f t="shared" ca="1" si="12"/>
        <v>-2.9835466491610032E-2</v>
      </c>
      <c r="U7">
        <v>0</v>
      </c>
      <c r="V7">
        <v>1.05</v>
      </c>
      <c r="W7">
        <f t="shared" si="13"/>
        <v>0.54398760396027179</v>
      </c>
      <c r="X7">
        <f t="shared" si="6"/>
        <v>3.07205727292768</v>
      </c>
    </row>
    <row r="8" spans="1:24" ht="15.75" thickBot="1" x14ac:dyDescent="0.3">
      <c r="A8" s="8"/>
      <c r="B8" s="12"/>
      <c r="F8" s="7">
        <f t="shared" si="14"/>
        <v>7</v>
      </c>
      <c r="G8">
        <f t="shared" si="0"/>
        <v>1.4556283985137008</v>
      </c>
      <c r="H8">
        <v>1.0087566022860797</v>
      </c>
      <c r="I8">
        <f t="shared" si="7"/>
        <v>3.7126424415715245</v>
      </c>
      <c r="J8">
        <f t="shared" si="8"/>
        <v>0.14955830471654694</v>
      </c>
      <c r="K8">
        <f t="shared" si="1"/>
        <v>8.1429093208086251E-2</v>
      </c>
      <c r="L8">
        <f t="shared" si="2"/>
        <v>4.4765216159643042E-6</v>
      </c>
      <c r="M8">
        <f t="shared" si="3"/>
        <v>0.67656958749084239</v>
      </c>
      <c r="N8">
        <f t="shared" si="9"/>
        <v>0.31677596951570008</v>
      </c>
      <c r="O8">
        <f t="shared" si="10"/>
        <v>1.0204438923886545</v>
      </c>
      <c r="P8">
        <f t="shared" si="4"/>
        <v>2.2669863060115669</v>
      </c>
      <c r="Q8">
        <f t="shared" si="5"/>
        <v>-3.4142932048757878E-4</v>
      </c>
      <c r="R8">
        <f t="shared" si="11"/>
        <v>3.2103259629199243E-3</v>
      </c>
      <c r="S8">
        <f t="shared" si="15"/>
        <v>1.030619278819774E-5</v>
      </c>
      <c r="T8">
        <f t="shared" ca="1" si="12"/>
        <v>-8.461871243108314E-3</v>
      </c>
      <c r="U8">
        <v>0</v>
      </c>
      <c r="V8">
        <v>1.05</v>
      </c>
      <c r="W8">
        <f t="shared" si="13"/>
        <v>0.52163323292689656</v>
      </c>
      <c r="X8">
        <f t="shared" si="6"/>
        <v>3.3410025750858892</v>
      </c>
    </row>
    <row r="9" spans="1:24" ht="15.75" thickBot="1" x14ac:dyDescent="0.3">
      <c r="A9" s="10"/>
      <c r="B9" s="13"/>
      <c r="F9" s="7">
        <f t="shared" si="14"/>
        <v>8</v>
      </c>
      <c r="G9">
        <f t="shared" si="0"/>
        <v>1.4556283985137008</v>
      </c>
      <c r="H9">
        <v>1.0081360055402293</v>
      </c>
      <c r="I9">
        <f t="shared" si="7"/>
        <v>3.7136950486252105</v>
      </c>
      <c r="J9">
        <f t="shared" si="8"/>
        <v>0.14951256697864487</v>
      </c>
      <c r="K9">
        <f t="shared" si="1"/>
        <v>8.4593869670170616E-2</v>
      </c>
      <c r="L9">
        <f t="shared" si="2"/>
        <v>3.7594830402356082E-6</v>
      </c>
      <c r="M9">
        <f t="shared" si="3"/>
        <v>0.70308395993992812</v>
      </c>
      <c r="N9">
        <f t="shared" si="9"/>
        <v>0.33287584367997797</v>
      </c>
      <c r="O9">
        <f t="shared" si="10"/>
        <v>1.0567351346577178</v>
      </c>
      <c r="P9">
        <f t="shared" si="4"/>
        <v>2.2307996023690562</v>
      </c>
      <c r="Q9">
        <f t="shared" si="5"/>
        <v>-3.1275522308541772E-4</v>
      </c>
      <c r="R9">
        <f t="shared" si="11"/>
        <v>3.3852529342763837E-3</v>
      </c>
      <c r="S9">
        <f t="shared" si="15"/>
        <v>1.1459937429026867E-5</v>
      </c>
      <c r="T9">
        <f t="shared" ca="1" si="12"/>
        <v>2.3616881486788904E-2</v>
      </c>
      <c r="U9">
        <v>0</v>
      </c>
      <c r="V9">
        <v>1.05</v>
      </c>
      <c r="W9">
        <f t="shared" si="13"/>
        <v>0.5452845831767914</v>
      </c>
      <c r="X9">
        <f t="shared" si="6"/>
        <v>3.0574606529454704</v>
      </c>
    </row>
    <row r="10" spans="1:24" ht="15.75" thickBot="1" x14ac:dyDescent="0.3">
      <c r="F10" s="7">
        <f t="shared" si="14"/>
        <v>9</v>
      </c>
      <c r="G10">
        <f t="shared" si="0"/>
        <v>1.4556283985137008</v>
      </c>
      <c r="H10">
        <v>1.0103134713654631</v>
      </c>
      <c r="I10">
        <f t="shared" si="7"/>
        <v>3.7146598136588471</v>
      </c>
      <c r="J10">
        <f t="shared" si="8"/>
        <v>0.14982450486314369</v>
      </c>
      <c r="K10">
        <f t="shared" si="1"/>
        <v>8.1217736060262266E-2</v>
      </c>
      <c r="L10">
        <f t="shared" si="2"/>
        <v>6.1900235252365752E-6</v>
      </c>
      <c r="M10">
        <f t="shared" si="3"/>
        <v>0.67521684359654244</v>
      </c>
      <c r="N10">
        <f t="shared" si="9"/>
        <v>0.31588582957982531</v>
      </c>
      <c r="O10">
        <f t="shared" si="10"/>
        <v>1.0185889131523327</v>
      </c>
      <c r="P10">
        <f t="shared" si="4"/>
        <v>2.2694675915234899</v>
      </c>
      <c r="Q10">
        <f t="shared" si="5"/>
        <v>-4.0163161056826105E-4</v>
      </c>
      <c r="R10">
        <f t="shared" si="11"/>
        <v>2.8550919011842701E-3</v>
      </c>
      <c r="S10">
        <f t="shared" si="15"/>
        <v>8.1515497642080096E-6</v>
      </c>
      <c r="T10">
        <f t="shared" ca="1" si="12"/>
        <v>-6.4323052853746052E-2</v>
      </c>
      <c r="U10">
        <v>0</v>
      </c>
      <c r="V10">
        <v>1.05</v>
      </c>
      <c r="W10">
        <f t="shared" si="13"/>
        <v>0.52011891853136727</v>
      </c>
      <c r="X10">
        <f t="shared" si="6"/>
        <v>3.3604854017012342</v>
      </c>
    </row>
    <row r="11" spans="1:24" ht="15.75" thickBot="1" x14ac:dyDescent="0.3">
      <c r="A11" s="4" t="s">
        <v>18</v>
      </c>
      <c r="B11" s="14" t="s">
        <v>19</v>
      </c>
      <c r="C11" s="15"/>
      <c r="F11" s="7">
        <f t="shared" si="14"/>
        <v>10</v>
      </c>
      <c r="G11">
        <f t="shared" si="0"/>
        <v>1.4556283985137008</v>
      </c>
      <c r="H11">
        <v>1.009169665249348</v>
      </c>
      <c r="I11">
        <f t="shared" si="7"/>
        <v>3.7158979259756366</v>
      </c>
      <c r="J11">
        <f t="shared" si="8"/>
        <v>0.14972179877990247</v>
      </c>
      <c r="K11">
        <f t="shared" si="1"/>
        <v>8.4781162085706352E-2</v>
      </c>
      <c r="L11">
        <f t="shared" si="2"/>
        <v>4.7598420839042263E-6</v>
      </c>
      <c r="M11">
        <f t="shared" si="3"/>
        <v>0.70510038868038472</v>
      </c>
      <c r="N11">
        <f t="shared" si="9"/>
        <v>0.33402765591725142</v>
      </c>
      <c r="O11">
        <f t="shared" si="10"/>
        <v>1.0594899506173185</v>
      </c>
      <c r="P11">
        <f t="shared" si="4"/>
        <v>2.2287130813074376</v>
      </c>
      <c r="Q11">
        <f t="shared" si="5"/>
        <v>-3.5195206036046803E-4</v>
      </c>
      <c r="R11">
        <f t="shared" si="11"/>
        <v>3.0002095925414363E-3</v>
      </c>
      <c r="S11">
        <f t="shared" si="15"/>
        <v>9.0012575991776513E-6</v>
      </c>
      <c r="T11">
        <f t="shared" ca="1" si="12"/>
        <v>9.1708008090017765E-2</v>
      </c>
      <c r="U11">
        <v>0</v>
      </c>
      <c r="V11">
        <v>1.05</v>
      </c>
      <c r="W11">
        <f t="shared" si="13"/>
        <v>0.54683725349444778</v>
      </c>
      <c r="X11">
        <f t="shared" si="6"/>
        <v>3.0401228113229601</v>
      </c>
    </row>
    <row r="12" spans="1:24" ht="15.75" thickBot="1" x14ac:dyDescent="0.3">
      <c r="A12" s="16" t="s">
        <v>20</v>
      </c>
      <c r="B12" s="17">
        <v>0.35</v>
      </c>
      <c r="C12" s="18"/>
      <c r="F12" s="7">
        <f t="shared" si="14"/>
        <v>11</v>
      </c>
      <c r="G12">
        <f t="shared" si="0"/>
        <v>1.4556283985137008</v>
      </c>
      <c r="H12">
        <v>1.0113032420163137</v>
      </c>
      <c r="I12">
        <f t="shared" si="7"/>
        <v>3.7169838077165136</v>
      </c>
      <c r="J12">
        <f t="shared" si="8"/>
        <v>0.15003597349119949</v>
      </c>
      <c r="K12">
        <f t="shared" si="1"/>
        <v>8.0970565639734801E-2</v>
      </c>
      <c r="L12">
        <f t="shared" si="2"/>
        <v>7.4270744565496313E-6</v>
      </c>
      <c r="M12">
        <f t="shared" si="3"/>
        <v>0.67362523027498222</v>
      </c>
      <c r="N12">
        <f t="shared" si="9"/>
        <v>0.31484157169696225</v>
      </c>
      <c r="O12">
        <f t="shared" si="10"/>
        <v>1.0164059463682789</v>
      </c>
      <c r="P12">
        <f t="shared" si="4"/>
        <v>2.2723799183430411</v>
      </c>
      <c r="Q12">
        <f t="shared" si="5"/>
        <v>-4.399729937236232E-4</v>
      </c>
      <c r="R12">
        <f t="shared" si="11"/>
        <v>2.5342087747510789E-3</v>
      </c>
      <c r="S12">
        <f t="shared" si="15"/>
        <v>6.4222141140253647E-6</v>
      </c>
      <c r="T12">
        <f t="shared" ca="1" si="12"/>
        <v>-5.6387855960580036E-4</v>
      </c>
      <c r="U12">
        <v>0</v>
      </c>
      <c r="V12">
        <v>1.05</v>
      </c>
      <c r="W12">
        <f t="shared" si="13"/>
        <v>0.51846442156136741</v>
      </c>
      <c r="X12">
        <f t="shared" si="6"/>
        <v>3.3819672389775493</v>
      </c>
    </row>
    <row r="13" spans="1:24" ht="15.75" thickBot="1" x14ac:dyDescent="0.3">
      <c r="A13" s="16" t="s">
        <v>21</v>
      </c>
      <c r="B13" s="17">
        <v>0.04</v>
      </c>
      <c r="C13" s="18"/>
      <c r="F13" s="7">
        <f t="shared" si="14"/>
        <v>12</v>
      </c>
      <c r="G13">
        <f t="shared" si="0"/>
        <v>1.4556283985137008</v>
      </c>
      <c r="H13">
        <v>1.0096360817160432</v>
      </c>
      <c r="I13">
        <f t="shared" si="7"/>
        <v>3.7183404288990527</v>
      </c>
      <c r="J13">
        <f t="shared" si="8"/>
        <v>0.14987325763227274</v>
      </c>
      <c r="K13">
        <f t="shared" si="1"/>
        <v>8.4989145714319425E-2</v>
      </c>
      <c r="L13">
        <f t="shared" si="2"/>
        <v>5.2393551911681606E-6</v>
      </c>
      <c r="M13">
        <f t="shared" si="3"/>
        <v>0.70734121355091117</v>
      </c>
      <c r="N13">
        <f t="shared" si="9"/>
        <v>0.33530852566768848</v>
      </c>
      <c r="O13">
        <f t="shared" si="10"/>
        <v>1.0625504933669792</v>
      </c>
      <c r="P13">
        <f t="shared" si="4"/>
        <v>2.2264030279375953</v>
      </c>
      <c r="Q13">
        <f t="shared" si="5"/>
        <v>-3.6919909648251053E-4</v>
      </c>
      <c r="R13">
        <f t="shared" si="11"/>
        <v>2.6574900509350741E-3</v>
      </c>
      <c r="S13">
        <f t="shared" si="15"/>
        <v>7.0622533708189023E-6</v>
      </c>
      <c r="T13">
        <f t="shared" ca="1" si="12"/>
        <v>3.0455822029007533E-3</v>
      </c>
      <c r="U13">
        <v>0</v>
      </c>
      <c r="V13">
        <v>1.05</v>
      </c>
      <c r="W13">
        <f t="shared" si="13"/>
        <v>0.5486650011251023</v>
      </c>
      <c r="X13">
        <f t="shared" si="6"/>
        <v>3.0199016488915498</v>
      </c>
    </row>
    <row r="14" spans="1:24" ht="15.75" thickBot="1" x14ac:dyDescent="0.3">
      <c r="A14" s="19" t="s">
        <v>22</v>
      </c>
      <c r="B14" s="20">
        <v>30</v>
      </c>
      <c r="C14" s="21"/>
      <c r="F14" s="7">
        <f t="shared" si="14"/>
        <v>13</v>
      </c>
      <c r="G14">
        <f t="shared" si="0"/>
        <v>1.4556283985137008</v>
      </c>
      <c r="H14">
        <v>1.0117824931366179</v>
      </c>
      <c r="I14">
        <f t="shared" si="7"/>
        <v>3.7194800693753631</v>
      </c>
      <c r="J14">
        <f t="shared" si="8"/>
        <v>0.15019399450873253</v>
      </c>
      <c r="K14">
        <f t="shared" si="1"/>
        <v>8.0687246806737334E-2</v>
      </c>
      <c r="L14">
        <f t="shared" si="2"/>
        <v>8.0722397181695479E-6</v>
      </c>
      <c r="M14">
        <f t="shared" si="3"/>
        <v>0.67176410199341619</v>
      </c>
      <c r="N14">
        <f t="shared" si="9"/>
        <v>0.31363008678613447</v>
      </c>
      <c r="O14">
        <f t="shared" si="10"/>
        <v>1.0138527332471206</v>
      </c>
      <c r="P14">
        <f t="shared" si="4"/>
        <v>2.2757323259722555</v>
      </c>
      <c r="Q14">
        <f t="shared" si="5"/>
        <v>-4.5861848655267602E-4</v>
      </c>
      <c r="R14">
        <f t="shared" si="11"/>
        <v>2.2556683583321302E-3</v>
      </c>
      <c r="S14">
        <f t="shared" si="15"/>
        <v>5.0880397427807676E-6</v>
      </c>
      <c r="T14">
        <f t="shared" ca="1" si="12"/>
        <v>-0.10100340678946214</v>
      </c>
      <c r="U14">
        <v>0</v>
      </c>
      <c r="V14">
        <v>1.05</v>
      </c>
      <c r="W14">
        <f t="shared" si="13"/>
        <v>0.51663889875323055</v>
      </c>
      <c r="X14">
        <f t="shared" si="6"/>
        <v>3.4059095549213594</v>
      </c>
    </row>
    <row r="15" spans="1:24" ht="15.75" thickBot="1" x14ac:dyDescent="0.3">
      <c r="F15" s="7">
        <f t="shared" si="14"/>
        <v>14</v>
      </c>
      <c r="G15">
        <f t="shared" si="0"/>
        <v>1.4556283985137008</v>
      </c>
      <c r="H15">
        <v>1.0095996547611799</v>
      </c>
      <c r="I15">
        <f t="shared" si="7"/>
        <v>3.7208948611090809</v>
      </c>
      <c r="J15">
        <f t="shared" si="8"/>
        <v>0.14996939359358427</v>
      </c>
      <c r="K15">
        <f t="shared" si="1"/>
        <v>8.5224445902759446E-2</v>
      </c>
      <c r="L15">
        <f t="shared" si="2"/>
        <v>5.1803950894152434E-6</v>
      </c>
      <c r="M15">
        <f t="shared" si="3"/>
        <v>0.70983557398698904</v>
      </c>
      <c r="N15">
        <f t="shared" si="9"/>
        <v>0.33674144515315924</v>
      </c>
      <c r="O15">
        <f t="shared" si="10"/>
        <v>1.0659562813488455</v>
      </c>
      <c r="P15">
        <f t="shared" si="4"/>
        <v>2.2237983750642982</v>
      </c>
      <c r="Q15">
        <f t="shared" si="5"/>
        <v>-3.6698144535791797E-4</v>
      </c>
      <c r="R15">
        <f t="shared" si="11"/>
        <v>2.3687156491210004E-3</v>
      </c>
      <c r="S15">
        <f t="shared" si="15"/>
        <v>5.6108138263907224E-6</v>
      </c>
      <c r="T15">
        <f t="shared" ca="1" si="12"/>
        <v>8.1139706149226509E-3</v>
      </c>
      <c r="U15">
        <v>0</v>
      </c>
      <c r="V15">
        <v>1.05</v>
      </c>
      <c r="W15">
        <f t="shared" si="13"/>
        <v>0.55078891466644231</v>
      </c>
      <c r="X15">
        <f t="shared" si="6"/>
        <v>2.9966562886179227</v>
      </c>
    </row>
    <row r="16" spans="1:24" ht="15.75" thickBot="1" x14ac:dyDescent="0.3">
      <c r="A16" s="4" t="s">
        <v>23</v>
      </c>
      <c r="B16" s="14" t="s">
        <v>19</v>
      </c>
      <c r="C16" s="15"/>
      <c r="F16" s="7">
        <f t="shared" si="14"/>
        <v>15</v>
      </c>
      <c r="G16">
        <f t="shared" si="0"/>
        <v>1.4556283985137008</v>
      </c>
      <c r="H16">
        <v>1.0118018519953023</v>
      </c>
      <c r="I16">
        <f t="shared" si="7"/>
        <v>3.722028460258302</v>
      </c>
      <c r="J16">
        <f t="shared" si="8"/>
        <v>0.15029957612572623</v>
      </c>
      <c r="K16">
        <f t="shared" si="1"/>
        <v>8.0367085214161582E-2</v>
      </c>
      <c r="L16">
        <f t="shared" si="2"/>
        <v>8.1083429664837322E-6</v>
      </c>
      <c r="M16">
        <f t="shared" si="3"/>
        <v>0.66960287832138854</v>
      </c>
      <c r="N16">
        <f t="shared" si="9"/>
        <v>0.31223788562807503</v>
      </c>
      <c r="O16">
        <f t="shared" si="10"/>
        <v>1.0108870231559595</v>
      </c>
      <c r="P16">
        <f t="shared" si="4"/>
        <v>2.2795390229123673</v>
      </c>
      <c r="Q16">
        <f t="shared" si="5"/>
        <v>-4.5948966261282956E-4</v>
      </c>
      <c r="R16">
        <f t="shared" si="11"/>
        <v>2.002979639339042E-3</v>
      </c>
      <c r="S16">
        <f t="shared" si="15"/>
        <v>4.0119274356067587E-6</v>
      </c>
      <c r="T16">
        <f t="shared" ca="1" si="12"/>
        <v>7.0150310944721364E-2</v>
      </c>
      <c r="U16">
        <v>0</v>
      </c>
      <c r="V16">
        <v>1.05</v>
      </c>
      <c r="W16">
        <f t="shared" si="13"/>
        <v>0.51461196721011981</v>
      </c>
      <c r="X16">
        <f t="shared" si="6"/>
        <v>3.432792494476077</v>
      </c>
    </row>
    <row r="17" spans="1:24" ht="15.75" thickBot="1" x14ac:dyDescent="0.3">
      <c r="A17" s="10" t="s">
        <v>24</v>
      </c>
      <c r="B17" s="11">
        <f>Ac* alpha*kbar^(rhoc-1)*yhat1 - Delta</f>
        <v>4.0088585194104416E-2</v>
      </c>
      <c r="C17" s="13"/>
      <c r="F17" s="7">
        <f t="shared" si="14"/>
        <v>16</v>
      </c>
      <c r="G17">
        <f t="shared" si="0"/>
        <v>1.4556283985137008</v>
      </c>
      <c r="H17">
        <v>1.0090664595768495</v>
      </c>
      <c r="I17">
        <f t="shared" si="7"/>
        <v>3.7234468979736959</v>
      </c>
      <c r="J17">
        <f t="shared" si="8"/>
        <v>0.15000599242962595</v>
      </c>
      <c r="K17">
        <f t="shared" si="1"/>
        <v>8.5493624671656374E-2</v>
      </c>
      <c r="L17">
        <f t="shared" si="2"/>
        <v>4.596035252996614E-6</v>
      </c>
      <c r="M17">
        <f t="shared" si="3"/>
        <v>0.71261481515633873</v>
      </c>
      <c r="N17">
        <f t="shared" si="9"/>
        <v>0.33835041866904159</v>
      </c>
      <c r="O17">
        <f t="shared" si="10"/>
        <v>1.0697497630505595</v>
      </c>
      <c r="P17">
        <f t="shared" si="4"/>
        <v>2.2208300921458468</v>
      </c>
      <c r="Q17">
        <f t="shared" si="5"/>
        <v>-3.4546909981897811E-4</v>
      </c>
      <c r="R17">
        <f t="shared" si="11"/>
        <v>2.0953390487172818E-3</v>
      </c>
      <c r="S17">
        <f t="shared" si="15"/>
        <v>4.3904457290794438E-6</v>
      </c>
      <c r="T17">
        <f t="shared" ca="1" si="12"/>
        <v>6.7040803859778439E-2</v>
      </c>
      <c r="U17">
        <v>0</v>
      </c>
      <c r="V17">
        <v>1.05</v>
      </c>
      <c r="W17">
        <f t="shared" si="13"/>
        <v>0.55324057057854104</v>
      </c>
      <c r="X17">
        <f t="shared" si="6"/>
        <v>2.9701560929072826</v>
      </c>
    </row>
    <row r="18" spans="1:24" ht="15.75" thickBot="1" x14ac:dyDescent="0.3">
      <c r="A18" s="3" t="s">
        <v>25</v>
      </c>
      <c r="B18" s="3">
        <f>1/(1+Interest)</f>
        <v>0.96145656652253042</v>
      </c>
      <c r="D18" s="22"/>
      <c r="F18" s="7">
        <f t="shared" si="14"/>
        <v>17</v>
      </c>
      <c r="G18">
        <f t="shared" si="0"/>
        <v>1.4556283985137008</v>
      </c>
      <c r="H18">
        <v>1.0113531463408936</v>
      </c>
      <c r="I18">
        <f t="shared" si="7"/>
        <v>3.7245150144843735</v>
      </c>
      <c r="J18">
        <f t="shared" si="8"/>
        <v>0.15034697050312254</v>
      </c>
      <c r="K18">
        <f t="shared" si="1"/>
        <v>8.0008273210768824E-2</v>
      </c>
      <c r="L18">
        <f t="shared" si="2"/>
        <v>7.5189659375575585E-6</v>
      </c>
      <c r="M18">
        <f t="shared" si="3"/>
        <v>0.66710321765586811</v>
      </c>
      <c r="N18">
        <f t="shared" si="9"/>
        <v>0.31064668982118498</v>
      </c>
      <c r="O18">
        <f t="shared" si="10"/>
        <v>1.0074558118237473</v>
      </c>
      <c r="P18">
        <f t="shared" si="4"/>
        <v>2.2838286072697382</v>
      </c>
      <c r="Q18">
        <f t="shared" si="5"/>
        <v>-4.4224895537511871E-4</v>
      </c>
      <c r="R18">
        <f t="shared" si="11"/>
        <v>1.7604619177227221E-3</v>
      </c>
      <c r="S18">
        <f t="shared" si="15"/>
        <v>3.0992261637519641E-6</v>
      </c>
      <c r="T18">
        <f t="shared" ca="1" si="12"/>
        <v>-0.10559686934785553</v>
      </c>
      <c r="U18">
        <v>0</v>
      </c>
      <c r="V18">
        <v>1.05</v>
      </c>
      <c r="W18">
        <f t="shared" si="13"/>
        <v>0.51235476191876894</v>
      </c>
      <c r="X18">
        <f t="shared" si="6"/>
        <v>3.4631058094134017</v>
      </c>
    </row>
    <row r="19" spans="1:24" ht="15.75" thickBot="1" x14ac:dyDescent="0.3">
      <c r="A19" s="4" t="s">
        <v>26</v>
      </c>
      <c r="B19" s="6" t="s">
        <v>27</v>
      </c>
      <c r="C19" s="23"/>
      <c r="D19" s="22" t="e">
        <f>_PK1</f>
        <v>#NAME?</v>
      </c>
      <c r="F19" s="7">
        <f t="shared" si="14"/>
        <v>18</v>
      </c>
      <c r="G19">
        <f t="shared" si="0"/>
        <v>1.4556283985137008</v>
      </c>
      <c r="H19">
        <v>1.0080419251906871</v>
      </c>
      <c r="I19">
        <f t="shared" si="7"/>
        <v>3.7258813844081211</v>
      </c>
      <c r="J19">
        <f t="shared" si="8"/>
        <v>0.14997900961664409</v>
      </c>
      <c r="K19">
        <f t="shared" si="1"/>
        <v>8.5803465051327035E-2</v>
      </c>
      <c r="L19">
        <f t="shared" si="2"/>
        <v>3.5857504878489202E-6</v>
      </c>
      <c r="M19">
        <f t="shared" si="3"/>
        <v>0.71571181992942978</v>
      </c>
      <c r="N19">
        <f t="shared" si="9"/>
        <v>0.34016064112429184</v>
      </c>
      <c r="O19">
        <f t="shared" si="10"/>
        <v>1.0739753872978872</v>
      </c>
      <c r="P19">
        <f t="shared" si="4"/>
        <v>2.2174283645879735</v>
      </c>
      <c r="Q19">
        <f t="shared" si="5"/>
        <v>-3.0491868142265896E-4</v>
      </c>
      <c r="R19">
        <f t="shared" si="11"/>
        <v>1.8573118040159375E-3</v>
      </c>
      <c r="S19">
        <f t="shared" si="15"/>
        <v>3.4496071373369365E-6</v>
      </c>
      <c r="T19">
        <f t="shared" ca="1" si="12"/>
        <v>6.4665842901818774E-2</v>
      </c>
      <c r="U19">
        <v>0</v>
      </c>
      <c r="V19">
        <v>1.05</v>
      </c>
      <c r="W19">
        <f t="shared" si="13"/>
        <v>0.55605277821439936</v>
      </c>
      <c r="X19">
        <f t="shared" si="6"/>
        <v>2.9401892469118449</v>
      </c>
    </row>
    <row r="20" spans="1:24" ht="15.75" thickBot="1" x14ac:dyDescent="0.3">
      <c r="A20" s="8" t="s">
        <v>28</v>
      </c>
      <c r="B20" s="24">
        <v>1</v>
      </c>
      <c r="C20" s="25"/>
      <c r="D20" s="26" t="e">
        <f>((R_1)/Alpha1)^(1/(Alpha1-1))</f>
        <v>#REF!</v>
      </c>
      <c r="F20" s="7">
        <f t="shared" si="14"/>
        <v>19</v>
      </c>
      <c r="G20">
        <f t="shared" si="0"/>
        <v>1.4556283985137008</v>
      </c>
      <c r="H20">
        <v>1.0104770279041357</v>
      </c>
      <c r="I20">
        <f t="shared" si="7"/>
        <v>3.7268251386484401</v>
      </c>
      <c r="J20">
        <f t="shared" si="8"/>
        <v>0.15033646081738963</v>
      </c>
      <c r="K20">
        <f t="shared" si="1"/>
        <v>7.9609060578602842E-2</v>
      </c>
      <c r="L20">
        <f t="shared" si="2"/>
        <v>6.4249830495353944E-6</v>
      </c>
      <c r="M20">
        <f t="shared" si="3"/>
        <v>0.66422750112635975</v>
      </c>
      <c r="N20">
        <f t="shared" si="9"/>
        <v>0.30883880856660539</v>
      </c>
      <c r="O20">
        <f t="shared" si="10"/>
        <v>1.0035069532302454</v>
      </c>
      <c r="P20">
        <f t="shared" si="4"/>
        <v>2.2886304615738942</v>
      </c>
      <c r="Q20">
        <f t="shared" si="5"/>
        <v>-4.0854380126461632E-4</v>
      </c>
      <c r="R20">
        <f t="shared" si="11"/>
        <v>1.5601088243957228E-3</v>
      </c>
      <c r="S20">
        <f t="shared" si="15"/>
        <v>2.4339395439574044E-6</v>
      </c>
      <c r="T20">
        <f t="shared" ca="1" si="12"/>
        <v>-2.5811602630060739E-2</v>
      </c>
      <c r="U20">
        <v>0</v>
      </c>
      <c r="V20">
        <v>1.05</v>
      </c>
      <c r="W20">
        <f t="shared" si="13"/>
        <v>0.50983145955673026</v>
      </c>
      <c r="X20">
        <f t="shared" si="6"/>
        <v>3.4974704508523309</v>
      </c>
    </row>
    <row r="21" spans="1:24" ht="15.75" thickBot="1" x14ac:dyDescent="0.3">
      <c r="A21" s="10" t="s">
        <v>29</v>
      </c>
      <c r="B21" s="27">
        <v>3.71</v>
      </c>
      <c r="C21" s="28"/>
      <c r="F21" s="7">
        <f t="shared" si="14"/>
        <v>20</v>
      </c>
      <c r="G21">
        <f t="shared" si="0"/>
        <v>1.4556283985137008</v>
      </c>
      <c r="H21">
        <v>1.0065408571498886</v>
      </c>
      <c r="I21">
        <f t="shared" si="7"/>
        <v>3.728088593919892</v>
      </c>
      <c r="J21">
        <f t="shared" si="8"/>
        <v>0.14988555990775471</v>
      </c>
      <c r="K21">
        <f t="shared" si="1"/>
        <v>8.6161809558537555E-2</v>
      </c>
      <c r="L21">
        <f t="shared" si="2"/>
        <v>2.3363257056286911E-6</v>
      </c>
      <c r="M21">
        <f t="shared" si="3"/>
        <v>0.71916922391777516</v>
      </c>
      <c r="N21">
        <f t="shared" si="9"/>
        <v>0.34220337670235229</v>
      </c>
      <c r="O21">
        <f t="shared" si="10"/>
        <v>1.0786907855427859</v>
      </c>
      <c r="P21">
        <f t="shared" si="4"/>
        <v>2.2135138857935681</v>
      </c>
      <c r="Q21">
        <f t="shared" si="5"/>
        <v>-2.4590502177217319E-4</v>
      </c>
      <c r="R21">
        <f t="shared" si="11"/>
        <v>1.6357405940852221E-3</v>
      </c>
      <c r="S21">
        <f t="shared" si="15"/>
        <v>2.6756472911382751E-6</v>
      </c>
      <c r="T21">
        <f t="shared" ca="1" si="12"/>
        <v>-2.3871574669668022E-2</v>
      </c>
      <c r="U21">
        <v>0</v>
      </c>
      <c r="V21">
        <v>1.05</v>
      </c>
      <c r="W21">
        <f t="shared" si="13"/>
        <v>0.55926551416669901</v>
      </c>
      <c r="X21">
        <f t="shared" si="6"/>
        <v>2.9065060687354145</v>
      </c>
    </row>
    <row r="22" spans="1:24" ht="15.75" thickBot="1" x14ac:dyDescent="0.3">
      <c r="A22" s="3" t="s">
        <v>30</v>
      </c>
      <c r="B22" s="3">
        <v>0.33</v>
      </c>
      <c r="F22" s="7">
        <f t="shared" si="14"/>
        <v>21</v>
      </c>
      <c r="G22">
        <f t="shared" si="0"/>
        <v>1.4556283985137008</v>
      </c>
      <c r="H22">
        <v>1.0092062220387368</v>
      </c>
      <c r="I22">
        <f t="shared" si="7"/>
        <v>3.7288506100708507</v>
      </c>
      <c r="J22">
        <f t="shared" si="8"/>
        <v>0.15026759746931931</v>
      </c>
      <c r="K22">
        <f t="shared" si="1"/>
        <v>7.9166898046966541E-2</v>
      </c>
      <c r="L22">
        <f t="shared" si="2"/>
        <v>4.9883131723712673E-6</v>
      </c>
      <c r="M22">
        <f t="shared" si="3"/>
        <v>0.6609331685825155</v>
      </c>
      <c r="N22">
        <f t="shared" si="9"/>
        <v>0.30679351060626259</v>
      </c>
      <c r="O22">
        <f t="shared" si="10"/>
        <v>0.9989813512345237</v>
      </c>
      <c r="P22">
        <f t="shared" si="4"/>
        <v>2.2939853380989654</v>
      </c>
      <c r="Q22">
        <f t="shared" si="5"/>
        <v>-3.5970226035126902E-4</v>
      </c>
      <c r="R22">
        <f t="shared" si="11"/>
        <v>1.4161461171515732E-3</v>
      </c>
      <c r="S22">
        <f t="shared" si="15"/>
        <v>2.0054698251234773E-6</v>
      </c>
      <c r="T22">
        <f t="shared" ca="1" si="12"/>
        <v>8.4447870581855447E-2</v>
      </c>
      <c r="U22">
        <v>0</v>
      </c>
      <c r="V22">
        <v>1.05</v>
      </c>
      <c r="W22">
        <f t="shared" si="13"/>
        <v>0.50700266765090141</v>
      </c>
      <c r="X22">
        <f t="shared" si="6"/>
        <v>3.5366071937658026</v>
      </c>
    </row>
    <row r="23" spans="1:24" ht="15.75" thickBot="1" x14ac:dyDescent="0.3">
      <c r="A23" s="4" t="s">
        <v>31</v>
      </c>
      <c r="B23" s="14">
        <f>1</f>
        <v>1</v>
      </c>
      <c r="C23" s="15"/>
      <c r="F23" s="7">
        <f t="shared" si="14"/>
        <v>22</v>
      </c>
      <c r="G23">
        <f t="shared" si="0"/>
        <v>1.4556283985137008</v>
      </c>
      <c r="H23">
        <v>1.0046238476305356</v>
      </c>
      <c r="I23">
        <f t="shared" si="7"/>
        <v>3.7299641831373358</v>
      </c>
      <c r="J23">
        <f t="shared" si="8"/>
        <v>0.14972874563810062</v>
      </c>
      <c r="K23">
        <f t="shared" si="1"/>
        <v>8.6577369894904707E-2</v>
      </c>
      <c r="L23">
        <f t="shared" si="2"/>
        <v>1.1303957465453614E-6</v>
      </c>
      <c r="M23">
        <f t="shared" si="3"/>
        <v>0.72303771563228847</v>
      </c>
      <c r="N23">
        <f t="shared" si="9"/>
        <v>0.34451501817583496</v>
      </c>
      <c r="O23">
        <f t="shared" si="10"/>
        <v>1.0839644059685483</v>
      </c>
      <c r="P23">
        <f t="shared" si="4"/>
        <v>2.209000702552542</v>
      </c>
      <c r="Q23">
        <f t="shared" si="5"/>
        <v>-1.7087144529604655E-4</v>
      </c>
      <c r="R23">
        <f t="shared" si="11"/>
        <v>1.4645516140086023E-3</v>
      </c>
      <c r="S23">
        <f t="shared" si="15"/>
        <v>2.144911430095202E-6</v>
      </c>
      <c r="T23">
        <f t="shared" ca="1" si="12"/>
        <v>-3.4657115783546195E-2</v>
      </c>
      <c r="U23">
        <v>0</v>
      </c>
      <c r="V23">
        <v>1.05</v>
      </c>
      <c r="W23">
        <f t="shared" si="13"/>
        <v>0.56291839890072382</v>
      </c>
      <c r="X23">
        <f t="shared" si="6"/>
        <v>2.8689067173071607</v>
      </c>
    </row>
    <row r="24" spans="1:24" ht="15.75" thickBot="1" x14ac:dyDescent="0.3">
      <c r="A24" s="8" t="s">
        <v>53</v>
      </c>
      <c r="B24" s="29">
        <f>(ybar - Delta*kbar - tauw * lbar *mpl - tauk * mpk *kbar)/(1+tauc)</f>
        <v>0.51002339110365957</v>
      </c>
      <c r="C24" s="30"/>
      <c r="F24" s="7">
        <f t="shared" si="14"/>
        <v>23</v>
      </c>
      <c r="G24">
        <f t="shared" si="0"/>
        <v>1.4556283985137008</v>
      </c>
      <c r="H24">
        <v>1.0075266927263162</v>
      </c>
      <c r="I24">
        <f t="shared" si="7"/>
        <v>3.7304943614499431</v>
      </c>
      <c r="J24">
        <f t="shared" si="8"/>
        <v>0.1501343771350481</v>
      </c>
      <c r="K24">
        <f t="shared" si="1"/>
        <v>7.867929166414174E-2</v>
      </c>
      <c r="L24">
        <f t="shared" si="2"/>
        <v>3.3634874194364975E-6</v>
      </c>
      <c r="M24">
        <f t="shared" si="3"/>
        <v>0.65718085622297862</v>
      </c>
      <c r="N24">
        <f t="shared" si="9"/>
        <v>0.30449177600675259</v>
      </c>
      <c r="O24">
        <f t="shared" si="10"/>
        <v>0.99382409839672903</v>
      </c>
      <c r="P24">
        <f t="shared" si="4"/>
        <v>2.2999354979795661</v>
      </c>
      <c r="Q24">
        <f t="shared" si="5"/>
        <v>-2.9510477518909876E-4</v>
      </c>
      <c r="R24">
        <f t="shared" si="11"/>
        <v>1.2520328949192638E-3</v>
      </c>
      <c r="S24">
        <f t="shared" si="15"/>
        <v>1.5675863699599124E-6</v>
      </c>
      <c r="T24">
        <f t="shared" ca="1" si="12"/>
        <v>-0.10037348064558822</v>
      </c>
      <c r="U24">
        <v>0</v>
      </c>
      <c r="V24">
        <v>1.05</v>
      </c>
      <c r="W24">
        <f t="shared" si="13"/>
        <v>0.50383858242947299</v>
      </c>
      <c r="X24">
        <f t="shared" si="6"/>
        <v>3.5811661605086855</v>
      </c>
    </row>
    <row r="25" spans="1:24" ht="15.75" thickBot="1" x14ac:dyDescent="0.3">
      <c r="A25" s="31"/>
      <c r="B25" s="32"/>
      <c r="C25" s="33"/>
      <c r="F25" s="7">
        <f t="shared" si="14"/>
        <v>24</v>
      </c>
      <c r="G25">
        <f t="shared" si="0"/>
        <v>1.4556283985137008</v>
      </c>
      <c r="H25">
        <v>1.0022437693288577</v>
      </c>
      <c r="I25">
        <f t="shared" si="7"/>
        <v>3.7314089641269934</v>
      </c>
      <c r="J25">
        <f t="shared" si="8"/>
        <v>0.14949878675232098</v>
      </c>
      <c r="K25">
        <f t="shared" si="1"/>
        <v>8.7057940321646682E-2</v>
      </c>
      <c r="L25">
        <f t="shared" si="2"/>
        <v>2.3625697370922048E-7</v>
      </c>
      <c r="M25">
        <f t="shared" si="3"/>
        <v>0.7273609134952459</v>
      </c>
      <c r="N25">
        <f t="shared" si="9"/>
        <v>0.34712787589292216</v>
      </c>
      <c r="O25">
        <f t="shared" si="10"/>
        <v>1.089854859081185</v>
      </c>
      <c r="P25">
        <f t="shared" si="4"/>
        <v>2.2038163261844734</v>
      </c>
      <c r="Q25">
        <f t="shared" si="5"/>
        <v>-7.8026848427029588E-5</v>
      </c>
      <c r="R25">
        <f t="shared" si="11"/>
        <v>1.3200542360645162E-3</v>
      </c>
      <c r="S25">
        <f t="shared" si="15"/>
        <v>1.7425431861518734E-6</v>
      </c>
      <c r="T25">
        <f t="shared" ca="1" si="12"/>
        <v>-2.0637306467144088E-3</v>
      </c>
      <c r="U25">
        <v>0</v>
      </c>
      <c r="V25">
        <v>1.05</v>
      </c>
      <c r="W25">
        <f t="shared" si="13"/>
        <v>0.56706117688579771</v>
      </c>
      <c r="X25">
        <f t="shared" si="6"/>
        <v>2.8271411051676152</v>
      </c>
    </row>
    <row r="26" spans="1:24" ht="15.75" thickBot="1" x14ac:dyDescent="0.3">
      <c r="F26" s="7">
        <f t="shared" si="14"/>
        <v>25</v>
      </c>
      <c r="G26">
        <f t="shared" si="0"/>
        <v>1.4556283985137008</v>
      </c>
      <c r="H26">
        <v>1.0054595494979808</v>
      </c>
      <c r="I26">
        <f t="shared" si="7"/>
        <v>3.7316513923142347</v>
      </c>
      <c r="J26">
        <f t="shared" si="8"/>
        <v>0.14993541896297508</v>
      </c>
      <c r="K26">
        <f t="shared" si="1"/>
        <v>7.8143307714639662E-2</v>
      </c>
      <c r="L26">
        <f t="shared" si="2"/>
        <v>1.8010009805216014E-6</v>
      </c>
      <c r="M26">
        <f t="shared" si="3"/>
        <v>0.65292665471693723</v>
      </c>
      <c r="N26">
        <f t="shared" si="9"/>
        <v>0.30191234206473538</v>
      </c>
      <c r="O26">
        <f t="shared" si="10"/>
        <v>0.98797379938485064</v>
      </c>
      <c r="P26">
        <f t="shared" si="4"/>
        <v>2.3065311328086135</v>
      </c>
      <c r="Q26">
        <f t="shared" si="5"/>
        <v>-2.1573208234976056E-4</v>
      </c>
      <c r="R26">
        <f t="shared" si="11"/>
        <v>1.1325028184721031E-3</v>
      </c>
      <c r="S26">
        <f t="shared" si="15"/>
        <v>1.2825626338472573E-6</v>
      </c>
      <c r="T26">
        <f t="shared" ca="1" si="12"/>
        <v>7.9211480195868253E-2</v>
      </c>
      <c r="U26">
        <v>0</v>
      </c>
      <c r="V26">
        <v>1.05</v>
      </c>
      <c r="W26">
        <f t="shared" si="13"/>
        <v>0.50029951237686276</v>
      </c>
      <c r="X26">
        <f t="shared" si="6"/>
        <v>3.6320110040922367</v>
      </c>
    </row>
    <row r="27" spans="1:24" ht="15.75" thickBot="1" x14ac:dyDescent="0.3">
      <c r="A27" s="34"/>
      <c r="B27" s="35"/>
      <c r="F27" s="7">
        <f t="shared" si="14"/>
        <v>26</v>
      </c>
      <c r="G27">
        <f t="shared" si="0"/>
        <v>1.4556283985137008</v>
      </c>
      <c r="H27">
        <v>0.99937419900857161</v>
      </c>
      <c r="I27">
        <f t="shared" si="7"/>
        <v>3.7323207555846403</v>
      </c>
      <c r="J27">
        <f t="shared" si="8"/>
        <v>0.14918821332120355</v>
      </c>
      <c r="K27">
        <f t="shared" si="1"/>
        <v>8.7613291880620447E-2</v>
      </c>
      <c r="L27">
        <f t="shared" si="2"/>
        <v>4.3986156089851645E-8</v>
      </c>
      <c r="M27">
        <f t="shared" si="3"/>
        <v>0.73219758152570757</v>
      </c>
      <c r="N27">
        <f t="shared" si="9"/>
        <v>0.35008432438026732</v>
      </c>
      <c r="O27">
        <f t="shared" si="10"/>
        <v>1.0964411563614065</v>
      </c>
      <c r="P27">
        <f t="shared" si="4"/>
        <v>2.1978711842421506</v>
      </c>
      <c r="Q27">
        <f t="shared" si="5"/>
        <v>3.3624199172751915E-5</v>
      </c>
      <c r="R27">
        <f t="shared" si="11"/>
        <v>1.1651876961940033E-3</v>
      </c>
      <c r="S27">
        <f t="shared" si="15"/>
        <v>1.357662367361889E-6</v>
      </c>
      <c r="T27">
        <f t="shared" ca="1" si="12"/>
        <v>8.7410039420290058E-3</v>
      </c>
      <c r="U27">
        <v>0</v>
      </c>
      <c r="V27">
        <v>1.05</v>
      </c>
      <c r="W27">
        <f t="shared" si="13"/>
        <v>0.5717540140797982</v>
      </c>
      <c r="X27">
        <f t="shared" si="6"/>
        <v>2.7809223994207728</v>
      </c>
    </row>
    <row r="28" spans="1:24" ht="15.75" thickBot="1" x14ac:dyDescent="0.3">
      <c r="A28" s="8"/>
      <c r="B28" s="36"/>
      <c r="F28" s="7">
        <f t="shared" si="14"/>
        <v>27</v>
      </c>
      <c r="G28">
        <f t="shared" si="0"/>
        <v>1.4556283985137008</v>
      </c>
      <c r="H28">
        <v>1.0029203246896981</v>
      </c>
      <c r="I28">
        <f t="shared" si="7"/>
        <v>3.7322161386824582</v>
      </c>
      <c r="J28">
        <f t="shared" si="8"/>
        <v>0.14965614983846581</v>
      </c>
      <c r="K28">
        <f t="shared" si="1"/>
        <v>7.755511014750853E-2</v>
      </c>
      <c r="L28">
        <f t="shared" si="2"/>
        <v>5.428118268393596E-7</v>
      </c>
      <c r="M28">
        <f t="shared" si="3"/>
        <v>0.64811984571044678</v>
      </c>
      <c r="N28">
        <f t="shared" si="9"/>
        <v>0.29903015041722059</v>
      </c>
      <c r="O28">
        <f t="shared" si="10"/>
        <v>0.98135939251690452</v>
      </c>
      <c r="P28">
        <f t="shared" si="4"/>
        <v>2.3138367747255493</v>
      </c>
      <c r="Q28">
        <f t="shared" si="5"/>
        <v>-1.1830717858255599E-4</v>
      </c>
      <c r="R28">
        <f t="shared" si="11"/>
        <v>9.9917672078930764E-4</v>
      </c>
      <c r="S28">
        <f t="shared" si="15"/>
        <v>9.9835411936727407E-7</v>
      </c>
      <c r="T28">
        <f t="shared" ca="1" si="12"/>
        <v>5.7525572889084331E-2</v>
      </c>
      <c r="U28">
        <v>0</v>
      </c>
      <c r="V28">
        <v>1.05</v>
      </c>
      <c r="W28">
        <f t="shared" si="13"/>
        <v>0.49635558889107306</v>
      </c>
      <c r="X28">
        <f t="shared" si="6"/>
        <v>3.6899585032418027</v>
      </c>
    </row>
    <row r="29" spans="1:24" ht="15.75" thickBot="1" x14ac:dyDescent="0.3">
      <c r="A29" s="10" t="s">
        <v>32</v>
      </c>
      <c r="B29" s="37">
        <v>0.9</v>
      </c>
      <c r="F29" s="7">
        <f t="shared" si="14"/>
        <v>28</v>
      </c>
      <c r="G29">
        <f t="shared" si="0"/>
        <v>1.4556283985137008</v>
      </c>
      <c r="H29">
        <v>0.99596490458939313</v>
      </c>
      <c r="I29">
        <f t="shared" si="7"/>
        <v>3.7325836429736254</v>
      </c>
      <c r="J29">
        <f t="shared" si="8"/>
        <v>0.14878665060687865</v>
      </c>
      <c r="K29">
        <f t="shared" si="1"/>
        <v>8.8252965288731666E-2</v>
      </c>
      <c r="L29">
        <f t="shared" si="2"/>
        <v>1.0728781898933698E-6</v>
      </c>
      <c r="M29">
        <f t="shared" si="3"/>
        <v>0.73760057357032116</v>
      </c>
      <c r="N29">
        <f t="shared" si="9"/>
        <v>0.35342439831899203</v>
      </c>
      <c r="O29">
        <f t="shared" si="10"/>
        <v>1.1037939669370778</v>
      </c>
      <c r="P29">
        <f t="shared" si="4"/>
        <v>2.1910835696111173</v>
      </c>
      <c r="Q29">
        <f t="shared" si="5"/>
        <v>1.6582649325351536E-4</v>
      </c>
      <c r="R29">
        <f t="shared" si="11"/>
        <v>1.0455509731150947E-3</v>
      </c>
      <c r="S29">
        <f t="shared" si="15"/>
        <v>1.0931768373819216E-6</v>
      </c>
      <c r="T29">
        <f t="shared" ca="1" si="12"/>
        <v>8.5597865718851241E-3</v>
      </c>
      <c r="U29">
        <v>0</v>
      </c>
      <c r="V29">
        <v>1.05</v>
      </c>
      <c r="W29">
        <f t="shared" si="13"/>
        <v>0.57705556718939</v>
      </c>
      <c r="X29">
        <f t="shared" si="6"/>
        <v>2.7300590723201892</v>
      </c>
    </row>
    <row r="30" spans="1:24" ht="15.75" thickBot="1" x14ac:dyDescent="0.3">
      <c r="A30" s="3" t="s">
        <v>33</v>
      </c>
      <c r="B30" s="3">
        <v>0.01</v>
      </c>
      <c r="F30" s="7">
        <f t="shared" si="14"/>
        <v>29</v>
      </c>
      <c r="G30">
        <f t="shared" si="0"/>
        <v>1.3863127604892389</v>
      </c>
      <c r="H30">
        <v>1.0035797909151869</v>
      </c>
      <c r="I30">
        <f t="shared" si="7"/>
        <v>3.7320669478615587</v>
      </c>
      <c r="J30">
        <f t="shared" si="8"/>
        <v>0.1497487413527881</v>
      </c>
      <c r="K30">
        <f t="shared" si="1"/>
        <v>7.3249450435475413E-2</v>
      </c>
      <c r="L30">
        <f t="shared" si="2"/>
        <v>8.7303549847284636E-7</v>
      </c>
      <c r="M30">
        <f t="shared" si="3"/>
        <v>0.64271653626460545</v>
      </c>
      <c r="N30">
        <f t="shared" si="9"/>
        <v>0.2958250318008131</v>
      </c>
      <c r="O30">
        <f t="shared" si="10"/>
        <v>0.92754175600760369</v>
      </c>
      <c r="P30">
        <f t="shared" si="4"/>
        <v>2.2113405992256014</v>
      </c>
      <c r="Q30">
        <f t="shared" si="5"/>
        <v>-1.500908663523138E-4</v>
      </c>
      <c r="R30">
        <f t="shared" si="11"/>
        <v>9.080111795168877E-4</v>
      </c>
      <c r="S30">
        <f t="shared" si="15"/>
        <v>8.2448430212764969E-7</v>
      </c>
      <c r="T30">
        <f t="shared" ca="1" si="12"/>
        <v>7.7757429456208893E-2</v>
      </c>
      <c r="U30">
        <v>0</v>
      </c>
      <c r="V30">
        <f t="shared" ref="V3:V50" si="16">EXP(U30)</f>
        <v>1</v>
      </c>
      <c r="W30">
        <f t="shared" si="13"/>
        <v>0.46152816229515831</v>
      </c>
      <c r="X30">
        <f t="shared" si="6"/>
        <v>4.2678672406982958</v>
      </c>
    </row>
    <row r="31" spans="1:24" ht="15.75" thickBot="1" x14ac:dyDescent="0.3">
      <c r="A31" s="3" t="s">
        <v>46</v>
      </c>
      <c r="B31" s="3">
        <v>-0.1</v>
      </c>
      <c r="F31" s="7">
        <f t="shared" si="14"/>
        <v>30</v>
      </c>
      <c r="G31">
        <f t="shared" si="0"/>
        <v>1.3863127604892389</v>
      </c>
      <c r="H31">
        <v>0.99743429660577043</v>
      </c>
      <c r="I31">
        <f t="shared" si="7"/>
        <v>3.7325330112998847</v>
      </c>
      <c r="J31">
        <f t="shared" si="8"/>
        <v>0.14896349868660833</v>
      </c>
      <c r="K31">
        <f t="shared" si="1"/>
        <v>8.736182022494611E-2</v>
      </c>
      <c r="L31">
        <f t="shared" si="2"/>
        <v>4.5863041863424388E-7</v>
      </c>
      <c r="M31">
        <f t="shared" si="3"/>
        <v>0.76664875053096793</v>
      </c>
      <c r="N31">
        <f t="shared" si="9"/>
        <v>0.37158031374670941</v>
      </c>
      <c r="O31">
        <f t="shared" si="10"/>
        <v>1.0888019410186387</v>
      </c>
      <c r="P31">
        <f t="shared" si="4"/>
        <v>2.0526412053726184</v>
      </c>
      <c r="Q31">
        <f t="shared" si="5"/>
        <v>1.0848597636510568E-4</v>
      </c>
      <c r="R31">
        <f t="shared" si="11"/>
        <v>9.4066422963967611E-4</v>
      </c>
      <c r="S31">
        <f t="shared" si="15"/>
        <v>8.8484919292360527E-7</v>
      </c>
      <c r="T31">
        <f t="shared" ca="1" si="12"/>
        <v>-1.1537570232182789E-2</v>
      </c>
      <c r="U31">
        <v>0</v>
      </c>
      <c r="V31">
        <f t="shared" si="16"/>
        <v>1</v>
      </c>
      <c r="W31">
        <f t="shared" si="13"/>
        <v>0.5673631205283346</v>
      </c>
      <c r="X31">
        <f t="shared" si="6"/>
        <v>2.8241327667516183</v>
      </c>
    </row>
    <row r="32" spans="1:24" ht="15.75" thickBot="1" x14ac:dyDescent="0.3">
      <c r="A32" s="38" t="s">
        <v>34</v>
      </c>
      <c r="B32" s="39"/>
      <c r="C32" s="39"/>
      <c r="F32" s="7">
        <f t="shared" si="14"/>
        <v>31</v>
      </c>
      <c r="G32">
        <f t="shared" si="0"/>
        <v>1.3863127604892389</v>
      </c>
      <c r="H32">
        <v>1.0059124050304367</v>
      </c>
      <c r="I32">
        <f t="shared" si="7"/>
        <v>3.7321951895344974</v>
      </c>
      <c r="J32">
        <f t="shared" si="8"/>
        <v>0.15003692868373808</v>
      </c>
      <c r="K32">
        <f t="shared" si="1"/>
        <v>7.2360804873788764E-2</v>
      </c>
      <c r="L32">
        <f t="shared" si="2"/>
        <v>2.2554384115758661E-6</v>
      </c>
      <c r="M32">
        <f t="shared" si="3"/>
        <v>0.63494324531987745</v>
      </c>
      <c r="N32">
        <f t="shared" si="9"/>
        <v>0.29121819308539099</v>
      </c>
      <c r="O32">
        <f t="shared" si="10"/>
        <v>0.91733786111544002</v>
      </c>
      <c r="P32">
        <f t="shared" si="4"/>
        <v>2.2226400294464015</v>
      </c>
      <c r="Q32">
        <f t="shared" si="5"/>
        <v>-2.4146667456419451E-4</v>
      </c>
      <c r="R32">
        <f t="shared" si="11"/>
        <v>8.2507779531071357E-4</v>
      </c>
      <c r="S32">
        <f t="shared" si="15"/>
        <v>6.8075336831478777E-7</v>
      </c>
      <c r="T32">
        <f t="shared" ca="1" si="12"/>
        <v>-1.6189512524885014E-2</v>
      </c>
      <c r="U32">
        <v>0</v>
      </c>
      <c r="V32">
        <f t="shared" si="16"/>
        <v>1</v>
      </c>
      <c r="W32">
        <f t="shared" si="13"/>
        <v>0.45455100079643129</v>
      </c>
      <c r="X32">
        <f t="shared" si="6"/>
        <v>4.3998926265463103</v>
      </c>
    </row>
    <row r="33" spans="1:24" ht="15.75" thickBot="1" x14ac:dyDescent="0.3">
      <c r="A33" s="3" t="s">
        <v>35</v>
      </c>
      <c r="B33" s="3">
        <f>( alpha*kbar^(rhoc)+(1-alpha)*lbar^(rhoc))^(1/rhoc)</f>
        <v>0.72133794660239103</v>
      </c>
      <c r="F33" s="7">
        <f t="shared" si="14"/>
        <v>32</v>
      </c>
      <c r="G33">
        <f t="shared" si="0"/>
        <v>1.3863127604892389</v>
      </c>
      <c r="H33">
        <v>0.99856889049547837</v>
      </c>
      <c r="I33">
        <f t="shared" si="7"/>
        <v>3.7329443106368552</v>
      </c>
      <c r="J33">
        <f t="shared" si="8"/>
        <v>0.14910976824776415</v>
      </c>
      <c r="K33">
        <f t="shared" si="1"/>
        <v>8.8559223283425081E-2</v>
      </c>
      <c r="L33">
        <f t="shared" si="2"/>
        <v>1.7385367023110199E-7</v>
      </c>
      <c r="M33">
        <f t="shared" si="3"/>
        <v>0.77725083246998139</v>
      </c>
      <c r="N33">
        <f t="shared" si="9"/>
        <v>0.3782465988447164</v>
      </c>
      <c r="O33">
        <f t="shared" si="10"/>
        <v>1.1024817239902969</v>
      </c>
      <c r="P33">
        <f t="shared" si="4"/>
        <v>2.0407191436423373</v>
      </c>
      <c r="Q33">
        <f t="shared" si="5"/>
        <v>6.6818880440056239E-5</v>
      </c>
      <c r="R33">
        <f t="shared" si="11"/>
        <v>8.4659048649604607E-4</v>
      </c>
      <c r="S33">
        <f t="shared" si="15"/>
        <v>7.16715451825612E-7</v>
      </c>
      <c r="T33">
        <f t="shared" ca="1" si="12"/>
        <v>-2.6832873334221526E-2</v>
      </c>
      <c r="U33">
        <v>0</v>
      </c>
      <c r="V33">
        <f t="shared" si="16"/>
        <v>1</v>
      </c>
      <c r="W33">
        <f t="shared" si="13"/>
        <v>0.57608331631112786</v>
      </c>
      <c r="X33">
        <f t="shared" si="6"/>
        <v>2.7392818429757781</v>
      </c>
    </row>
    <row r="34" spans="1:24" ht="15.75" thickBot="1" x14ac:dyDescent="0.3">
      <c r="A34" s="3" t="s">
        <v>36</v>
      </c>
      <c r="B34" s="3">
        <f>1/yhat</f>
        <v>1.3863127604892389</v>
      </c>
      <c r="F34" s="7">
        <f t="shared" si="14"/>
        <v>33</v>
      </c>
      <c r="G34">
        <f t="shared" si="0"/>
        <v>1.3863127604892389</v>
      </c>
      <c r="H34">
        <v>1.0080273899885901</v>
      </c>
      <c r="I34">
        <f t="shared" si="7"/>
        <v>3.7327363064591452</v>
      </c>
      <c r="J34">
        <f t="shared" si="8"/>
        <v>0.15031663241837989</v>
      </c>
      <c r="K34">
        <f t="shared" ref="K34:K50" si="17">G34*(alpha*I34^(rhoc-1))*M34</f>
        <v>7.1339433895863447E-2</v>
      </c>
      <c r="L34">
        <f t="shared" ref="L34:L50" si="18">(Phi/2)*((J34-Delta*I34)/I34)^2*I34</f>
        <v>4.0764138882673601E-6</v>
      </c>
      <c r="M34">
        <f t="shared" ref="M34:M50" si="19">(alpha* I34^rhoc + (1-alpha)*N34^rhoc)^(1/rhoc-1)</f>
        <v>0.62608087227634324</v>
      </c>
      <c r="N34">
        <f t="shared" si="9"/>
        <v>0.28597588016103609</v>
      </c>
      <c r="O34">
        <f t="shared" si="10"/>
        <v>0.90569047136783809</v>
      </c>
      <c r="P34">
        <f t="shared" ref="P34:P50" si="20">G34*(1-alpha)*N34^(rhoc-1)*M34</f>
        <v>2.2358500165204629</v>
      </c>
      <c r="Q34">
        <f t="shared" ref="Q34:Q50" si="21">(Phi/2)*((J34-Delta*I34)/I34)^2 - Phi *((J34-Delta*I34)/I34)* (J34/I34)</f>
        <v>-3.2488033076612352E-4</v>
      </c>
      <c r="R34">
        <f t="shared" si="11"/>
        <v>7.4080620858218982E-4</v>
      </c>
      <c r="S34">
        <f t="shared" si="15"/>
        <v>5.4879383867391893E-7</v>
      </c>
      <c r="T34">
        <f t="shared" ca="1" si="12"/>
        <v>9.1206346153044668E-2</v>
      </c>
      <c r="U34">
        <v>0</v>
      </c>
      <c r="V34">
        <f t="shared" si="16"/>
        <v>1</v>
      </c>
      <c r="W34">
        <f t="shared" si="13"/>
        <v>0.44665435396042646</v>
      </c>
      <c r="X34">
        <f t="shared" ref="X34:X65" si="22">W34^(-sigma_c) /(1+tauc)</f>
        <v>4.556844105896019</v>
      </c>
    </row>
    <row r="35" spans="1:24" ht="15.75" thickBot="1" x14ac:dyDescent="0.3">
      <c r="A35" s="3" t="s">
        <v>55</v>
      </c>
      <c r="B35" s="3">
        <f>( alpha*kbar^(rhoc)+(1-alpha)*lbar^(rhoc))^(1/rhoc-1)</f>
        <v>0.69815629325111683</v>
      </c>
      <c r="F35" s="7">
        <f t="shared" si="14"/>
        <v>34</v>
      </c>
      <c r="G35">
        <f t="shared" si="0"/>
        <v>1.3863127604892389</v>
      </c>
      <c r="H35">
        <v>0.9992995689877876</v>
      </c>
      <c r="I35">
        <f t="shared" ref="I35:I50" si="23">(1-Delta)*I34+J34</f>
        <v>3.7337434866191592</v>
      </c>
      <c r="J35">
        <f t="shared" ref="J35:J50" si="24">Delta*I34+ (H35-1)*(I34/Phi)</f>
        <v>0.14922230144938398</v>
      </c>
      <c r="K35">
        <f t="shared" si="17"/>
        <v>8.9952420964397373E-2</v>
      </c>
      <c r="L35">
        <f t="shared" si="18"/>
        <v>6.524463111675719E-8</v>
      </c>
      <c r="M35">
        <f t="shared" si="19"/>
        <v>0.78966432299000855</v>
      </c>
      <c r="N35">
        <f t="shared" ref="N35:N50" si="25">(P34 *(1-tauw)*X34/gamma)^phiLL</f>
        <v>0.38607603627987802</v>
      </c>
      <c r="O35">
        <f t="shared" si="10"/>
        <v>1.1184772254185562</v>
      </c>
      <c r="P35">
        <f t="shared" si="20"/>
        <v>2.0271083568879411</v>
      </c>
      <c r="Q35">
        <f t="shared" si="21"/>
        <v>4.0940245192412094E-5</v>
      </c>
      <c r="R35">
        <f t="shared" ref="R35:R50" si="26">Beta *((1-Delta)*H35 + K35 - Q35)-H34</f>
        <v>7.704007800386492E-4</v>
      </c>
      <c r="S35">
        <f t="shared" si="15"/>
        <v>5.9351736188415914E-7</v>
      </c>
      <c r="T35">
        <f t="shared" ref="T35:T50" ca="1" si="27">_xlfn.NORM.INV(RAND(),0,sigma)</f>
        <v>-2.710640470012218E-2</v>
      </c>
      <c r="U35">
        <v>0</v>
      </c>
      <c r="V35">
        <f t="shared" si="16"/>
        <v>1</v>
      </c>
      <c r="W35">
        <f t="shared" ref="W35:W50" si="28" xml:space="preserve"> (O35 - J35 - tauw * P35*N35 - tauk * K35 * I35 *H35)/(1+tauc)</f>
        <v>0.58635912289618231</v>
      </c>
      <c r="X35">
        <f t="shared" si="22"/>
        <v>2.6441125760363171</v>
      </c>
    </row>
    <row r="36" spans="1:24" ht="15.75" thickBot="1" x14ac:dyDescent="0.3">
      <c r="A36" s="3" t="s">
        <v>38</v>
      </c>
      <c r="B36" s="3">
        <v>2</v>
      </c>
      <c r="F36" s="7">
        <f t="shared" si="14"/>
        <v>35</v>
      </c>
      <c r="G36">
        <f t="shared" si="0"/>
        <v>1.3863127604892389</v>
      </c>
      <c r="H36">
        <v>1.0099068123334873</v>
      </c>
      <c r="I36">
        <f t="shared" si="23"/>
        <v>3.7336160486037766</v>
      </c>
      <c r="J36">
        <f t="shared" si="24"/>
        <v>0.15058272266554359</v>
      </c>
      <c r="K36">
        <f t="shared" si="17"/>
        <v>7.0170827840330144E-2</v>
      </c>
      <c r="L36">
        <f t="shared" si="18"/>
        <v>6.1582813526999136E-6</v>
      </c>
      <c r="M36">
        <f t="shared" si="19"/>
        <v>0.61598474251360946</v>
      </c>
      <c r="N36">
        <f t="shared" si="25"/>
        <v>0.28002569226273072</v>
      </c>
      <c r="O36">
        <f t="shared" si="10"/>
        <v>0.89240332550774815</v>
      </c>
      <c r="P36">
        <f t="shared" si="20"/>
        <v>2.2512662729097088</v>
      </c>
      <c r="Q36">
        <f t="shared" si="21"/>
        <v>-3.9957379859175177E-4</v>
      </c>
      <c r="R36">
        <f t="shared" si="26"/>
        <v>6.9308191219963344E-4</v>
      </c>
      <c r="S36">
        <f t="shared" si="15"/>
        <v>4.803625370183004E-7</v>
      </c>
      <c r="T36">
        <f t="shared" ca="1" si="27"/>
        <v>5.3877690039542729E-2</v>
      </c>
      <c r="U36">
        <v>0</v>
      </c>
      <c r="V36">
        <f t="shared" si="16"/>
        <v>1</v>
      </c>
      <c r="W36">
        <f t="shared" si="28"/>
        <v>0.43771663678475592</v>
      </c>
      <c r="X36">
        <f t="shared" si="22"/>
        <v>4.744836015764041</v>
      </c>
    </row>
    <row r="37" spans="1:24" ht="15.75" thickBot="1" x14ac:dyDescent="0.3">
      <c r="A37" s="3" t="s">
        <v>39</v>
      </c>
      <c r="B37" s="3">
        <f>0.5</f>
        <v>0.5</v>
      </c>
      <c r="F37" s="7">
        <f t="shared" si="14"/>
        <v>36</v>
      </c>
      <c r="G37">
        <f t="shared" si="0"/>
        <v>1.3863127604892389</v>
      </c>
      <c r="H37">
        <v>0.99955732627205929</v>
      </c>
      <c r="I37">
        <f t="shared" si="23"/>
        <v>3.7348541293251687</v>
      </c>
      <c r="J37">
        <f t="shared" si="24"/>
        <v>0.14928954948631989</v>
      </c>
      <c r="K37">
        <f t="shared" si="17"/>
        <v>9.1583214548318859E-2</v>
      </c>
      <c r="L37">
        <f t="shared" si="18"/>
        <v>4.3955298608697074E-8</v>
      </c>
      <c r="M37">
        <f t="shared" si="19"/>
        <v>0.80424362455840681</v>
      </c>
      <c r="N37">
        <f t="shared" si="25"/>
        <v>0.39531515403863643</v>
      </c>
      <c r="O37">
        <f t="shared" si="10"/>
        <v>1.1372343589444724</v>
      </c>
      <c r="P37">
        <f t="shared" si="20"/>
        <v>2.0115201853205278</v>
      </c>
      <c r="Q37">
        <f t="shared" si="21"/>
        <v>3.3601009404960255E-5</v>
      </c>
      <c r="R37">
        <f t="shared" si="26"/>
        <v>7.0388152767719703E-4</v>
      </c>
      <c r="S37">
        <f t="shared" si="15"/>
        <v>4.9544920500518472E-7</v>
      </c>
      <c r="T37">
        <f t="shared" ca="1" si="27"/>
        <v>-4.9027826552638973E-2</v>
      </c>
      <c r="U37">
        <v>0</v>
      </c>
      <c r="V37">
        <f t="shared" si="16"/>
        <v>1</v>
      </c>
      <c r="W37">
        <f t="shared" si="28"/>
        <v>0.59849589610263521</v>
      </c>
      <c r="X37">
        <f t="shared" si="22"/>
        <v>2.5379611000204871</v>
      </c>
    </row>
    <row r="38" spans="1:24" ht="15.75" thickBot="1" x14ac:dyDescent="0.3">
      <c r="F38" s="7">
        <f t="shared" si="14"/>
        <v>37</v>
      </c>
      <c r="G38">
        <f t="shared" si="0"/>
        <v>1.3863127604892389</v>
      </c>
      <c r="H38">
        <v>1.011439056890548</v>
      </c>
      <c r="I38">
        <f t="shared" si="23"/>
        <v>3.7347495136384818</v>
      </c>
      <c r="J38">
        <f t="shared" si="24"/>
        <v>0.15081827213511503</v>
      </c>
      <c r="K38">
        <f t="shared" si="17"/>
        <v>6.883901783536639E-2</v>
      </c>
      <c r="L38">
        <f t="shared" si="18"/>
        <v>8.1933883011556364E-6</v>
      </c>
      <c r="M38">
        <f t="shared" si="19"/>
        <v>0.60449543784826576</v>
      </c>
      <c r="N38">
        <f t="shared" si="25"/>
        <v>0.27329022913344941</v>
      </c>
      <c r="O38">
        <f t="shared" si="10"/>
        <v>0.87725854962741889</v>
      </c>
      <c r="P38">
        <f t="shared" si="20"/>
        <v>2.2692434457457473</v>
      </c>
      <c r="Q38">
        <f t="shared" si="21"/>
        <v>-4.6111346678088188E-4</v>
      </c>
      <c r="R38">
        <f t="shared" si="26"/>
        <v>6.2827399864551214E-4</v>
      </c>
      <c r="S38">
        <f t="shared" si="15"/>
        <v>3.9472821737402098E-7</v>
      </c>
      <c r="T38">
        <f t="shared" ca="1" si="27"/>
        <v>-2.6756575886913742E-2</v>
      </c>
      <c r="U38">
        <v>0</v>
      </c>
      <c r="V38">
        <f t="shared" si="16"/>
        <v>1</v>
      </c>
      <c r="W38">
        <f t="shared" si="28"/>
        <v>0.42761631054105775</v>
      </c>
      <c r="X38">
        <f t="shared" si="22"/>
        <v>4.9716298925527855</v>
      </c>
    </row>
    <row r="39" spans="1:24" ht="15.75" thickBot="1" x14ac:dyDescent="0.3">
      <c r="A39" s="3" t="s">
        <v>40</v>
      </c>
      <c r="B39" s="3">
        <f xml:space="preserve"> (ybar - Delta*kbar -tauw * mpl *lbar - tauk * kbar * mpk)/(1+tauc)</f>
        <v>0.51002339110365946</v>
      </c>
      <c r="F39" s="7">
        <f t="shared" si="14"/>
        <v>38</v>
      </c>
      <c r="G39">
        <f t="shared" si="0"/>
        <v>1.3863127604892389</v>
      </c>
      <c r="H39">
        <v>0.99916042184688558</v>
      </c>
      <c r="I39">
        <f t="shared" si="23"/>
        <v>3.7361778052280576</v>
      </c>
      <c r="J39">
        <f t="shared" si="24"/>
        <v>0.14928546007557245</v>
      </c>
      <c r="K39">
        <f t="shared" si="17"/>
        <v>9.3501916497846047E-2</v>
      </c>
      <c r="L39">
        <f t="shared" si="18"/>
        <v>1.0491234749850238E-7</v>
      </c>
      <c r="M39">
        <f t="shared" si="19"/>
        <v>0.82141293463687814</v>
      </c>
      <c r="N39">
        <f t="shared" si="25"/>
        <v>0.40626496035643472</v>
      </c>
      <c r="O39">
        <f t="shared" si="10"/>
        <v>1.1592841311544031</v>
      </c>
      <c r="P39">
        <f t="shared" si="20"/>
        <v>1.9936357427385878</v>
      </c>
      <c r="Q39">
        <f t="shared" si="21"/>
        <v>5.1891975708711514E-5</v>
      </c>
      <c r="R39">
        <f t="shared" si="26"/>
        <v>6.3245747829787646E-4</v>
      </c>
      <c r="S39">
        <f t="shared" si="15"/>
        <v>4.0000246185490889E-7</v>
      </c>
      <c r="T39">
        <f t="shared" ca="1" si="27"/>
        <v>6.8752470695669449E-2</v>
      </c>
      <c r="U39">
        <v>0</v>
      </c>
      <c r="V39">
        <f t="shared" si="16"/>
        <v>1</v>
      </c>
      <c r="W39">
        <f t="shared" si="28"/>
        <v>0.6128737971960394</v>
      </c>
      <c r="X39">
        <f t="shared" si="22"/>
        <v>2.4202777428142581</v>
      </c>
    </row>
    <row r="40" spans="1:24" ht="15.75" thickBot="1" x14ac:dyDescent="0.3">
      <c r="F40" s="7">
        <f t="shared" si="14"/>
        <v>39</v>
      </c>
      <c r="G40">
        <f t="shared" si="0"/>
        <v>1.3863127604892389</v>
      </c>
      <c r="H40">
        <v>1.0124844693484563</v>
      </c>
      <c r="I40">
        <f t="shared" si="23"/>
        <v>3.736016153094508</v>
      </c>
      <c r="J40">
        <f t="shared" si="24"/>
        <v>0.15100191878544736</v>
      </c>
      <c r="K40">
        <f t="shared" si="17"/>
        <v>6.7327246914131333E-2</v>
      </c>
      <c r="L40">
        <f t="shared" si="18"/>
        <v>9.7867844684631424E-6</v>
      </c>
      <c r="M40">
        <f t="shared" si="19"/>
        <v>0.59144070481532551</v>
      </c>
      <c r="N40">
        <f t="shared" si="25"/>
        <v>0.26568983295223769</v>
      </c>
      <c r="O40">
        <f t="shared" si="10"/>
        <v>0.86001846527416159</v>
      </c>
      <c r="P40">
        <f t="shared" si="20"/>
        <v>2.2901997283763951</v>
      </c>
      <c r="Q40">
        <f t="shared" si="21"/>
        <v>-5.040968511094275E-4</v>
      </c>
      <c r="R40">
        <f t="shared" si="26"/>
        <v>5.7791692711894882E-4</v>
      </c>
      <c r="S40">
        <f t="shared" si="15"/>
        <v>3.3398797465060839E-7</v>
      </c>
      <c r="T40">
        <f t="shared" ca="1" si="27"/>
        <v>8.7128845818248979E-2</v>
      </c>
      <c r="U40">
        <v>0</v>
      </c>
      <c r="V40">
        <f t="shared" si="16"/>
        <v>1</v>
      </c>
      <c r="W40">
        <f t="shared" si="28"/>
        <v>0.41622379692622724</v>
      </c>
      <c r="X40">
        <f t="shared" si="22"/>
        <v>5.2475127381940121</v>
      </c>
    </row>
    <row r="41" spans="1:24" ht="15.75" thickBot="1" x14ac:dyDescent="0.3">
      <c r="F41" s="7">
        <f t="shared" si="14"/>
        <v>40</v>
      </c>
      <c r="G41">
        <f t="shared" si="0"/>
        <v>1.3863127604892389</v>
      </c>
      <c r="H41">
        <v>0.99792590607613774</v>
      </c>
      <c r="I41">
        <f t="shared" si="23"/>
        <v>3.7375774257561747</v>
      </c>
      <c r="J41">
        <f t="shared" si="24"/>
        <v>0.14918235117702752</v>
      </c>
      <c r="K41">
        <f t="shared" si="17"/>
        <v>9.577175420441246E-2</v>
      </c>
      <c r="L41">
        <f t="shared" si="18"/>
        <v>4.1287934926195123E-7</v>
      </c>
      <c r="M41">
        <f t="shared" si="19"/>
        <v>0.84170013141461753</v>
      </c>
      <c r="N41">
        <f t="shared" si="25"/>
        <v>0.41930771843718601</v>
      </c>
      <c r="O41">
        <f t="shared" si="10"/>
        <v>1.1852841828205023</v>
      </c>
      <c r="P41">
        <f t="shared" si="20"/>
        <v>1.9730851589486273</v>
      </c>
      <c r="Q41">
        <f t="shared" si="21"/>
        <v>1.0286934575979386E-4</v>
      </c>
      <c r="R41">
        <f t="shared" si="26"/>
        <v>5.8092689863786795E-4</v>
      </c>
      <c r="S41">
        <f t="shared" si="15"/>
        <v>3.3747606156101171E-7</v>
      </c>
      <c r="T41">
        <f t="shared" ca="1" si="27"/>
        <v>-8.7713379619966683E-2</v>
      </c>
      <c r="U41">
        <v>0</v>
      </c>
      <c r="V41">
        <f t="shared" si="16"/>
        <v>1</v>
      </c>
      <c r="W41">
        <f t="shared" si="28"/>
        <v>0.62995872873133785</v>
      </c>
      <c r="X41">
        <f t="shared" si="22"/>
        <v>2.2907786087090867</v>
      </c>
    </row>
    <row r="42" spans="1:24" ht="15.75" thickBot="1" x14ac:dyDescent="0.3">
      <c r="A42" s="3" t="s">
        <v>41</v>
      </c>
      <c r="B42" s="3">
        <v>0.1</v>
      </c>
      <c r="F42" s="7">
        <f t="shared" si="14"/>
        <v>41</v>
      </c>
      <c r="G42">
        <f t="shared" si="0"/>
        <v>1.3863127604892389</v>
      </c>
      <c r="H42">
        <v>1.012862016913306</v>
      </c>
      <c r="I42">
        <f t="shared" si="23"/>
        <v>3.7372566799029552</v>
      </c>
      <c r="J42">
        <f t="shared" si="24"/>
        <v>0.15110552316574255</v>
      </c>
      <c r="K42">
        <f t="shared" si="17"/>
        <v>6.5618867320574911E-2</v>
      </c>
      <c r="L42">
        <f t="shared" si="18"/>
        <v>1.04717928317736E-5</v>
      </c>
      <c r="M42">
        <f t="shared" si="19"/>
        <v>0.57664387568801234</v>
      </c>
      <c r="N42">
        <f t="shared" si="25"/>
        <v>0.25714844420425959</v>
      </c>
      <c r="O42">
        <f t="shared" si="10"/>
        <v>0.8404358503929904</v>
      </c>
      <c r="P42">
        <f t="shared" si="20"/>
        <v>2.3146214320422751</v>
      </c>
      <c r="Q42">
        <f t="shared" si="21"/>
        <v>-5.214463771944024E-4</v>
      </c>
      <c r="R42">
        <f t="shared" si="26"/>
        <v>5.3505649729268523E-4</v>
      </c>
      <c r="S42">
        <f t="shared" si="15"/>
        <v>2.8628545529511727E-7</v>
      </c>
      <c r="T42">
        <f t="shared" ca="1" si="27"/>
        <v>3.9352687731780854E-3</v>
      </c>
      <c r="U42">
        <v>0</v>
      </c>
      <c r="V42">
        <f t="shared" si="16"/>
        <v>1</v>
      </c>
      <c r="W42">
        <f t="shared" si="28"/>
        <v>0.4034105072673605</v>
      </c>
      <c r="X42">
        <f t="shared" si="22"/>
        <v>5.5861539898956289</v>
      </c>
    </row>
    <row r="43" spans="1:24" ht="15.75" thickBot="1" x14ac:dyDescent="0.3">
      <c r="A43" s="3" t="s">
        <v>42</v>
      </c>
      <c r="B43" s="3">
        <v>0.35</v>
      </c>
      <c r="F43" s="7">
        <f t="shared" si="14"/>
        <v>42</v>
      </c>
      <c r="G43">
        <f t="shared" si="0"/>
        <v>1.3863127604892389</v>
      </c>
      <c r="H43">
        <v>0.99556409760771902</v>
      </c>
      <c r="I43">
        <f t="shared" si="23"/>
        <v>3.7388719358725795</v>
      </c>
      <c r="J43">
        <f t="shared" si="24"/>
        <v>0.14893766366788655</v>
      </c>
      <c r="K43">
        <f t="shared" si="17"/>
        <v>9.8471454921880613E-2</v>
      </c>
      <c r="L43">
        <f t="shared" si="18"/>
        <v>1.5283466807453339E-6</v>
      </c>
      <c r="M43">
        <f t="shared" si="19"/>
        <v>0.86575645537921508</v>
      </c>
      <c r="N43">
        <f t="shared" si="25"/>
        <v>0.43492649343497675</v>
      </c>
      <c r="O43">
        <f t="shared" si="10"/>
        <v>1.2160411061685286</v>
      </c>
      <c r="P43">
        <f t="shared" si="20"/>
        <v>1.9494534356374571</v>
      </c>
      <c r="Q43">
        <f t="shared" si="21"/>
        <v>1.9768748072049259E-4</v>
      </c>
      <c r="R43">
        <f t="shared" si="26"/>
        <v>5.2791558736342559E-4</v>
      </c>
      <c r="S43">
        <f t="shared" si="15"/>
        <v>2.7869486738127064E-7</v>
      </c>
      <c r="T43">
        <f t="shared" ca="1" si="27"/>
        <v>-5.5482590778380692E-2</v>
      </c>
      <c r="U43">
        <v>0</v>
      </c>
      <c r="V43">
        <f t="shared" si="16"/>
        <v>1</v>
      </c>
      <c r="W43">
        <f t="shared" si="28"/>
        <v>0.650334966876705</v>
      </c>
      <c r="X43">
        <f t="shared" si="22"/>
        <v>2.1494784913315121</v>
      </c>
    </row>
    <row r="44" spans="1:24" ht="15.75" thickBot="1" x14ac:dyDescent="0.3">
      <c r="A44" s="3" t="s">
        <v>43</v>
      </c>
      <c r="B44" s="3">
        <v>0.15</v>
      </c>
      <c r="F44" s="7">
        <f t="shared" si="14"/>
        <v>43</v>
      </c>
      <c r="G44">
        <f t="shared" si="0"/>
        <v>1.3863127604892389</v>
      </c>
      <c r="H44">
        <v>1.0122774073244014</v>
      </c>
      <c r="I44">
        <f t="shared" si="23"/>
        <v>3.7382547221055629</v>
      </c>
      <c r="J44">
        <f t="shared" si="24"/>
        <v>0.15108499922458588</v>
      </c>
      <c r="K44">
        <f t="shared" si="17"/>
        <v>6.3697570924498265E-2</v>
      </c>
      <c r="L44">
        <f t="shared" si="18"/>
        <v>9.7001222798130997E-6</v>
      </c>
      <c r="M44">
        <f t="shared" si="19"/>
        <v>0.55992439002474548</v>
      </c>
      <c r="N44">
        <f t="shared" si="25"/>
        <v>0.24759530864952645</v>
      </c>
      <c r="O44">
        <f t="shared" si="10"/>
        <v>0.81825361922589746</v>
      </c>
      <c r="P44">
        <f t="shared" si="20"/>
        <v>2.3430810425892434</v>
      </c>
      <c r="Q44">
        <f t="shared" si="21"/>
        <v>-5.0169736150550419E-4</v>
      </c>
      <c r="R44">
        <f t="shared" si="26"/>
        <v>4.9104044967096527E-4</v>
      </c>
      <c r="S44">
        <f t="shared" si="15"/>
        <v>2.4112072321306379E-7</v>
      </c>
      <c r="T44">
        <f t="shared" ca="1" si="27"/>
        <v>1.6219068187666056E-2</v>
      </c>
      <c r="U44">
        <v>0</v>
      </c>
      <c r="V44">
        <f t="shared" si="16"/>
        <v>1</v>
      </c>
      <c r="W44">
        <f t="shared" si="28"/>
        <v>0.38905898368068714</v>
      </c>
      <c r="X44">
        <f t="shared" si="22"/>
        <v>6.0058767962971356</v>
      </c>
    </row>
    <row r="45" spans="1:24" ht="15.75" thickBot="1" x14ac:dyDescent="0.3">
      <c r="F45" s="7">
        <f t="shared" si="14"/>
        <v>44</v>
      </c>
      <c r="G45">
        <f t="shared" si="0"/>
        <v>1.3863127604892389</v>
      </c>
      <c r="H45">
        <v>0.99167722673634318</v>
      </c>
      <c r="I45">
        <f t="shared" si="23"/>
        <v>3.7398095324459262</v>
      </c>
      <c r="J45">
        <f t="shared" si="24"/>
        <v>0.14849310066909321</v>
      </c>
      <c r="K45">
        <f t="shared" si="17"/>
        <v>0.10169949684164763</v>
      </c>
      <c r="L45">
        <f t="shared" si="18"/>
        <v>4.8468426944504995E-6</v>
      </c>
      <c r="M45">
        <f t="shared" si="19"/>
        <v>0.89438389800036333</v>
      </c>
      <c r="N45">
        <f t="shared" si="25"/>
        <v>0.45373396593289056</v>
      </c>
      <c r="O45">
        <f t="shared" si="10"/>
        <v>1.252541442727569</v>
      </c>
      <c r="P45">
        <f t="shared" si="20"/>
        <v>1.9222821311182687</v>
      </c>
      <c r="Q45">
        <f t="shared" si="21"/>
        <v>3.5143231236660968E-4</v>
      </c>
      <c r="R45">
        <f t="shared" si="26"/>
        <v>4.8075307747397211E-4</v>
      </c>
      <c r="S45">
        <f t="shared" si="15"/>
        <v>2.3112352150069503E-7</v>
      </c>
      <c r="T45">
        <f t="shared" ca="1" si="27"/>
        <v>-4.2891049418108413E-3</v>
      </c>
      <c r="U45">
        <v>0</v>
      </c>
      <c r="V45">
        <f t="shared" si="16"/>
        <v>1</v>
      </c>
      <c r="W45">
        <f t="shared" si="28"/>
        <v>0.67472818647979949</v>
      </c>
      <c r="X45">
        <f t="shared" si="22"/>
        <v>1.996869156002969</v>
      </c>
    </row>
    <row r="46" spans="1:24" ht="15.75" thickBot="1" x14ac:dyDescent="0.3">
      <c r="A46" s="3" t="s">
        <v>44</v>
      </c>
      <c r="B46" s="3">
        <f>Cbar^(-sigma_c)/(1+tauc)</f>
        <v>3.4948386162388987</v>
      </c>
      <c r="F46" s="7">
        <f t="shared" si="14"/>
        <v>45</v>
      </c>
      <c r="G46">
        <f t="shared" si="0"/>
        <v>1.3863127604892389</v>
      </c>
      <c r="H46">
        <v>1.0103401488914336</v>
      </c>
      <c r="I46">
        <f t="shared" si="23"/>
        <v>3.7387102518171824</v>
      </c>
      <c r="J46">
        <f t="shared" si="24"/>
        <v>0.15088138754420685</v>
      </c>
      <c r="K46">
        <f t="shared" si="17"/>
        <v>6.1549316879739455E-2</v>
      </c>
      <c r="L46">
        <f t="shared" si="18"/>
        <v>7.1287776528619315E-6</v>
      </c>
      <c r="M46">
        <f t="shared" si="19"/>
        <v>0.54111299251425138</v>
      </c>
      <c r="N46">
        <f t="shared" si="25"/>
        <v>0.23697514381351073</v>
      </c>
      <c r="O46">
        <f t="shared" si="10"/>
        <v>0.79322379109334773</v>
      </c>
      <c r="P46">
        <f t="shared" si="20"/>
        <v>2.3762354144866098</v>
      </c>
      <c r="Q46">
        <f t="shared" si="21"/>
        <v>-4.2974759616512201E-4</v>
      </c>
      <c r="R46">
        <f t="shared" si="26"/>
        <v>4.551955410379005E-4</v>
      </c>
      <c r="S46">
        <f t="shared" si="15"/>
        <v>2.0720298058078695E-7</v>
      </c>
      <c r="T46">
        <f t="shared" ca="1" si="27"/>
        <v>0.14510914624766674</v>
      </c>
      <c r="U46">
        <v>0</v>
      </c>
      <c r="V46">
        <f t="shared" si="16"/>
        <v>1</v>
      </c>
      <c r="W46">
        <f t="shared" si="28"/>
        <v>0.37307288678917416</v>
      </c>
      <c r="X46">
        <f t="shared" si="22"/>
        <v>6.53160540112746</v>
      </c>
    </row>
    <row r="47" spans="1:24" ht="15.75" thickBot="1" x14ac:dyDescent="0.3">
      <c r="A47" s="3" t="s">
        <v>45</v>
      </c>
      <c r="B47" s="3" cm="1">
        <f t="array" ref="B47">Ac * alpha * kbar^(rhoc-1)*yhat1</f>
        <v>8.0088585194104417E-2</v>
      </c>
      <c r="F47" s="7">
        <f t="shared" si="14"/>
        <v>46</v>
      </c>
      <c r="G47">
        <f t="shared" si="0"/>
        <v>1.3863127604892389</v>
      </c>
      <c r="H47">
        <v>0.98573485738799782</v>
      </c>
      <c r="I47">
        <f t="shared" si="23"/>
        <v>3.7400432292887018</v>
      </c>
      <c r="J47">
        <f t="shared" si="24"/>
        <v>0.14777063557511641</v>
      </c>
      <c r="K47">
        <f t="shared" si="17"/>
        <v>0.10557973051191549</v>
      </c>
      <c r="L47">
        <f t="shared" si="18"/>
        <v>1.3447319536186355E-5</v>
      </c>
      <c r="M47">
        <f t="shared" si="19"/>
        <v>0.92857196655910734</v>
      </c>
      <c r="N47">
        <f t="shared" si="25"/>
        <v>0.47651231434799668</v>
      </c>
      <c r="O47">
        <f t="shared" si="10"/>
        <v>1.2959929721020578</v>
      </c>
      <c r="P47">
        <f t="shared" si="20"/>
        <v>1.8910743515282065</v>
      </c>
      <c r="Q47">
        <f t="shared" si="21"/>
        <v>5.8391437272160699E-4</v>
      </c>
      <c r="R47">
        <f t="shared" si="26"/>
        <v>4.4036941939351593E-4</v>
      </c>
      <c r="S47">
        <f t="shared" si="15"/>
        <v>1.9392522553698231E-7</v>
      </c>
      <c r="T47">
        <f t="shared" ca="1" si="27"/>
        <v>-1.9969421102816798E-2</v>
      </c>
      <c r="U47">
        <v>0</v>
      </c>
      <c r="V47">
        <f t="shared" si="16"/>
        <v>1</v>
      </c>
      <c r="W47">
        <f t="shared" si="28"/>
        <v>0.70404025906244705</v>
      </c>
      <c r="X47">
        <f t="shared" si="22"/>
        <v>1.8340548794989526</v>
      </c>
    </row>
    <row r="48" spans="1:24" ht="15.75" thickBot="1" x14ac:dyDescent="0.3">
      <c r="A48" s="3" t="s">
        <v>47</v>
      </c>
      <c r="B48" s="3">
        <f xml:space="preserve"> Ac * (1-alpha)*lbar ^(rhoc-1)*yhat1</f>
        <v>2.1299131785753715</v>
      </c>
      <c r="F48" s="7">
        <f t="shared" si="14"/>
        <v>47</v>
      </c>
      <c r="G48">
        <f t="shared" si="0"/>
        <v>1.3863127604892389</v>
      </c>
      <c r="H48">
        <v>1.0065017429074328</v>
      </c>
      <c r="I48">
        <f t="shared" si="23"/>
        <v>3.7382121356922702</v>
      </c>
      <c r="J48">
        <f t="shared" si="24"/>
        <v>0.15041228915619873</v>
      </c>
      <c r="K48">
        <f t="shared" si="17"/>
        <v>5.9164120156666451E-2</v>
      </c>
      <c r="L48">
        <f t="shared" si="18"/>
        <v>3.1342885402348781E-6</v>
      </c>
      <c r="M48">
        <f t="shared" si="19"/>
        <v>0.52006722204484734</v>
      </c>
      <c r="N48">
        <f t="shared" si="25"/>
        <v>0.22525782797757252</v>
      </c>
      <c r="O48">
        <f t="shared" si="10"/>
        <v>0.76512691187313764</v>
      </c>
      <c r="P48">
        <f t="shared" si="20"/>
        <v>2.4148278654275681</v>
      </c>
      <c r="Q48">
        <f t="shared" si="21"/>
        <v>-2.8454745855474096E-4</v>
      </c>
      <c r="R48">
        <f t="shared" si="26"/>
        <v>4.2185599900568249E-4</v>
      </c>
      <c r="S48">
        <f t="shared" si="15"/>
        <v>1.779624838970824E-7</v>
      </c>
      <c r="T48">
        <f t="shared" ca="1" si="27"/>
        <v>4.7135970697141212E-2</v>
      </c>
      <c r="U48">
        <v>0</v>
      </c>
      <c r="V48">
        <f t="shared" si="16"/>
        <v>1</v>
      </c>
      <c r="W48">
        <f t="shared" si="28"/>
        <v>0.35539828482027519</v>
      </c>
      <c r="X48">
        <f t="shared" si="22"/>
        <v>7.1974169078374652</v>
      </c>
    </row>
    <row r="49" spans="1:24" ht="15.75" thickBot="1" x14ac:dyDescent="0.3">
      <c r="A49" s="3" t="s">
        <v>48</v>
      </c>
      <c r="B49" s="3">
        <f>mpl *(1-tauw) *lambdabar/(lbar^(1/phiLL))</f>
        <v>44.429814845903344</v>
      </c>
      <c r="F49" s="7">
        <f t="shared" si="14"/>
        <v>48</v>
      </c>
      <c r="G49">
        <f t="shared" si="0"/>
        <v>1.3863127604892389</v>
      </c>
      <c r="H49">
        <v>0.9770031263114054</v>
      </c>
      <c r="I49">
        <f t="shared" si="23"/>
        <v>3.7390959394207779</v>
      </c>
      <c r="J49">
        <f t="shared" si="24"/>
        <v>0.14666291235083459</v>
      </c>
      <c r="K49">
        <f t="shared" si="17"/>
        <v>0.11026703074676551</v>
      </c>
      <c r="L49">
        <f t="shared" si="18"/>
        <v>3.3759633223505687E-5</v>
      </c>
      <c r="M49">
        <f t="shared" si="19"/>
        <v>0.96952650080396507</v>
      </c>
      <c r="N49">
        <f t="shared" si="25"/>
        <v>0.5042557345514439</v>
      </c>
      <c r="O49">
        <f t="shared" si="10"/>
        <v>1.3478536905635812</v>
      </c>
      <c r="P49">
        <f t="shared" si="20"/>
        <v>1.8553178864263755</v>
      </c>
      <c r="Q49">
        <f t="shared" si="21"/>
        <v>9.2197437397296435E-4</v>
      </c>
      <c r="R49">
        <f t="shared" si="26"/>
        <v>4.010080119010162E-4</v>
      </c>
      <c r="S49">
        <f t="shared" si="15"/>
        <v>1.6080742560880556E-7</v>
      </c>
      <c r="T49">
        <f t="shared" ca="1" si="27"/>
        <v>-0.11609564275018774</v>
      </c>
      <c r="U49">
        <v>0</v>
      </c>
      <c r="V49">
        <f t="shared" si="16"/>
        <v>1</v>
      </c>
      <c r="W49">
        <f t="shared" si="28"/>
        <v>0.73938547829685253</v>
      </c>
      <c r="X49">
        <f t="shared" si="22"/>
        <v>1.6628975041945551</v>
      </c>
    </row>
    <row r="50" spans="1:24" x14ac:dyDescent="0.25">
      <c r="A50" s="3" t="s">
        <v>50</v>
      </c>
      <c r="F50" s="7">
        <f t="shared" si="14"/>
        <v>49</v>
      </c>
      <c r="G50">
        <f t="shared" si="0"/>
        <v>1.3863127604892389</v>
      </c>
      <c r="H50">
        <v>1</v>
      </c>
      <c r="I50">
        <f t="shared" si="23"/>
        <v>3.7361950141947813</v>
      </c>
      <c r="J50">
        <f t="shared" si="24"/>
        <v>0.14956383757683112</v>
      </c>
      <c r="K50">
        <f t="shared" si="17"/>
        <v>5.6538862927929548E-2</v>
      </c>
      <c r="L50">
        <f t="shared" si="18"/>
        <v>5.4057352797815686E-8</v>
      </c>
      <c r="M50">
        <f t="shared" si="19"/>
        <v>0.49669557974649353</v>
      </c>
      <c r="N50">
        <f t="shared" si="25"/>
        <v>0.21245224912353988</v>
      </c>
      <c r="O50">
        <f t="shared" si="10"/>
        <v>0.73380331749677763</v>
      </c>
      <c r="P50">
        <f t="shared" si="20"/>
        <v>2.4596731824351625</v>
      </c>
      <c r="Q50">
        <f t="shared" si="21"/>
        <v>-3.7283511077822507E-5</v>
      </c>
      <c r="R50">
        <f t="shared" si="26"/>
        <v>3.9068505254769015E-4</v>
      </c>
      <c r="S50">
        <f t="shared" si="15"/>
        <v>1.526348102841914E-7</v>
      </c>
      <c r="T50">
        <f t="shared" ca="1" si="27"/>
        <v>-4.4850298589840035E-2</v>
      </c>
      <c r="U50">
        <v>0</v>
      </c>
      <c r="V50">
        <f t="shared" si="16"/>
        <v>1</v>
      </c>
      <c r="W50">
        <f t="shared" si="28"/>
        <v>0.33605123850180796</v>
      </c>
      <c r="X50">
        <f t="shared" si="22"/>
        <v>8.0500080417399236</v>
      </c>
    </row>
    <row r="51" spans="1:24" x14ac:dyDescent="0.25">
      <c r="A51" s="3" t="s">
        <v>49</v>
      </c>
      <c r="B51" s="3">
        <f>(mpl *(1-tauw)*lambdabar/gamma)^phiLL</f>
        <v>0.33</v>
      </c>
      <c r="S51">
        <f>SUM(S3:S50)</f>
        <v>1.9053261816839008E-4</v>
      </c>
    </row>
    <row r="53" spans="1:24" x14ac:dyDescent="0.25">
      <c r="A53" s="3" t="s">
        <v>54</v>
      </c>
      <c r="B53" s="3" cm="1">
        <f t="array" ref="B53" xml:space="preserve">  mpl *lbar + mpk * kbar</f>
        <v>1</v>
      </c>
    </row>
    <row r="54" spans="1:24" x14ac:dyDescent="0.25">
      <c r="B54" s="3" cm="1">
        <f t="array" ref="B54" xml:space="preserve"> mpk</f>
        <v>8.0088585194104417E-2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</vt:lpstr>
      <vt:lpstr>Ac</vt:lpstr>
      <vt:lpstr>alpha</vt:lpstr>
      <vt:lpstr>Beta</vt:lpstr>
      <vt:lpstr>Cbar</vt:lpstr>
      <vt:lpstr>Delta</vt:lpstr>
      <vt:lpstr>gamma</vt:lpstr>
      <vt:lpstr>Interest</vt:lpstr>
      <vt:lpstr>kbar</vt:lpstr>
      <vt:lpstr>lambdabar</vt:lpstr>
      <vt:lpstr>lbar</vt:lpstr>
      <vt:lpstr>mpk</vt:lpstr>
      <vt:lpstr>mpl</vt:lpstr>
      <vt:lpstr>Phi</vt:lpstr>
      <vt:lpstr>phiL</vt:lpstr>
      <vt:lpstr>phiLL</vt:lpstr>
      <vt:lpstr>qbar</vt:lpstr>
      <vt:lpstr>rhoc</vt:lpstr>
      <vt:lpstr>sigma_c</vt:lpstr>
      <vt:lpstr>tauc</vt:lpstr>
      <vt:lpstr>tauk</vt:lpstr>
      <vt:lpstr>tauw</vt:lpstr>
      <vt:lpstr>yhat</vt:lpstr>
      <vt:lpstr>yhat1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2024-11-12T22:28:08Z</dcterms:created>
  <dcterms:modified xsi:type="dcterms:W3CDTF">2024-11-13T06:54:00Z</dcterms:modified>
</cp:coreProperties>
</file>