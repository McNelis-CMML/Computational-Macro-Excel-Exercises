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int\Dropbox\ComputMacro\EXCEL-ICM\"/>
    </mc:Choice>
  </mc:AlternateContent>
  <xr:revisionPtr revIDLastSave="0" documentId="13_ncr:1_{34A668DC-1ACC-40E9-B646-0631388E3B5E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README" sheetId="1" r:id="rId1"/>
    <sheet name="Monthly" sheetId="2" r:id="rId2"/>
  </sheets>
  <definedNames>
    <definedName name="_xlchart.v1.0" hidden="1">Monthly!$E$3:$E$411</definedName>
    <definedName name="_xlchart.v1.1" hidden="1">Monthly!$E$3:$E$411</definedName>
    <definedName name="_xlchart.v1.2" hidden="1">Monthly!$H$14:$H$411</definedName>
    <definedName name="_xlchart.v1.3" hidden="1">Monthly!$E$3:$E$411</definedName>
    <definedName name="_xlchart.v1.4" hidden="1">Monthly!$E$3:$E$411</definedName>
    <definedName name="JB">Monthly!$E$420</definedName>
    <definedName name="JB_value">Monthly!$E$421</definedName>
    <definedName name="kt">Monthly!$E$416</definedName>
    <definedName name="n">Monthly!$E$418</definedName>
    <definedName name="Sk">Monthly!$E$415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2" i="2" l="1"/>
  <c r="E421" i="2"/>
  <c r="E420" i="2"/>
  <c r="E416" i="2"/>
  <c r="E415" i="2"/>
  <c r="E414" i="2"/>
  <c r="E413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14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3" i="2"/>
</calcChain>
</file>

<file path=xl/sharedStrings.xml><?xml version="1.0" encoding="utf-8"?>
<sst xmlns="http://schemas.openxmlformats.org/spreadsheetml/2006/main" count="25" uniqueCount="21">
  <si>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</si>
  <si>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</si>
  <si>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</si>
  <si>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</si>
  <si>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</si>
  <si>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2026-03-31 6:48 am CDT</t>
  </si>
  <si>
    <t>POILBREUSDM</t>
  </si>
  <si>
    <t>Global price of Brent Crude, U.S. Dollars per Barrel, Monthly, Not Seasonally Adjusted</t>
  </si>
  <si>
    <t>Data Updated: 2026-03-24</t>
  </si>
  <si>
    <t>observation_date</t>
  </si>
  <si>
    <t>Date</t>
  </si>
  <si>
    <t>Monthly Change</t>
  </si>
  <si>
    <t>Annual Change</t>
  </si>
  <si>
    <t>Average</t>
  </si>
  <si>
    <t>Stdev</t>
  </si>
  <si>
    <t>Skewness</t>
  </si>
  <si>
    <t>Kurtosis</t>
  </si>
  <si>
    <t>n</t>
  </si>
  <si>
    <t>JB</t>
  </si>
  <si>
    <t>JB Test</t>
  </si>
  <si>
    <t>Reject Normality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</si>
</sst>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00000"/>
    <numFmt numFmtId="165" formatCode="yyyy\-mm\-dd"/>
    <numFmt numFmtId="166" formatCode="0.00000000000000000"/>
    <numFmt numFmtId="167" formatCode="0.0000000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/>
    <cx:plotArea>
      <cx:plotAreaRegion>
        <cx:series layoutId="clusteredColumn" uniqueId="{88BC41D2-D9FF-4847-996F-2B67E136DFC7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102393</xdr:colOff>
      <xdr:row>392</xdr:row>
      <xdr:rowOff>0</xdr:rowOff>
    </xdr:from>
    <xdr:to>
      <xdr:col>4</xdr:col>
      <xdr:colOff>369093</xdr:colOff>
      <xdr:row>407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28235F3E-8ED0-860B-DBCC-CF4367811E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393" y="709422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4.25" x14ac:dyDescent="0.45"/>
  <cols>
    <col min="1" max="1" width="85.73046875" style="1" customWidth="1"/>
    <col min="2" max="2" width="76" bestFit="1" customWidth="1"/>
    <col min="3" max="3" width="23.3984375" bestFit="1" customWidth="1"/>
  </cols>
  <sheetData>
    <row r="1" spans="1:3" x14ac:dyDescent="0.45">
      <c r="A1" s="1" t="s">
        <v>0</v>
      </c>
    </row>
    <row r="2" spans="1:3" x14ac:dyDescent="0.45">
      <c r="A2" s="1" t="s">
        <v>1</v>
      </c>
    </row>
    <row r="3" spans="1:3" x14ac:dyDescent="0.45">
      <c r="A3" s="1" t="s">
        <v>2</v>
      </c>
    </row>
    <row r="4" spans="1:3" x14ac:dyDescent="0.45">
      <c r="A4" s="1" t="s">
        <v>3</v>
      </c>
    </row>
    <row r="5" spans="1:3" ht="28.5" x14ac:dyDescent="0.45">
      <c r="A5" s="1" t="s">
        <v>4</v>
      </c>
    </row>
    <row r="6" spans="1:3" x14ac:dyDescent="0.45">
      <c r="A6" s="1" t="s">
        <v>5</v>
      </c>
    </row>
    <row r="8" spans="1:3" x14ac:dyDescent="0.4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24"/>
  <sheetViews>
    <sheetView tabSelected="1" topLeftCell="A383" workbookViewId="0">
      <selection activeCell="E3" sqref="E3:E403"/>
    </sheetView>
  </sheetViews>
  <sheetFormatPr defaultRowHeight="14.25" x14ac:dyDescent="0.45"/>
  <cols>
    <col min="1" max="1" width="16.59765625" bestFit="1" customWidth="1"/>
    <col min="2" max="2" width="18" style="2" bestFit="1" customWidth="1"/>
    <col min="4" max="4" width="16.59765625" bestFit="1" customWidth="1"/>
    <col min="5" max="5" width="20.59765625" bestFit="1" customWidth="1"/>
    <col min="7" max="7" width="16.59765625" bestFit="1" customWidth="1"/>
    <col min="8" max="8" width="19.59765625" bestFit="1" customWidth="1"/>
  </cols>
  <sheetData>
    <row r="1" spans="1:8" x14ac:dyDescent="0.45">
      <c r="A1" s="3" t="s">
        <v>9</v>
      </c>
      <c r="B1" s="3" t="s">
        <v>6</v>
      </c>
      <c r="D1" s="3" t="s">
        <v>9</v>
      </c>
      <c r="G1" s="3" t="s">
        <v>9</v>
      </c>
    </row>
    <row r="2" spans="1:8" x14ac:dyDescent="0.45">
      <c r="A2" s="4">
        <v>33604</v>
      </c>
      <c r="B2" s="2">
        <v>18.156521739130429</v>
      </c>
      <c r="D2" s="4" t="s">
        <v>10</v>
      </c>
      <c r="E2" t="s">
        <v>11</v>
      </c>
      <c r="G2" s="4"/>
    </row>
    <row r="3" spans="1:8" x14ac:dyDescent="0.45">
      <c r="A3" s="4">
        <v>33635</v>
      </c>
      <c r="B3" s="2">
        <v>18.11</v>
      </c>
      <c r="D3" s="4">
        <v>33635</v>
      </c>
      <c r="E3" s="5">
        <f>LN(B3)-LN(B2)</f>
        <v>-2.5655487439566471E-3</v>
      </c>
      <c r="G3" s="4"/>
    </row>
    <row r="4" spans="1:8" x14ac:dyDescent="0.45">
      <c r="A4" s="4">
        <v>33664</v>
      </c>
      <c r="B4" s="2">
        <v>17.65909090909091</v>
      </c>
      <c r="D4" s="4">
        <v>33664</v>
      </c>
      <c r="E4" s="5">
        <f t="shared" ref="E4:E67" si="0">LN(B4)-LN(B3)</f>
        <v>-2.5213555445935842E-2</v>
      </c>
      <c r="G4" s="4"/>
    </row>
    <row r="5" spans="1:8" x14ac:dyDescent="0.45">
      <c r="A5" s="4">
        <v>33695</v>
      </c>
      <c r="B5" s="2">
        <v>19.015909090909091</v>
      </c>
      <c r="D5" s="4">
        <v>33695</v>
      </c>
      <c r="E5" s="5">
        <f t="shared" si="0"/>
        <v>7.4025232933905283E-2</v>
      </c>
      <c r="G5" s="4"/>
    </row>
    <row r="6" spans="1:8" x14ac:dyDescent="0.45">
      <c r="A6" s="4">
        <v>33725</v>
      </c>
      <c r="B6" s="2">
        <v>19.980952380952381</v>
      </c>
      <c r="D6" s="4">
        <v>33725</v>
      </c>
      <c r="E6" s="5">
        <f t="shared" si="0"/>
        <v>4.9503489415427371E-2</v>
      </c>
      <c r="G6" s="4"/>
    </row>
    <row r="7" spans="1:8" x14ac:dyDescent="0.45">
      <c r="A7" s="4">
        <v>33756</v>
      </c>
      <c r="B7" s="2">
        <v>21.188636363636359</v>
      </c>
      <c r="D7" s="4">
        <v>33756</v>
      </c>
      <c r="E7" s="5">
        <f t="shared" si="0"/>
        <v>5.8685578585667475E-2</v>
      </c>
      <c r="G7" s="4"/>
    </row>
    <row r="8" spans="1:8" x14ac:dyDescent="0.45">
      <c r="A8" s="4">
        <v>33786</v>
      </c>
      <c r="B8" s="2">
        <v>20.326086956521738</v>
      </c>
      <c r="D8" s="4">
        <v>33786</v>
      </c>
      <c r="E8" s="5">
        <f t="shared" si="0"/>
        <v>-4.1559884584794649E-2</v>
      </c>
      <c r="G8" s="4"/>
    </row>
    <row r="9" spans="1:8" x14ac:dyDescent="0.45">
      <c r="A9" s="4">
        <v>33817</v>
      </c>
      <c r="B9" s="2">
        <v>19.792857142857141</v>
      </c>
      <c r="D9" s="4">
        <v>33817</v>
      </c>
      <c r="E9" s="5">
        <f t="shared" si="0"/>
        <v>-2.6584010545917636E-2</v>
      </c>
      <c r="G9" s="4"/>
    </row>
    <row r="10" spans="1:8" x14ac:dyDescent="0.45">
      <c r="A10" s="4">
        <v>33848</v>
      </c>
      <c r="B10" s="2">
        <v>20.28863636363636</v>
      </c>
      <c r="D10" s="4">
        <v>33848</v>
      </c>
      <c r="E10" s="5">
        <f t="shared" si="0"/>
        <v>2.4739822013380763E-2</v>
      </c>
      <c r="G10" s="4"/>
    </row>
    <row r="11" spans="1:8" x14ac:dyDescent="0.45">
      <c r="A11" s="4">
        <v>33878</v>
      </c>
      <c r="B11" s="2">
        <v>20.311363636363641</v>
      </c>
      <c r="D11" s="4">
        <v>33878</v>
      </c>
      <c r="E11" s="5">
        <f t="shared" si="0"/>
        <v>1.1195702020305731E-3</v>
      </c>
      <c r="G11" s="4"/>
    </row>
    <row r="12" spans="1:8" x14ac:dyDescent="0.45">
      <c r="A12" s="4">
        <v>33909</v>
      </c>
      <c r="B12" s="2">
        <v>19.19619047619048</v>
      </c>
      <c r="D12" s="4">
        <v>33909</v>
      </c>
      <c r="E12" s="5">
        <f t="shared" si="0"/>
        <v>-5.6468667820165575E-2</v>
      </c>
      <c r="G12" s="4"/>
    </row>
    <row r="13" spans="1:8" x14ac:dyDescent="0.45">
      <c r="A13" s="4">
        <v>33939</v>
      </c>
      <c r="B13" s="2">
        <v>18.27260869565217</v>
      </c>
      <c r="D13" s="4">
        <v>33939</v>
      </c>
      <c r="E13" s="5">
        <f t="shared" si="0"/>
        <v>-4.9308700701937713E-2</v>
      </c>
      <c r="G13" s="4" t="s">
        <v>10</v>
      </c>
      <c r="H13" t="s">
        <v>12</v>
      </c>
    </row>
    <row r="14" spans="1:8" x14ac:dyDescent="0.45">
      <c r="A14" s="4">
        <v>33970</v>
      </c>
      <c r="B14" s="2">
        <v>17.50714285714286</v>
      </c>
      <c r="D14" s="4">
        <v>33970</v>
      </c>
      <c r="E14" s="5">
        <f t="shared" si="0"/>
        <v>-4.2794185028173892E-2</v>
      </c>
      <c r="G14" s="4">
        <v>33970</v>
      </c>
      <c r="H14" s="6">
        <f>LN(B14)-LN(B2)</f>
        <v>-3.6420859720470489E-2</v>
      </c>
    </row>
    <row r="15" spans="1:8" x14ac:dyDescent="0.45">
      <c r="A15" s="4">
        <v>34001</v>
      </c>
      <c r="B15" s="2">
        <v>18.445499999999999</v>
      </c>
      <c r="D15" s="4">
        <v>34001</v>
      </c>
      <c r="E15" s="5">
        <f t="shared" si="0"/>
        <v>5.2211477379666249E-2</v>
      </c>
      <c r="G15" s="4">
        <v>34001</v>
      </c>
      <c r="H15" s="6">
        <f t="shared" ref="H15:H78" si="1">LN(B15)-LN(B3)</f>
        <v>1.8356166403152407E-2</v>
      </c>
    </row>
    <row r="16" spans="1:8" x14ac:dyDescent="0.45">
      <c r="A16" s="4">
        <v>34029</v>
      </c>
      <c r="B16" s="2">
        <v>18.842608695652171</v>
      </c>
      <c r="D16" s="4">
        <v>34029</v>
      </c>
      <c r="E16" s="5">
        <f t="shared" si="0"/>
        <v>2.1300287063186207E-2</v>
      </c>
      <c r="G16" s="4">
        <v>34029</v>
      </c>
      <c r="H16" s="6">
        <f t="shared" si="1"/>
        <v>6.4870008912274457E-2</v>
      </c>
    </row>
    <row r="17" spans="1:8" x14ac:dyDescent="0.45">
      <c r="A17" s="4">
        <v>34060</v>
      </c>
      <c r="B17" s="2">
        <v>18.782727272727271</v>
      </c>
      <c r="D17" s="4">
        <v>34060</v>
      </c>
      <c r="E17" s="5">
        <f t="shared" si="0"/>
        <v>-3.1830399353149907E-3</v>
      </c>
      <c r="G17" s="4">
        <v>34060</v>
      </c>
      <c r="H17" s="6">
        <f t="shared" si="1"/>
        <v>-1.2338263956945816E-2</v>
      </c>
    </row>
    <row r="18" spans="1:8" x14ac:dyDescent="0.45">
      <c r="A18" s="4">
        <v>34090</v>
      </c>
      <c r="B18" s="2">
        <v>18.578095238095241</v>
      </c>
      <c r="D18" s="4">
        <v>34090</v>
      </c>
      <c r="E18" s="5">
        <f t="shared" si="0"/>
        <v>-1.0954474082982113E-2</v>
      </c>
      <c r="G18" s="4">
        <v>34090</v>
      </c>
      <c r="H18" s="6">
        <f t="shared" si="1"/>
        <v>-7.27962274553553E-2</v>
      </c>
    </row>
    <row r="19" spans="1:8" x14ac:dyDescent="0.45">
      <c r="A19" s="4">
        <v>34121</v>
      </c>
      <c r="B19" s="2">
        <v>17.634090909090911</v>
      </c>
      <c r="D19" s="4">
        <v>34121</v>
      </c>
      <c r="E19" s="5">
        <f t="shared" si="0"/>
        <v>-5.2149199361721355E-2</v>
      </c>
      <c r="G19" s="4">
        <v>34121</v>
      </c>
      <c r="H19" s="6">
        <f t="shared" si="1"/>
        <v>-0.18363100540274413</v>
      </c>
    </row>
    <row r="20" spans="1:8" x14ac:dyDescent="0.45">
      <c r="A20" s="4">
        <v>34151</v>
      </c>
      <c r="B20" s="2">
        <v>16.80863636363636</v>
      </c>
      <c r="D20" s="4">
        <v>34151</v>
      </c>
      <c r="E20" s="5">
        <f t="shared" si="0"/>
        <v>-4.7941188396697587E-2</v>
      </c>
      <c r="G20" s="4">
        <v>34151</v>
      </c>
      <c r="H20" s="6">
        <f t="shared" si="1"/>
        <v>-0.19001230921464707</v>
      </c>
    </row>
    <row r="21" spans="1:8" x14ac:dyDescent="0.45">
      <c r="A21" s="4">
        <v>34182</v>
      </c>
      <c r="B21" s="2">
        <v>16.836818181818181</v>
      </c>
      <c r="D21" s="4">
        <v>34182</v>
      </c>
      <c r="E21" s="5">
        <f t="shared" si="0"/>
        <v>1.6752233045012055E-3</v>
      </c>
      <c r="G21" s="4">
        <v>34182</v>
      </c>
      <c r="H21" s="6">
        <f t="shared" si="1"/>
        <v>-0.16175307536422823</v>
      </c>
    </row>
    <row r="22" spans="1:8" x14ac:dyDescent="0.45">
      <c r="A22" s="4">
        <v>34213</v>
      </c>
      <c r="B22" s="2">
        <v>16.139545454545448</v>
      </c>
      <c r="D22" s="4">
        <v>34213</v>
      </c>
      <c r="E22" s="5">
        <f t="shared" si="0"/>
        <v>-4.2295547111786735E-2</v>
      </c>
      <c r="G22" s="4">
        <v>34213</v>
      </c>
      <c r="H22" s="6">
        <f t="shared" si="1"/>
        <v>-0.22878844448939573</v>
      </c>
    </row>
    <row r="23" spans="1:8" x14ac:dyDescent="0.45">
      <c r="A23" s="4">
        <v>34243</v>
      </c>
      <c r="B23" s="2">
        <v>16.64238095238095</v>
      </c>
      <c r="D23" s="4">
        <v>34243</v>
      </c>
      <c r="E23" s="5">
        <f t="shared" si="0"/>
        <v>3.0680011460152645E-2</v>
      </c>
      <c r="G23" s="4">
        <v>34243</v>
      </c>
      <c r="H23" s="6">
        <f t="shared" si="1"/>
        <v>-0.19922800323127365</v>
      </c>
    </row>
    <row r="24" spans="1:8" x14ac:dyDescent="0.45">
      <c r="A24" s="4">
        <v>34274</v>
      </c>
      <c r="B24" s="2">
        <v>15.24</v>
      </c>
      <c r="D24" s="4">
        <v>34274</v>
      </c>
      <c r="E24" s="5">
        <f t="shared" si="0"/>
        <v>-8.8028960979311677E-2</v>
      </c>
      <c r="G24" s="4">
        <v>34274</v>
      </c>
      <c r="H24" s="6">
        <f t="shared" si="1"/>
        <v>-0.23078829639041976</v>
      </c>
    </row>
    <row r="25" spans="1:8" x14ac:dyDescent="0.45">
      <c r="A25" s="4">
        <v>34304</v>
      </c>
      <c r="B25" s="2">
        <v>13.559565217391301</v>
      </c>
      <c r="D25" s="4">
        <v>34304</v>
      </c>
      <c r="E25" s="5">
        <f t="shared" si="0"/>
        <v>-0.11683133187451</v>
      </c>
      <c r="G25" s="4">
        <v>34304</v>
      </c>
      <c r="H25" s="6">
        <f t="shared" si="1"/>
        <v>-0.29831092756299205</v>
      </c>
    </row>
    <row r="26" spans="1:8" x14ac:dyDescent="0.45">
      <c r="A26" s="4">
        <v>34335</v>
      </c>
      <c r="B26" s="2">
        <v>14.27380952380952</v>
      </c>
      <c r="D26" s="4">
        <v>34335</v>
      </c>
      <c r="E26" s="5">
        <f t="shared" si="0"/>
        <v>5.1334137800210122E-2</v>
      </c>
      <c r="G26" s="4">
        <v>34335</v>
      </c>
      <c r="H26" s="6">
        <f t="shared" si="1"/>
        <v>-0.20418260473460803</v>
      </c>
    </row>
    <row r="27" spans="1:8" x14ac:dyDescent="0.45">
      <c r="A27" s="4">
        <v>34366</v>
      </c>
      <c r="B27" s="2">
        <v>13.769500000000001</v>
      </c>
      <c r="D27" s="4">
        <v>34366</v>
      </c>
      <c r="E27" s="5">
        <f t="shared" si="0"/>
        <v>-3.5970354923515302E-2</v>
      </c>
      <c r="G27" s="4">
        <v>34366</v>
      </c>
      <c r="H27" s="6">
        <f t="shared" si="1"/>
        <v>-0.29236443703778958</v>
      </c>
    </row>
    <row r="28" spans="1:8" x14ac:dyDescent="0.45">
      <c r="A28" s="4">
        <v>34394</v>
      </c>
      <c r="B28" s="2">
        <v>13.77</v>
      </c>
      <c r="D28" s="4">
        <v>34394</v>
      </c>
      <c r="E28" s="5">
        <f t="shared" si="0"/>
        <v>3.6311479878481379E-5</v>
      </c>
      <c r="G28" s="4">
        <v>34394</v>
      </c>
      <c r="H28" s="6">
        <f t="shared" si="1"/>
        <v>-0.31362841262109731</v>
      </c>
    </row>
    <row r="29" spans="1:8" x14ac:dyDescent="0.45">
      <c r="A29" s="4">
        <v>34425</v>
      </c>
      <c r="B29" s="2">
        <v>15.09380952380952</v>
      </c>
      <c r="D29" s="4">
        <v>34425</v>
      </c>
      <c r="E29" s="5">
        <f t="shared" si="0"/>
        <v>9.179238171093429E-2</v>
      </c>
      <c r="G29" s="4">
        <v>34425</v>
      </c>
      <c r="H29" s="6">
        <f t="shared" si="1"/>
        <v>-0.21865299097484803</v>
      </c>
    </row>
    <row r="30" spans="1:8" x14ac:dyDescent="0.45">
      <c r="A30" s="4">
        <v>34455</v>
      </c>
      <c r="B30" s="2">
        <v>16.420909090909088</v>
      </c>
      <c r="D30" s="4">
        <v>34455</v>
      </c>
      <c r="E30" s="5">
        <f t="shared" si="0"/>
        <v>8.4270772894597723E-2</v>
      </c>
      <c r="G30" s="4">
        <v>34455</v>
      </c>
      <c r="H30" s="6">
        <f t="shared" si="1"/>
        <v>-0.12342774399726819</v>
      </c>
    </row>
    <row r="31" spans="1:8" x14ac:dyDescent="0.45">
      <c r="A31" s="4">
        <v>34486</v>
      </c>
      <c r="B31" s="2">
        <v>17.105454545454549</v>
      </c>
      <c r="D31" s="4">
        <v>34486</v>
      </c>
      <c r="E31" s="5">
        <f t="shared" si="0"/>
        <v>4.0841924565796273E-2</v>
      </c>
      <c r="G31" s="4">
        <v>34486</v>
      </c>
      <c r="H31" s="6">
        <f t="shared" si="1"/>
        <v>-3.0436620069750564E-2</v>
      </c>
    </row>
    <row r="32" spans="1:8" x14ac:dyDescent="0.45">
      <c r="A32" s="4">
        <v>34516</v>
      </c>
      <c r="B32" s="2">
        <v>18.1247619047619</v>
      </c>
      <c r="D32" s="4">
        <v>34516</v>
      </c>
      <c r="E32" s="5">
        <f t="shared" si="0"/>
        <v>5.7881672453566235E-2</v>
      </c>
      <c r="G32" s="4">
        <v>34516</v>
      </c>
      <c r="H32" s="6">
        <f t="shared" si="1"/>
        <v>7.5386240780513258E-2</v>
      </c>
    </row>
    <row r="33" spans="1:8" x14ac:dyDescent="0.45">
      <c r="A33" s="4">
        <v>34547</v>
      </c>
      <c r="B33" s="2">
        <v>16.912608695652171</v>
      </c>
      <c r="D33" s="4">
        <v>34547</v>
      </c>
      <c r="E33" s="5">
        <f t="shared" si="0"/>
        <v>-6.9219643947464604E-2</v>
      </c>
      <c r="G33" s="4">
        <v>34547</v>
      </c>
      <c r="H33" s="6">
        <f t="shared" si="1"/>
        <v>4.4913735285474488E-3</v>
      </c>
    </row>
    <row r="34" spans="1:8" x14ac:dyDescent="0.45">
      <c r="A34" s="4">
        <v>34578</v>
      </c>
      <c r="B34" s="2">
        <v>16.03863636363636</v>
      </c>
      <c r="D34" s="4">
        <v>34578</v>
      </c>
      <c r="E34" s="5">
        <f t="shared" si="0"/>
        <v>-5.3058836329470171E-2</v>
      </c>
      <c r="G34" s="4">
        <v>34578</v>
      </c>
      <c r="H34" s="6">
        <f t="shared" si="1"/>
        <v>-6.2719156891359873E-3</v>
      </c>
    </row>
    <row r="35" spans="1:8" x14ac:dyDescent="0.45">
      <c r="A35" s="4">
        <v>34608</v>
      </c>
      <c r="B35" s="2">
        <v>16.550952380952381</v>
      </c>
      <c r="D35" s="4">
        <v>34608</v>
      </c>
      <c r="E35" s="5">
        <f t="shared" si="0"/>
        <v>3.1443061755740853E-2</v>
      </c>
      <c r="G35" s="4">
        <v>34608</v>
      </c>
      <c r="H35" s="6">
        <f t="shared" si="1"/>
        <v>-5.5088653935477794E-3</v>
      </c>
    </row>
    <row r="36" spans="1:8" x14ac:dyDescent="0.45">
      <c r="A36" s="4">
        <v>34639</v>
      </c>
      <c r="B36" s="2">
        <v>17.414090909090909</v>
      </c>
      <c r="D36" s="4">
        <v>34639</v>
      </c>
      <c r="E36" s="5">
        <f t="shared" si="0"/>
        <v>5.0836055008560255E-2</v>
      </c>
      <c r="G36" s="4">
        <v>34639</v>
      </c>
      <c r="H36" s="6">
        <f t="shared" si="1"/>
        <v>0.13335615059432415</v>
      </c>
    </row>
    <row r="37" spans="1:8" x14ac:dyDescent="0.45">
      <c r="A37" s="4">
        <v>34669</v>
      </c>
      <c r="B37" s="2">
        <v>16.041363636363641</v>
      </c>
      <c r="D37" s="4">
        <v>34669</v>
      </c>
      <c r="E37" s="5">
        <f t="shared" si="0"/>
        <v>-8.2109087292115746E-2</v>
      </c>
      <c r="G37" s="4">
        <v>34669</v>
      </c>
      <c r="H37" s="6">
        <f t="shared" si="1"/>
        <v>0.16807839517671841</v>
      </c>
    </row>
    <row r="38" spans="1:8" x14ac:dyDescent="0.45">
      <c r="A38" s="4">
        <v>34700</v>
      </c>
      <c r="B38" s="2">
        <v>16.654090909090911</v>
      </c>
      <c r="D38" s="4">
        <v>34700</v>
      </c>
      <c r="E38" s="5">
        <f t="shared" si="0"/>
        <v>3.7485272932082481E-2</v>
      </c>
      <c r="G38" s="4">
        <v>34700</v>
      </c>
      <c r="H38" s="6">
        <f t="shared" si="1"/>
        <v>0.15422953030859077</v>
      </c>
    </row>
    <row r="39" spans="1:8" x14ac:dyDescent="0.45">
      <c r="A39" s="4">
        <v>34731</v>
      </c>
      <c r="B39" s="2">
        <v>17.271000000000001</v>
      </c>
      <c r="D39" s="4">
        <v>34731</v>
      </c>
      <c r="E39" s="5">
        <f t="shared" si="0"/>
        <v>3.6372907868991167E-2</v>
      </c>
      <c r="G39" s="4">
        <v>34731</v>
      </c>
      <c r="H39" s="6">
        <f t="shared" si="1"/>
        <v>0.22657279310109724</v>
      </c>
    </row>
    <row r="40" spans="1:8" x14ac:dyDescent="0.45">
      <c r="A40" s="4">
        <v>34759</v>
      </c>
      <c r="B40" s="2">
        <v>17.236521739130431</v>
      </c>
      <c r="D40" s="4">
        <v>34759</v>
      </c>
      <c r="E40" s="5">
        <f t="shared" si="0"/>
        <v>-1.9983047524245734E-3</v>
      </c>
      <c r="G40" s="4">
        <v>34759</v>
      </c>
      <c r="H40" s="6">
        <f t="shared" si="1"/>
        <v>0.22453817686879418</v>
      </c>
    </row>
    <row r="41" spans="1:8" x14ac:dyDescent="0.45">
      <c r="A41" s="4">
        <v>34790</v>
      </c>
      <c r="B41" s="2">
        <v>18.824000000000002</v>
      </c>
      <c r="D41" s="4">
        <v>34790</v>
      </c>
      <c r="E41" s="5">
        <f t="shared" si="0"/>
        <v>8.8102161815703628E-2</v>
      </c>
      <c r="G41" s="4">
        <v>34790</v>
      </c>
      <c r="H41" s="6">
        <f t="shared" si="1"/>
        <v>0.22084795697356352</v>
      </c>
    </row>
    <row r="42" spans="1:8" x14ac:dyDescent="0.45">
      <c r="A42" s="4">
        <v>34820</v>
      </c>
      <c r="B42" s="2">
        <v>18.677826086956522</v>
      </c>
      <c r="D42" s="4">
        <v>34820</v>
      </c>
      <c r="E42" s="5">
        <f t="shared" si="0"/>
        <v>-7.7956018978921904E-3</v>
      </c>
      <c r="G42" s="4">
        <v>34820</v>
      </c>
      <c r="H42" s="6">
        <f t="shared" si="1"/>
        <v>0.12878158218107361</v>
      </c>
    </row>
    <row r="43" spans="1:8" x14ac:dyDescent="0.45">
      <c r="A43" s="4">
        <v>34851</v>
      </c>
      <c r="B43" s="2">
        <v>17.35318181818182</v>
      </c>
      <c r="D43" s="4">
        <v>34851</v>
      </c>
      <c r="E43" s="5">
        <f t="shared" si="0"/>
        <v>-7.3561169851274144E-2</v>
      </c>
      <c r="G43" s="4">
        <v>34851</v>
      </c>
      <c r="H43" s="6">
        <f t="shared" si="1"/>
        <v>1.4378487764003189E-2</v>
      </c>
    </row>
    <row r="44" spans="1:8" x14ac:dyDescent="0.45">
      <c r="A44" s="4">
        <v>34881</v>
      </c>
      <c r="B44" s="2">
        <v>16.080952380952379</v>
      </c>
      <c r="D44" s="4">
        <v>34881</v>
      </c>
      <c r="E44" s="5">
        <f t="shared" si="0"/>
        <v>-7.6140390007795933E-2</v>
      </c>
      <c r="G44" s="4">
        <v>34881</v>
      </c>
      <c r="H44" s="6">
        <f t="shared" si="1"/>
        <v>-0.11964357469735898</v>
      </c>
    </row>
    <row r="45" spans="1:8" x14ac:dyDescent="0.45">
      <c r="A45" s="4">
        <v>34912</v>
      </c>
      <c r="B45" s="2">
        <v>16.255217391304349</v>
      </c>
      <c r="D45" s="4">
        <v>34912</v>
      </c>
      <c r="E45" s="5">
        <f t="shared" si="0"/>
        <v>1.0778437809743746E-2</v>
      </c>
      <c r="G45" s="4">
        <v>34912</v>
      </c>
      <c r="H45" s="6">
        <f t="shared" si="1"/>
        <v>-3.9645492940150628E-2</v>
      </c>
    </row>
    <row r="46" spans="1:8" x14ac:dyDescent="0.45">
      <c r="A46" s="4">
        <v>34943</v>
      </c>
      <c r="B46" s="2">
        <v>16.691904761904759</v>
      </c>
      <c r="D46" s="4">
        <v>34943</v>
      </c>
      <c r="E46" s="5">
        <f t="shared" si="0"/>
        <v>2.6509929622003714E-2</v>
      </c>
      <c r="G46" s="4">
        <v>34943</v>
      </c>
      <c r="H46" s="6">
        <f t="shared" si="1"/>
        <v>3.9923273011323257E-2</v>
      </c>
    </row>
    <row r="47" spans="1:8" x14ac:dyDescent="0.45">
      <c r="A47" s="4">
        <v>34973</v>
      </c>
      <c r="B47" s="2">
        <v>16.193636363636362</v>
      </c>
      <c r="D47" s="4">
        <v>34973</v>
      </c>
      <c r="E47" s="5">
        <f t="shared" si="0"/>
        <v>-3.030550909382379E-2</v>
      </c>
      <c r="G47" s="4">
        <v>34973</v>
      </c>
      <c r="H47" s="6">
        <f t="shared" si="1"/>
        <v>-2.1825297838241386E-2</v>
      </c>
    </row>
    <row r="48" spans="1:8" x14ac:dyDescent="0.45">
      <c r="A48" s="4">
        <v>35004</v>
      </c>
      <c r="B48" s="2">
        <v>16.910454545454549</v>
      </c>
      <c r="D48" s="4">
        <v>35004</v>
      </c>
      <c r="E48" s="5">
        <f t="shared" si="0"/>
        <v>4.3313694818452486E-2</v>
      </c>
      <c r="G48" s="4">
        <v>35004</v>
      </c>
      <c r="H48" s="6">
        <f t="shared" si="1"/>
        <v>-2.9347658028349155E-2</v>
      </c>
    </row>
    <row r="49" spans="1:8" x14ac:dyDescent="0.45">
      <c r="A49" s="4">
        <v>35034</v>
      </c>
      <c r="B49" s="2">
        <v>18.23619047619048</v>
      </c>
      <c r="D49" s="4">
        <v>35034</v>
      </c>
      <c r="E49" s="5">
        <f t="shared" si="0"/>
        <v>7.5476064536355469E-2</v>
      </c>
      <c r="G49" s="4">
        <v>35034</v>
      </c>
      <c r="H49" s="6">
        <f t="shared" si="1"/>
        <v>0.12823749380012206</v>
      </c>
    </row>
    <row r="50" spans="1:8" x14ac:dyDescent="0.45">
      <c r="A50" s="4">
        <v>35065</v>
      </c>
      <c r="B50" s="2">
        <v>18.135217391304352</v>
      </c>
      <c r="D50" s="4">
        <v>35065</v>
      </c>
      <c r="E50" s="5">
        <f t="shared" si="0"/>
        <v>-5.5523473085465902E-3</v>
      </c>
      <c r="G50" s="4">
        <v>35065</v>
      </c>
      <c r="H50" s="6">
        <f t="shared" si="1"/>
        <v>8.5199873559492989E-2</v>
      </c>
    </row>
    <row r="51" spans="1:8" x14ac:dyDescent="0.45">
      <c r="A51" s="4">
        <v>35096</v>
      </c>
      <c r="B51" s="2">
        <v>17.846190476190479</v>
      </c>
      <c r="D51" s="4">
        <v>35096</v>
      </c>
      <c r="E51" s="5">
        <f t="shared" si="0"/>
        <v>-1.606569330446117E-2</v>
      </c>
      <c r="G51" s="4">
        <v>35096</v>
      </c>
      <c r="H51" s="6">
        <f t="shared" si="1"/>
        <v>3.2761272386040652E-2</v>
      </c>
    </row>
    <row r="52" spans="1:8" x14ac:dyDescent="0.45">
      <c r="A52" s="4">
        <v>35125</v>
      </c>
      <c r="B52" s="2">
        <v>19.80952380952381</v>
      </c>
      <c r="D52" s="4">
        <v>35125</v>
      </c>
      <c r="E52" s="5">
        <f t="shared" si="0"/>
        <v>0.10437275579001737</v>
      </c>
      <c r="G52" s="4">
        <v>35125</v>
      </c>
      <c r="H52" s="6">
        <f t="shared" si="1"/>
        <v>0.13913233292848259</v>
      </c>
    </row>
    <row r="53" spans="1:8" x14ac:dyDescent="0.45">
      <c r="A53" s="4">
        <v>35156</v>
      </c>
      <c r="B53" s="2">
        <v>21.200454545454551</v>
      </c>
      <c r="D53" s="4">
        <v>35156</v>
      </c>
      <c r="E53" s="5">
        <f t="shared" si="0"/>
        <v>6.7859799733603232E-2</v>
      </c>
      <c r="G53" s="4">
        <v>35156</v>
      </c>
      <c r="H53" s="6">
        <f t="shared" si="1"/>
        <v>0.1188899708463822</v>
      </c>
    </row>
    <row r="54" spans="1:8" x14ac:dyDescent="0.45">
      <c r="A54" s="4">
        <v>35186</v>
      </c>
      <c r="B54" s="2">
        <v>19.319130434782611</v>
      </c>
      <c r="D54" s="4">
        <v>35186</v>
      </c>
      <c r="E54" s="5">
        <f t="shared" si="0"/>
        <v>-9.2926803051611273E-2</v>
      </c>
      <c r="G54" s="4">
        <v>35186</v>
      </c>
      <c r="H54" s="6">
        <f t="shared" si="1"/>
        <v>3.3758769692663115E-2</v>
      </c>
    </row>
    <row r="55" spans="1:8" x14ac:dyDescent="0.45">
      <c r="A55" s="4">
        <v>35217</v>
      </c>
      <c r="B55" s="2">
        <v>18.577500000000001</v>
      </c>
      <c r="D55" s="4">
        <v>35217</v>
      </c>
      <c r="E55" s="5">
        <f t="shared" si="0"/>
        <v>-3.9144648170344798E-2</v>
      </c>
      <c r="G55" s="4">
        <v>35217</v>
      </c>
      <c r="H55" s="6">
        <f t="shared" si="1"/>
        <v>6.8175291373592461E-2</v>
      </c>
    </row>
    <row r="56" spans="1:8" x14ac:dyDescent="0.45">
      <c r="A56" s="4">
        <v>35247</v>
      </c>
      <c r="B56" s="2">
        <v>19.71478260869565</v>
      </c>
      <c r="D56" s="4">
        <v>35247</v>
      </c>
      <c r="E56" s="5">
        <f t="shared" si="0"/>
        <v>5.9417569523678271E-2</v>
      </c>
      <c r="G56" s="4">
        <v>35247</v>
      </c>
      <c r="H56" s="6">
        <f t="shared" si="1"/>
        <v>0.20373325090506667</v>
      </c>
    </row>
    <row r="57" spans="1:8" x14ac:dyDescent="0.45">
      <c r="A57" s="4">
        <v>35278</v>
      </c>
      <c r="B57" s="2">
        <v>20.605909090909091</v>
      </c>
      <c r="D57" s="4">
        <v>35278</v>
      </c>
      <c r="E57" s="5">
        <f t="shared" si="0"/>
        <v>4.4209143162297071E-2</v>
      </c>
      <c r="G57" s="4">
        <v>35278</v>
      </c>
      <c r="H57" s="6">
        <f t="shared" si="1"/>
        <v>0.23716395625761999</v>
      </c>
    </row>
    <row r="58" spans="1:8" x14ac:dyDescent="0.45">
      <c r="A58" s="4">
        <v>35309</v>
      </c>
      <c r="B58" s="2">
        <v>23.081428571428571</v>
      </c>
      <c r="D58" s="4">
        <v>35309</v>
      </c>
      <c r="E58" s="5">
        <f t="shared" si="0"/>
        <v>0.11345045249796293</v>
      </c>
      <c r="G58" s="4">
        <v>35309</v>
      </c>
      <c r="H58" s="6">
        <f t="shared" si="1"/>
        <v>0.3241044791335792</v>
      </c>
    </row>
    <row r="59" spans="1:8" x14ac:dyDescent="0.45">
      <c r="A59" s="4">
        <v>35339</v>
      </c>
      <c r="B59" s="2">
        <v>24.27347826086957</v>
      </c>
      <c r="D59" s="4">
        <v>35339</v>
      </c>
      <c r="E59" s="5">
        <f t="shared" si="0"/>
        <v>5.0355988476221025E-2</v>
      </c>
      <c r="G59" s="4">
        <v>35339</v>
      </c>
      <c r="H59" s="6">
        <f t="shared" si="1"/>
        <v>0.40476597670362402</v>
      </c>
    </row>
    <row r="60" spans="1:8" x14ac:dyDescent="0.45">
      <c r="A60" s="4">
        <v>35370</v>
      </c>
      <c r="B60" s="2">
        <v>23.102380952380951</v>
      </c>
      <c r="D60" s="4">
        <v>35370</v>
      </c>
      <c r="E60" s="5">
        <f t="shared" si="0"/>
        <v>-4.9448640961761381E-2</v>
      </c>
      <c r="G60" s="4">
        <v>35370</v>
      </c>
      <c r="H60" s="6">
        <f t="shared" si="1"/>
        <v>0.31200364092341015</v>
      </c>
    </row>
    <row r="61" spans="1:8" x14ac:dyDescent="0.45">
      <c r="A61" s="4">
        <v>35400</v>
      </c>
      <c r="B61" s="2">
        <v>24.036363636363639</v>
      </c>
      <c r="D61" s="4">
        <v>35400</v>
      </c>
      <c r="E61" s="5">
        <f t="shared" si="0"/>
        <v>3.9632151431275631E-2</v>
      </c>
      <c r="G61" s="4">
        <v>35400</v>
      </c>
      <c r="H61" s="6">
        <f t="shared" si="1"/>
        <v>0.27615972781833031</v>
      </c>
    </row>
    <row r="62" spans="1:8" x14ac:dyDescent="0.45">
      <c r="A62" s="4">
        <v>35431</v>
      </c>
      <c r="B62" s="2">
        <v>23.60565217391304</v>
      </c>
      <c r="D62" s="4">
        <v>35431</v>
      </c>
      <c r="E62" s="5">
        <f t="shared" si="0"/>
        <v>-1.8081652928258141E-2</v>
      </c>
      <c r="G62" s="4">
        <v>35431</v>
      </c>
      <c r="H62" s="6">
        <f t="shared" si="1"/>
        <v>0.26363042219861876</v>
      </c>
    </row>
    <row r="63" spans="1:8" x14ac:dyDescent="0.45">
      <c r="A63" s="4">
        <v>35462</v>
      </c>
      <c r="B63" s="2">
        <v>20.920500000000001</v>
      </c>
      <c r="D63" s="4">
        <v>35462</v>
      </c>
      <c r="E63" s="5">
        <f t="shared" si="0"/>
        <v>-0.12075664276618125</v>
      </c>
      <c r="G63" s="4">
        <v>35462</v>
      </c>
      <c r="H63" s="6">
        <f t="shared" si="1"/>
        <v>0.15893947273689868</v>
      </c>
    </row>
    <row r="64" spans="1:8" x14ac:dyDescent="0.45">
      <c r="A64" s="4">
        <v>35490</v>
      </c>
      <c r="B64" s="2">
        <v>19.55952380952381</v>
      </c>
      <c r="D64" s="4">
        <v>35490</v>
      </c>
      <c r="E64" s="5">
        <f t="shared" si="0"/>
        <v>-6.7267220290767149E-2</v>
      </c>
      <c r="G64" s="4">
        <v>35490</v>
      </c>
      <c r="H64" s="6">
        <f t="shared" si="1"/>
        <v>-1.2700503343885838E-2</v>
      </c>
    </row>
    <row r="65" spans="1:8" x14ac:dyDescent="0.45">
      <c r="A65" s="4">
        <v>35521</v>
      </c>
      <c r="B65" s="2">
        <v>17.775454545454551</v>
      </c>
      <c r="D65" s="4">
        <v>35521</v>
      </c>
      <c r="E65" s="5">
        <f t="shared" si="0"/>
        <v>-9.5643771654141396E-2</v>
      </c>
      <c r="G65" s="4">
        <v>35521</v>
      </c>
      <c r="H65" s="6">
        <f t="shared" si="1"/>
        <v>-0.17620407473163047</v>
      </c>
    </row>
    <row r="66" spans="1:8" x14ac:dyDescent="0.45">
      <c r="A66" s="4">
        <v>35551</v>
      </c>
      <c r="B66" s="2">
        <v>19.24545454545455</v>
      </c>
      <c r="D66" s="4">
        <v>35551</v>
      </c>
      <c r="E66" s="5">
        <f t="shared" si="0"/>
        <v>7.9456357802635935E-2</v>
      </c>
      <c r="G66" s="4">
        <v>35551</v>
      </c>
      <c r="H66" s="6">
        <f t="shared" si="1"/>
        <v>-3.8209138773832585E-3</v>
      </c>
    </row>
    <row r="67" spans="1:8" x14ac:dyDescent="0.45">
      <c r="A67" s="4">
        <v>35582</v>
      </c>
      <c r="B67" s="2">
        <v>17.80380952380952</v>
      </c>
      <c r="D67" s="4">
        <v>35582</v>
      </c>
      <c r="E67" s="5">
        <f t="shared" si="0"/>
        <v>-7.786245275148973E-2</v>
      </c>
      <c r="G67" s="4">
        <v>35582</v>
      </c>
      <c r="H67" s="6">
        <f t="shared" si="1"/>
        <v>-4.2538718458528191E-2</v>
      </c>
    </row>
    <row r="68" spans="1:8" x14ac:dyDescent="0.45">
      <c r="A68" s="4">
        <v>35612</v>
      </c>
      <c r="B68" s="2">
        <v>18.556521739130432</v>
      </c>
      <c r="D68" s="4">
        <v>35612</v>
      </c>
      <c r="E68" s="5">
        <f t="shared" ref="E68:E131" si="2">LN(B68)-LN(B67)</f>
        <v>4.1408850907489025E-2</v>
      </c>
      <c r="G68" s="4">
        <v>35612</v>
      </c>
      <c r="H68" s="6">
        <f t="shared" si="1"/>
        <v>-6.0547437074717436E-2</v>
      </c>
    </row>
    <row r="69" spans="1:8" x14ac:dyDescent="0.45">
      <c r="A69" s="4">
        <v>35643</v>
      </c>
      <c r="B69" s="2">
        <v>18.815714285714289</v>
      </c>
      <c r="D69" s="4">
        <v>35643</v>
      </c>
      <c r="E69" s="5">
        <f t="shared" si="2"/>
        <v>1.3871083457193567E-2</v>
      </c>
      <c r="G69" s="4">
        <v>35643</v>
      </c>
      <c r="H69" s="6">
        <f t="shared" si="1"/>
        <v>-9.088549677982094E-2</v>
      </c>
    </row>
    <row r="70" spans="1:8" x14ac:dyDescent="0.45">
      <c r="A70" s="4">
        <v>35674</v>
      </c>
      <c r="B70" s="2">
        <v>18.581818181818178</v>
      </c>
      <c r="D70" s="4">
        <v>35674</v>
      </c>
      <c r="E70" s="5">
        <f t="shared" si="2"/>
        <v>-1.2508801424463201E-2</v>
      </c>
      <c r="G70" s="4">
        <v>35674</v>
      </c>
      <c r="H70" s="6">
        <f t="shared" si="1"/>
        <v>-0.21684475070224707</v>
      </c>
    </row>
    <row r="71" spans="1:8" x14ac:dyDescent="0.45">
      <c r="A71" s="4">
        <v>35704</v>
      </c>
      <c r="B71" s="2">
        <v>20.13260869565217</v>
      </c>
      <c r="D71" s="4">
        <v>35704</v>
      </c>
      <c r="E71" s="5">
        <f t="shared" si="2"/>
        <v>8.015723815594944E-2</v>
      </c>
      <c r="G71" s="4">
        <v>35704</v>
      </c>
      <c r="H71" s="6">
        <f t="shared" si="1"/>
        <v>-0.18704350102251865</v>
      </c>
    </row>
    <row r="72" spans="1:8" x14ac:dyDescent="0.45">
      <c r="A72" s="4">
        <v>35735</v>
      </c>
      <c r="B72" s="2">
        <v>19.309000000000001</v>
      </c>
      <c r="D72" s="4">
        <v>35735</v>
      </c>
      <c r="E72" s="5">
        <f t="shared" si="2"/>
        <v>-4.1769515226726561E-2</v>
      </c>
      <c r="G72" s="4">
        <v>35735</v>
      </c>
      <c r="H72" s="6">
        <f t="shared" si="1"/>
        <v>-0.17936437528748383</v>
      </c>
    </row>
    <row r="73" spans="1:8" x14ac:dyDescent="0.45">
      <c r="A73" s="4">
        <v>35765</v>
      </c>
      <c r="B73" s="2">
        <v>17.41782608695652</v>
      </c>
      <c r="D73" s="4">
        <v>35765</v>
      </c>
      <c r="E73" s="5">
        <f t="shared" si="2"/>
        <v>-0.10307713891322701</v>
      </c>
      <c r="G73" s="4">
        <v>35765</v>
      </c>
      <c r="H73" s="6">
        <f t="shared" si="1"/>
        <v>-0.32207366563198647</v>
      </c>
    </row>
    <row r="74" spans="1:8" x14ac:dyDescent="0.45">
      <c r="A74" s="4">
        <v>35796</v>
      </c>
      <c r="B74" s="2">
        <v>15.51045454545455</v>
      </c>
      <c r="D74" s="4">
        <v>35796</v>
      </c>
      <c r="E74" s="5">
        <f t="shared" si="2"/>
        <v>-0.11597988618244814</v>
      </c>
      <c r="G74" s="4">
        <v>35796</v>
      </c>
      <c r="H74" s="6">
        <f t="shared" si="1"/>
        <v>-0.41997189888617648</v>
      </c>
    </row>
    <row r="75" spans="1:8" x14ac:dyDescent="0.45">
      <c r="A75" s="4">
        <v>35827</v>
      </c>
      <c r="B75" s="2">
        <v>14.366</v>
      </c>
      <c r="D75" s="4">
        <v>35827</v>
      </c>
      <c r="E75" s="5">
        <f t="shared" si="2"/>
        <v>-7.6649979712116512E-2</v>
      </c>
      <c r="G75" s="4">
        <v>35827</v>
      </c>
      <c r="H75" s="6">
        <f t="shared" si="1"/>
        <v>-0.37586523583211173</v>
      </c>
    </row>
    <row r="76" spans="1:8" x14ac:dyDescent="0.45">
      <c r="A76" s="4">
        <v>35855</v>
      </c>
      <c r="B76" s="2">
        <v>13.46</v>
      </c>
      <c r="D76" s="4">
        <v>35855</v>
      </c>
      <c r="E76" s="5">
        <f t="shared" si="2"/>
        <v>-6.5141979436027952E-2</v>
      </c>
      <c r="G76" s="4">
        <v>35855</v>
      </c>
      <c r="H76" s="6">
        <f t="shared" si="1"/>
        <v>-0.37373999497737254</v>
      </c>
    </row>
    <row r="77" spans="1:8" x14ac:dyDescent="0.45">
      <c r="A77" s="4">
        <v>35886</v>
      </c>
      <c r="B77" s="2">
        <v>13.80909090909091</v>
      </c>
      <c r="D77" s="4">
        <v>35886</v>
      </c>
      <c r="E77" s="5">
        <f t="shared" si="2"/>
        <v>2.5604812586774717E-2</v>
      </c>
      <c r="G77" s="4">
        <v>35886</v>
      </c>
      <c r="H77" s="6">
        <f t="shared" si="1"/>
        <v>-0.25249141073645642</v>
      </c>
    </row>
    <row r="78" spans="1:8" x14ac:dyDescent="0.45">
      <c r="A78" s="4">
        <v>35916</v>
      </c>
      <c r="B78" s="2">
        <v>14.508571428571431</v>
      </c>
      <c r="D78" s="4">
        <v>35916</v>
      </c>
      <c r="E78" s="5">
        <f t="shared" si="2"/>
        <v>4.9412470977808098E-2</v>
      </c>
      <c r="G78" s="4">
        <v>35916</v>
      </c>
      <c r="H78" s="6">
        <f t="shared" si="1"/>
        <v>-0.28253529756128426</v>
      </c>
    </row>
    <row r="79" spans="1:8" x14ac:dyDescent="0.45">
      <c r="A79" s="4">
        <v>35947</v>
      </c>
      <c r="B79" s="2">
        <v>13.05954545454545</v>
      </c>
      <c r="D79" s="4">
        <v>35947</v>
      </c>
      <c r="E79" s="5">
        <f t="shared" si="2"/>
        <v>-0.10522028893784308</v>
      </c>
      <c r="G79" s="4">
        <v>35947</v>
      </c>
      <c r="H79" s="6">
        <f t="shared" ref="H79:H142" si="3">LN(B79)-LN(B67)</f>
        <v>-0.30989313374763761</v>
      </c>
    </row>
    <row r="80" spans="1:8" x14ac:dyDescent="0.45">
      <c r="A80" s="4">
        <v>35977</v>
      </c>
      <c r="B80" s="2">
        <v>12.52347826086957</v>
      </c>
      <c r="D80" s="4">
        <v>35977</v>
      </c>
      <c r="E80" s="5">
        <f t="shared" si="2"/>
        <v>-4.1914175391804864E-2</v>
      </c>
      <c r="G80" s="4">
        <v>35977</v>
      </c>
      <c r="H80" s="6">
        <f t="shared" si="3"/>
        <v>-0.3932161600469315</v>
      </c>
    </row>
    <row r="81" spans="1:8" x14ac:dyDescent="0.45">
      <c r="A81" s="4">
        <v>36008</v>
      </c>
      <c r="B81" s="2">
        <v>12.15285714285714</v>
      </c>
      <c r="D81" s="4">
        <v>36008</v>
      </c>
      <c r="E81" s="5">
        <f t="shared" si="2"/>
        <v>-3.0040845519037518E-2</v>
      </c>
      <c r="G81" s="4">
        <v>36008</v>
      </c>
      <c r="H81" s="6">
        <f t="shared" si="3"/>
        <v>-0.43712808902316258</v>
      </c>
    </row>
    <row r="82" spans="1:8" x14ac:dyDescent="0.45">
      <c r="A82" s="4">
        <v>36039</v>
      </c>
      <c r="B82" s="2">
        <v>13.62636363636364</v>
      </c>
      <c r="D82" s="4">
        <v>36039</v>
      </c>
      <c r="E82" s="5">
        <f t="shared" si="2"/>
        <v>0.11444212101165485</v>
      </c>
      <c r="G82" s="4">
        <v>36039</v>
      </c>
      <c r="H82" s="6">
        <f t="shared" si="3"/>
        <v>-0.31017716658704453</v>
      </c>
    </row>
    <row r="83" spans="1:8" x14ac:dyDescent="0.45">
      <c r="A83" s="4">
        <v>36069</v>
      </c>
      <c r="B83" s="2">
        <v>12.89636363636364</v>
      </c>
      <c r="D83" s="4">
        <v>36069</v>
      </c>
      <c r="E83" s="5">
        <f t="shared" si="2"/>
        <v>-5.5061035968563488E-2</v>
      </c>
      <c r="G83" s="4">
        <v>36069</v>
      </c>
      <c r="H83" s="6">
        <f t="shared" si="3"/>
        <v>-0.44539544071155746</v>
      </c>
    </row>
    <row r="84" spans="1:8" x14ac:dyDescent="0.45">
      <c r="A84" s="4">
        <v>36100</v>
      </c>
      <c r="B84" s="2">
        <v>11.441904761904761</v>
      </c>
      <c r="D84" s="4">
        <v>36100</v>
      </c>
      <c r="E84" s="5">
        <f t="shared" si="2"/>
        <v>-0.11966291071703283</v>
      </c>
      <c r="G84" s="4">
        <v>36100</v>
      </c>
      <c r="H84" s="6">
        <f t="shared" si="3"/>
        <v>-0.52328883620186373</v>
      </c>
    </row>
    <row r="85" spans="1:8" x14ac:dyDescent="0.45">
      <c r="A85" s="4">
        <v>36130</v>
      </c>
      <c r="B85" s="2">
        <v>10.16</v>
      </c>
      <c r="D85" s="4">
        <v>36130</v>
      </c>
      <c r="E85" s="5">
        <f t="shared" si="2"/>
        <v>-0.11882403010820175</v>
      </c>
      <c r="G85" s="4">
        <v>36130</v>
      </c>
      <c r="H85" s="6">
        <f t="shared" si="3"/>
        <v>-0.53903572739683847</v>
      </c>
    </row>
    <row r="86" spans="1:8" x14ac:dyDescent="0.45">
      <c r="A86" s="4">
        <v>36161</v>
      </c>
      <c r="B86" s="2">
        <v>11.186666666666669</v>
      </c>
      <c r="D86" s="4">
        <v>36161</v>
      </c>
      <c r="E86" s="5">
        <f t="shared" si="2"/>
        <v>9.6264150780559721E-2</v>
      </c>
      <c r="G86" s="4">
        <v>36161</v>
      </c>
      <c r="H86" s="6">
        <f t="shared" si="3"/>
        <v>-0.32679169043383061</v>
      </c>
    </row>
    <row r="87" spans="1:8" x14ac:dyDescent="0.45">
      <c r="A87" s="4">
        <v>36192</v>
      </c>
      <c r="B87" s="2">
        <v>10.429500000000001</v>
      </c>
      <c r="D87" s="4">
        <v>36192</v>
      </c>
      <c r="E87" s="5">
        <f t="shared" si="2"/>
        <v>-7.0084263705850525E-2</v>
      </c>
      <c r="G87" s="4">
        <v>36192</v>
      </c>
      <c r="H87" s="6">
        <f t="shared" si="3"/>
        <v>-0.32022597442756462</v>
      </c>
    </row>
    <row r="88" spans="1:8" x14ac:dyDescent="0.45">
      <c r="A88" s="4">
        <v>36220</v>
      </c>
      <c r="B88" s="2">
        <v>12.88521739130435</v>
      </c>
      <c r="D88" s="4">
        <v>36220</v>
      </c>
      <c r="E88" s="5">
        <f t="shared" si="2"/>
        <v>0.21144238639426138</v>
      </c>
      <c r="G88" s="4">
        <v>36220</v>
      </c>
      <c r="H88" s="6">
        <f t="shared" si="3"/>
        <v>-4.3641608597275283E-2</v>
      </c>
    </row>
    <row r="89" spans="1:8" x14ac:dyDescent="0.45">
      <c r="A89" s="4">
        <v>36251</v>
      </c>
      <c r="B89" s="2">
        <v>15.50090909090909</v>
      </c>
      <c r="D89" s="4">
        <v>36251</v>
      </c>
      <c r="E89" s="5">
        <f t="shared" si="2"/>
        <v>0.18481795761238295</v>
      </c>
      <c r="G89" s="4">
        <v>36251</v>
      </c>
      <c r="H89" s="6">
        <f t="shared" si="3"/>
        <v>0.11557153642833295</v>
      </c>
    </row>
    <row r="90" spans="1:8" x14ac:dyDescent="0.45">
      <c r="A90" s="4">
        <v>36281</v>
      </c>
      <c r="B90" s="2">
        <v>15.67</v>
      </c>
      <c r="D90" s="4">
        <v>36281</v>
      </c>
      <c r="E90" s="5">
        <f t="shared" si="2"/>
        <v>1.0849383136239954E-2</v>
      </c>
      <c r="G90" s="4">
        <v>36281</v>
      </c>
      <c r="H90" s="6">
        <f t="shared" si="3"/>
        <v>7.7008448586764811E-2</v>
      </c>
    </row>
    <row r="91" spans="1:8" x14ac:dyDescent="0.45">
      <c r="A91" s="4">
        <v>36312</v>
      </c>
      <c r="B91" s="2">
        <v>16.131818181818179</v>
      </c>
      <c r="D91" s="4">
        <v>36312</v>
      </c>
      <c r="E91" s="5">
        <f t="shared" si="2"/>
        <v>2.904554992620545E-2</v>
      </c>
      <c r="G91" s="4">
        <v>36312</v>
      </c>
      <c r="H91" s="6">
        <f t="shared" si="3"/>
        <v>0.21127428745081334</v>
      </c>
    </row>
    <row r="92" spans="1:8" x14ac:dyDescent="0.45">
      <c r="A92" s="4">
        <v>36342</v>
      </c>
      <c r="B92" s="2">
        <v>19.03227272727273</v>
      </c>
      <c r="D92" s="4">
        <v>36342</v>
      </c>
      <c r="E92" s="5">
        <f t="shared" si="2"/>
        <v>0.16534249653621202</v>
      </c>
      <c r="G92" s="4">
        <v>36342</v>
      </c>
      <c r="H92" s="6">
        <f t="shared" si="3"/>
        <v>0.41853095937883023</v>
      </c>
    </row>
    <row r="93" spans="1:8" x14ac:dyDescent="0.45">
      <c r="A93" s="4">
        <v>36373</v>
      </c>
      <c r="B93" s="2">
        <v>20.597727272727269</v>
      </c>
      <c r="D93" s="4">
        <v>36373</v>
      </c>
      <c r="E93" s="5">
        <f t="shared" si="2"/>
        <v>7.9044640312127878E-2</v>
      </c>
      <c r="G93" s="4">
        <v>36373</v>
      </c>
      <c r="H93" s="6">
        <f t="shared" si="3"/>
        <v>0.52761644520999562</v>
      </c>
    </row>
    <row r="94" spans="1:8" x14ac:dyDescent="0.45">
      <c r="A94" s="4">
        <v>36404</v>
      </c>
      <c r="B94" s="2">
        <v>23.14954545454545</v>
      </c>
      <c r="D94" s="4">
        <v>36404</v>
      </c>
      <c r="E94" s="5">
        <f t="shared" si="2"/>
        <v>0.11679440240415007</v>
      </c>
      <c r="G94" s="4">
        <v>36404</v>
      </c>
      <c r="H94" s="6">
        <f t="shared" si="3"/>
        <v>0.52996872660249084</v>
      </c>
    </row>
    <row r="95" spans="1:8" x14ac:dyDescent="0.45">
      <c r="A95" s="4">
        <v>36434</v>
      </c>
      <c r="B95" s="2">
        <v>22.178571428571431</v>
      </c>
      <c r="D95" s="4">
        <v>36434</v>
      </c>
      <c r="E95" s="5">
        <f t="shared" si="2"/>
        <v>-4.2848573788349942E-2</v>
      </c>
      <c r="G95" s="4">
        <v>36434</v>
      </c>
      <c r="H95" s="6">
        <f t="shared" si="3"/>
        <v>0.54218118878270438</v>
      </c>
    </row>
    <row r="96" spans="1:8" x14ac:dyDescent="0.45">
      <c r="A96" s="4">
        <v>36465</v>
      </c>
      <c r="B96" s="2">
        <v>24.83727272727273</v>
      </c>
      <c r="D96" s="4">
        <v>36465</v>
      </c>
      <c r="E96" s="5">
        <f t="shared" si="2"/>
        <v>0.11321888569119132</v>
      </c>
      <c r="G96" s="4">
        <v>36465</v>
      </c>
      <c r="H96" s="6">
        <f t="shared" si="3"/>
        <v>0.77506298519092853</v>
      </c>
    </row>
    <row r="97" spans="1:8" x14ac:dyDescent="0.45">
      <c r="A97" s="4">
        <v>36495</v>
      </c>
      <c r="B97" s="2">
        <v>25.69913043478261</v>
      </c>
      <c r="D97" s="4">
        <v>36495</v>
      </c>
      <c r="E97" s="5">
        <f t="shared" si="2"/>
        <v>3.4111698656817069E-2</v>
      </c>
      <c r="G97" s="4">
        <v>36495</v>
      </c>
      <c r="H97" s="6">
        <f t="shared" si="3"/>
        <v>0.92799871395594735</v>
      </c>
    </row>
    <row r="98" spans="1:8" x14ac:dyDescent="0.45">
      <c r="A98" s="4">
        <v>36526</v>
      </c>
      <c r="B98" s="2">
        <v>25.633333333333329</v>
      </c>
      <c r="D98" s="4">
        <v>36526</v>
      </c>
      <c r="E98" s="5">
        <f t="shared" si="2"/>
        <v>-2.563568262794913E-3</v>
      </c>
      <c r="G98" s="4">
        <v>36526</v>
      </c>
      <c r="H98" s="6">
        <f t="shared" si="3"/>
        <v>0.82917099491259272</v>
      </c>
    </row>
    <row r="99" spans="1:8" x14ac:dyDescent="0.45">
      <c r="A99" s="4">
        <v>36557</v>
      </c>
      <c r="B99" s="2">
        <v>28.03047619047619</v>
      </c>
      <c r="D99" s="4">
        <v>36557</v>
      </c>
      <c r="E99" s="5">
        <f t="shared" si="2"/>
        <v>8.9398765789552748E-2</v>
      </c>
      <c r="G99" s="4">
        <v>36557</v>
      </c>
      <c r="H99" s="6">
        <f t="shared" si="3"/>
        <v>0.98865402440799599</v>
      </c>
    </row>
    <row r="100" spans="1:8" x14ac:dyDescent="0.45">
      <c r="A100" s="4">
        <v>36586</v>
      </c>
      <c r="B100" s="2">
        <v>27.494347826086958</v>
      </c>
      <c r="D100" s="4">
        <v>36586</v>
      </c>
      <c r="E100" s="5">
        <f t="shared" si="2"/>
        <v>-1.9311903682277975E-2</v>
      </c>
      <c r="G100" s="4">
        <v>36586</v>
      </c>
      <c r="H100" s="6">
        <f t="shared" si="3"/>
        <v>0.75789973433145663</v>
      </c>
    </row>
    <row r="101" spans="1:8" x14ac:dyDescent="0.45">
      <c r="A101" s="4">
        <v>36617</v>
      </c>
      <c r="B101" s="2">
        <v>23.153500000000001</v>
      </c>
      <c r="D101" s="4">
        <v>36617</v>
      </c>
      <c r="E101" s="5">
        <f t="shared" si="2"/>
        <v>-0.17183449294129183</v>
      </c>
      <c r="G101" s="4">
        <v>36617</v>
      </c>
      <c r="H101" s="6">
        <f t="shared" si="3"/>
        <v>0.40124728377778185</v>
      </c>
    </row>
    <row r="102" spans="1:8" x14ac:dyDescent="0.45">
      <c r="A102" s="4">
        <v>36647</v>
      </c>
      <c r="B102" s="2">
        <v>27.80521739130435</v>
      </c>
      <c r="D102" s="4">
        <v>36647</v>
      </c>
      <c r="E102" s="5">
        <f t="shared" si="2"/>
        <v>0.18307772202439221</v>
      </c>
      <c r="G102" s="4">
        <v>36647</v>
      </c>
      <c r="H102" s="6">
        <f t="shared" si="3"/>
        <v>0.5734756226659341</v>
      </c>
    </row>
    <row r="103" spans="1:8" x14ac:dyDescent="0.45">
      <c r="A103" s="4">
        <v>36678</v>
      </c>
      <c r="B103" s="2">
        <v>30.483181818181819</v>
      </c>
      <c r="D103" s="4">
        <v>36678</v>
      </c>
      <c r="E103" s="5">
        <f t="shared" si="2"/>
        <v>9.1951436696583233E-2</v>
      </c>
      <c r="G103" s="4">
        <v>36678</v>
      </c>
      <c r="H103" s="6">
        <f t="shared" si="3"/>
        <v>0.63638150943631189</v>
      </c>
    </row>
    <row r="104" spans="1:8" x14ac:dyDescent="0.45">
      <c r="A104" s="4">
        <v>36708</v>
      </c>
      <c r="B104" s="2">
        <v>28.894285714285711</v>
      </c>
      <c r="D104" s="4">
        <v>36708</v>
      </c>
      <c r="E104" s="5">
        <f t="shared" si="2"/>
        <v>-5.353126631173577E-2</v>
      </c>
      <c r="G104" s="4">
        <v>36708</v>
      </c>
      <c r="H104" s="6">
        <f t="shared" si="3"/>
        <v>0.41750774658836409</v>
      </c>
    </row>
    <row r="105" spans="1:8" x14ac:dyDescent="0.45">
      <c r="A105" s="4">
        <v>36739</v>
      </c>
      <c r="B105" s="2">
        <v>31.62913043478261</v>
      </c>
      <c r="D105" s="4">
        <v>36739</v>
      </c>
      <c r="E105" s="5">
        <f t="shared" si="2"/>
        <v>9.0434695734111781E-2</v>
      </c>
      <c r="G105" s="4">
        <v>36739</v>
      </c>
      <c r="H105" s="6">
        <f t="shared" si="3"/>
        <v>0.42889780201034799</v>
      </c>
    </row>
    <row r="106" spans="1:8" x14ac:dyDescent="0.45">
      <c r="A106" s="4">
        <v>36770</v>
      </c>
      <c r="B106" s="2">
        <v>33.360476190476192</v>
      </c>
      <c r="D106" s="4">
        <v>36770</v>
      </c>
      <c r="E106" s="5">
        <f t="shared" si="2"/>
        <v>5.3293306530696416E-2</v>
      </c>
      <c r="G106" s="4">
        <v>36770</v>
      </c>
      <c r="H106" s="6">
        <f t="shared" si="3"/>
        <v>0.36539670613689434</v>
      </c>
    </row>
    <row r="107" spans="1:8" x14ac:dyDescent="0.45">
      <c r="A107" s="4">
        <v>36800</v>
      </c>
      <c r="B107" s="2">
        <v>31.302727272727271</v>
      </c>
      <c r="D107" s="4">
        <v>36800</v>
      </c>
      <c r="E107" s="5">
        <f t="shared" si="2"/>
        <v>-6.366662461932826E-2</v>
      </c>
      <c r="G107" s="4">
        <v>36800</v>
      </c>
      <c r="H107" s="6">
        <f t="shared" si="3"/>
        <v>0.34457865530591603</v>
      </c>
    </row>
    <row r="108" spans="1:8" x14ac:dyDescent="0.45">
      <c r="A108" s="4">
        <v>36831</v>
      </c>
      <c r="B108" s="2">
        <v>32.880909090909093</v>
      </c>
      <c r="D108" s="4">
        <v>36831</v>
      </c>
      <c r="E108" s="5">
        <f t="shared" si="2"/>
        <v>4.9186991491845244E-2</v>
      </c>
      <c r="G108" s="4">
        <v>36831</v>
      </c>
      <c r="H108" s="6">
        <f t="shared" si="3"/>
        <v>0.28054676110656995</v>
      </c>
    </row>
    <row r="109" spans="1:8" x14ac:dyDescent="0.45">
      <c r="A109" s="4">
        <v>36861</v>
      </c>
      <c r="B109" s="2">
        <v>25.47571428571429</v>
      </c>
      <c r="D109" s="4">
        <v>36861</v>
      </c>
      <c r="E109" s="5">
        <f t="shared" si="2"/>
        <v>-0.25516660114692735</v>
      </c>
      <c r="G109" s="4">
        <v>36861</v>
      </c>
      <c r="H109" s="6">
        <f t="shared" si="3"/>
        <v>-8.731538697174468E-3</v>
      </c>
    </row>
    <row r="110" spans="1:8" x14ac:dyDescent="0.45">
      <c r="A110" s="4">
        <v>36892</v>
      </c>
      <c r="B110" s="2">
        <v>25.79</v>
      </c>
      <c r="D110" s="4">
        <v>36892</v>
      </c>
      <c r="E110" s="5">
        <f t="shared" si="2"/>
        <v>1.226120248414464E-2</v>
      </c>
      <c r="G110" s="4">
        <v>36892</v>
      </c>
      <c r="H110" s="6">
        <f t="shared" si="3"/>
        <v>6.0932320497650849E-3</v>
      </c>
    </row>
    <row r="111" spans="1:8" x14ac:dyDescent="0.45">
      <c r="A111" s="4">
        <v>36923</v>
      </c>
      <c r="B111" s="2">
        <v>27.8965</v>
      </c>
      <c r="D111" s="4">
        <v>36923</v>
      </c>
      <c r="E111" s="5">
        <f t="shared" si="2"/>
        <v>7.8514413036130382E-2</v>
      </c>
      <c r="G111" s="4">
        <v>36923</v>
      </c>
      <c r="H111" s="6">
        <f t="shared" si="3"/>
        <v>-4.7911207036572812E-3</v>
      </c>
    </row>
    <row r="112" spans="1:8" x14ac:dyDescent="0.45">
      <c r="A112" s="4">
        <v>36951</v>
      </c>
      <c r="B112" s="2">
        <v>25.034545454545452</v>
      </c>
      <c r="D112" s="4">
        <v>36951</v>
      </c>
      <c r="E112" s="5">
        <f t="shared" si="2"/>
        <v>-0.10824454371152825</v>
      </c>
      <c r="G112" s="4">
        <v>36951</v>
      </c>
      <c r="H112" s="6">
        <f t="shared" si="3"/>
        <v>-9.3723760732907557E-2</v>
      </c>
    </row>
    <row r="113" spans="1:8" x14ac:dyDescent="0.45">
      <c r="A113" s="4">
        <v>36982</v>
      </c>
      <c r="B113" s="2">
        <v>26.018095238095238</v>
      </c>
      <c r="D113" s="4">
        <v>36982</v>
      </c>
      <c r="E113" s="5">
        <f t="shared" si="2"/>
        <v>3.8535577424303913E-2</v>
      </c>
      <c r="G113" s="4">
        <v>36982</v>
      </c>
      <c r="H113" s="6">
        <f t="shared" si="3"/>
        <v>0.11664630963268818</v>
      </c>
    </row>
    <row r="114" spans="1:8" x14ac:dyDescent="0.45">
      <c r="A114" s="4">
        <v>37012</v>
      </c>
      <c r="B114" s="2">
        <v>28.438260869565219</v>
      </c>
      <c r="D114" s="4">
        <v>37012</v>
      </c>
      <c r="E114" s="5">
        <f t="shared" si="2"/>
        <v>8.8943185563921112E-2</v>
      </c>
      <c r="G114" s="4">
        <v>37012</v>
      </c>
      <c r="H114" s="6">
        <f t="shared" si="3"/>
        <v>2.2511773172217087E-2</v>
      </c>
    </row>
    <row r="115" spans="1:8" x14ac:dyDescent="0.45">
      <c r="A115" s="4">
        <v>37043</v>
      </c>
      <c r="B115" s="2">
        <v>28.003809523809519</v>
      </c>
      <c r="D115" s="4">
        <v>37043</v>
      </c>
      <c r="E115" s="5">
        <f t="shared" si="2"/>
        <v>-1.5394896863671903E-2</v>
      </c>
      <c r="G115" s="4">
        <v>37043</v>
      </c>
      <c r="H115" s="6">
        <f t="shared" si="3"/>
        <v>-8.4834560388038049E-2</v>
      </c>
    </row>
    <row r="116" spans="1:8" x14ac:dyDescent="0.45">
      <c r="A116" s="4">
        <v>37073</v>
      </c>
      <c r="B116" s="2">
        <v>24.991363636363641</v>
      </c>
      <c r="D116" s="4">
        <v>37073</v>
      </c>
      <c r="E116" s="5">
        <f t="shared" si="2"/>
        <v>-0.11381024470282952</v>
      </c>
      <c r="G116" s="4">
        <v>37073</v>
      </c>
      <c r="H116" s="6">
        <f t="shared" si="3"/>
        <v>-0.1451135387791318</v>
      </c>
    </row>
    <row r="117" spans="1:8" x14ac:dyDescent="0.45">
      <c r="A117" s="4">
        <v>37104</v>
      </c>
      <c r="B117" s="2">
        <v>25.736086956521739</v>
      </c>
      <c r="D117" s="4">
        <v>37104</v>
      </c>
      <c r="E117" s="5">
        <f t="shared" si="2"/>
        <v>2.9363858080750038E-2</v>
      </c>
      <c r="G117" s="4">
        <v>37104</v>
      </c>
      <c r="H117" s="6">
        <f t="shared" si="3"/>
        <v>-0.20618437643249354</v>
      </c>
    </row>
    <row r="118" spans="1:8" x14ac:dyDescent="0.45">
      <c r="A118" s="4">
        <v>37135</v>
      </c>
      <c r="B118" s="2">
        <v>25.837</v>
      </c>
      <c r="D118" s="4">
        <v>37135</v>
      </c>
      <c r="E118" s="5">
        <f t="shared" si="2"/>
        <v>3.9134043828457088E-3</v>
      </c>
      <c r="G118" s="4">
        <v>37135</v>
      </c>
      <c r="H118" s="6">
        <f t="shared" si="3"/>
        <v>-0.25556427858034425</v>
      </c>
    </row>
    <row r="119" spans="1:8" x14ac:dyDescent="0.45">
      <c r="A119" s="4">
        <v>37165</v>
      </c>
      <c r="B119" s="2">
        <v>21.032608695652169</v>
      </c>
      <c r="D119" s="4">
        <v>37165</v>
      </c>
      <c r="E119" s="5">
        <f t="shared" si="2"/>
        <v>-0.20573354468833349</v>
      </c>
      <c r="G119" s="4">
        <v>37165</v>
      </c>
      <c r="H119" s="6">
        <f t="shared" si="3"/>
        <v>-0.39763119864934948</v>
      </c>
    </row>
    <row r="120" spans="1:8" x14ac:dyDescent="0.45">
      <c r="A120" s="4">
        <v>37196</v>
      </c>
      <c r="B120" s="2">
        <v>19.105454545454549</v>
      </c>
      <c r="D120" s="4">
        <v>37196</v>
      </c>
      <c r="E120" s="5">
        <f t="shared" si="2"/>
        <v>-9.610015583592757E-2</v>
      </c>
      <c r="G120" s="4">
        <v>37196</v>
      </c>
      <c r="H120" s="6">
        <f t="shared" si="3"/>
        <v>-0.5429183459771223</v>
      </c>
    </row>
    <row r="121" spans="1:8" x14ac:dyDescent="0.45">
      <c r="A121" s="4">
        <v>37226</v>
      </c>
      <c r="B121" s="2">
        <v>18.681428571428569</v>
      </c>
      <c r="D121" s="4">
        <v>37226</v>
      </c>
      <c r="E121" s="5">
        <f t="shared" si="2"/>
        <v>-2.2443966715816277E-2</v>
      </c>
      <c r="G121" s="4">
        <v>37226</v>
      </c>
      <c r="H121" s="6">
        <f t="shared" si="3"/>
        <v>-0.31019571154601122</v>
      </c>
    </row>
    <row r="122" spans="1:8" x14ac:dyDescent="0.45">
      <c r="A122" s="4">
        <v>37257</v>
      </c>
      <c r="B122" s="2">
        <v>20.033043478260868</v>
      </c>
      <c r="D122" s="4">
        <v>37257</v>
      </c>
      <c r="E122" s="5">
        <f t="shared" si="2"/>
        <v>6.985317826605808E-2</v>
      </c>
      <c r="G122" s="4">
        <v>37257</v>
      </c>
      <c r="H122" s="6">
        <f t="shared" si="3"/>
        <v>-0.25260373576409778</v>
      </c>
    </row>
    <row r="123" spans="1:8" x14ac:dyDescent="0.45">
      <c r="A123" s="4">
        <v>37288</v>
      </c>
      <c r="B123" s="2">
        <v>20.545000000000002</v>
      </c>
      <c r="D123" s="4">
        <v>37288</v>
      </c>
      <c r="E123" s="5">
        <f t="shared" si="2"/>
        <v>2.5234518206217249E-2</v>
      </c>
      <c r="G123" s="4">
        <v>37288</v>
      </c>
      <c r="H123" s="6">
        <f t="shared" si="3"/>
        <v>-0.30588363059401091</v>
      </c>
    </row>
    <row r="124" spans="1:8" x14ac:dyDescent="0.45">
      <c r="A124" s="4">
        <v>37316</v>
      </c>
      <c r="B124" s="2">
        <v>24.000952380952381</v>
      </c>
      <c r="D124" s="4">
        <v>37316</v>
      </c>
      <c r="E124" s="5">
        <f t="shared" si="2"/>
        <v>0.15547590976492387</v>
      </c>
      <c r="G124" s="4">
        <v>37316</v>
      </c>
      <c r="H124" s="6">
        <f t="shared" si="3"/>
        <v>-4.2163177117558792E-2</v>
      </c>
    </row>
    <row r="125" spans="1:8" x14ac:dyDescent="0.45">
      <c r="A125" s="4">
        <v>37347</v>
      </c>
      <c r="B125" s="2">
        <v>25.945454545454549</v>
      </c>
      <c r="D125" s="4">
        <v>37347</v>
      </c>
      <c r="E125" s="5">
        <f t="shared" si="2"/>
        <v>7.7902920144068855E-2</v>
      </c>
      <c r="G125" s="4">
        <v>37347</v>
      </c>
      <c r="H125" s="6">
        <f t="shared" si="3"/>
        <v>-2.7958343977938505E-3</v>
      </c>
    </row>
    <row r="126" spans="1:8" x14ac:dyDescent="0.45">
      <c r="A126" s="4">
        <v>37377</v>
      </c>
      <c r="B126" s="2">
        <v>25.549565217391301</v>
      </c>
      <c r="D126" s="4">
        <v>37377</v>
      </c>
      <c r="E126" s="5">
        <f t="shared" si="2"/>
        <v>-1.5376132671289344E-2</v>
      </c>
      <c r="G126" s="4">
        <v>37377</v>
      </c>
      <c r="H126" s="6">
        <f t="shared" si="3"/>
        <v>-0.10711515263300431</v>
      </c>
    </row>
    <row r="127" spans="1:8" x14ac:dyDescent="0.45">
      <c r="A127" s="4">
        <v>37408</v>
      </c>
      <c r="B127" s="2">
        <v>24.367999999999999</v>
      </c>
      <c r="D127" s="4">
        <v>37408</v>
      </c>
      <c r="E127" s="5">
        <f t="shared" si="2"/>
        <v>-4.7349503420270445E-2</v>
      </c>
      <c r="G127" s="4">
        <v>37408</v>
      </c>
      <c r="H127" s="6">
        <f t="shared" si="3"/>
        <v>-0.13906975918960285</v>
      </c>
    </row>
    <row r="128" spans="1:8" x14ac:dyDescent="0.45">
      <c r="A128" s="4">
        <v>37438</v>
      </c>
      <c r="B128" s="2">
        <v>25.857826086956521</v>
      </c>
      <c r="D128" s="4">
        <v>37438</v>
      </c>
      <c r="E128" s="5">
        <f t="shared" si="2"/>
        <v>5.9342508961080842E-2</v>
      </c>
      <c r="G128" s="4">
        <v>37438</v>
      </c>
      <c r="H128" s="6">
        <f t="shared" si="3"/>
        <v>3.4082994474307515E-2</v>
      </c>
    </row>
    <row r="129" spans="1:8" x14ac:dyDescent="0.45">
      <c r="A129" s="4">
        <v>37469</v>
      </c>
      <c r="B129" s="2">
        <v>26.62</v>
      </c>
      <c r="D129" s="4">
        <v>37469</v>
      </c>
      <c r="E129" s="5">
        <f t="shared" si="2"/>
        <v>2.9049507853078804E-2</v>
      </c>
      <c r="G129" s="4">
        <v>37469</v>
      </c>
      <c r="H129" s="6">
        <f t="shared" si="3"/>
        <v>3.3768644246636281E-2</v>
      </c>
    </row>
    <row r="130" spans="1:8" x14ac:dyDescent="0.45">
      <c r="A130" s="4">
        <v>37500</v>
      </c>
      <c r="B130" s="2">
        <v>28.370952380952382</v>
      </c>
      <c r="D130" s="4">
        <v>37500</v>
      </c>
      <c r="E130" s="5">
        <f t="shared" si="2"/>
        <v>6.3703005292180759E-2</v>
      </c>
      <c r="G130" s="4">
        <v>37500</v>
      </c>
      <c r="H130" s="6">
        <f t="shared" si="3"/>
        <v>9.3558245155971331E-2</v>
      </c>
    </row>
    <row r="131" spans="1:8" x14ac:dyDescent="0.45">
      <c r="A131" s="4">
        <v>37530</v>
      </c>
      <c r="B131" s="2">
        <v>27.52260869565217</v>
      </c>
      <c r="D131" s="4">
        <v>37530</v>
      </c>
      <c r="E131" s="5">
        <f t="shared" si="2"/>
        <v>-3.035801696663043E-2</v>
      </c>
      <c r="G131" s="4">
        <v>37530</v>
      </c>
      <c r="H131" s="6">
        <f t="shared" si="3"/>
        <v>0.26893377287767439</v>
      </c>
    </row>
    <row r="132" spans="1:8" x14ac:dyDescent="0.45">
      <c r="A132" s="4">
        <v>37561</v>
      </c>
      <c r="B132" s="2">
        <v>24.250476190476189</v>
      </c>
      <c r="D132" s="4">
        <v>37561</v>
      </c>
      <c r="E132" s="5">
        <f t="shared" ref="E132:E195" si="4">LN(B132)-LN(B131)</f>
        <v>-0.12657154738115395</v>
      </c>
      <c r="G132" s="4">
        <v>37561</v>
      </c>
      <c r="H132" s="6">
        <f t="shared" si="3"/>
        <v>0.23846238133244801</v>
      </c>
    </row>
    <row r="133" spans="1:8" x14ac:dyDescent="0.45">
      <c r="A133" s="4">
        <v>37591</v>
      </c>
      <c r="B133" s="2">
        <v>28.31727272727273</v>
      </c>
      <c r="D133" s="4">
        <v>37591</v>
      </c>
      <c r="E133" s="5">
        <f t="shared" si="4"/>
        <v>0.15503570827373991</v>
      </c>
      <c r="G133" s="4">
        <v>37591</v>
      </c>
      <c r="H133" s="6">
        <f t="shared" si="3"/>
        <v>0.41594205632200421</v>
      </c>
    </row>
    <row r="134" spans="1:8" x14ac:dyDescent="0.45">
      <c r="A134" s="4">
        <v>37622</v>
      </c>
      <c r="B134" s="2">
        <v>30.80869565217391</v>
      </c>
      <c r="D134" s="4">
        <v>37622</v>
      </c>
      <c r="E134" s="5">
        <f t="shared" si="4"/>
        <v>8.4325014317120139E-2</v>
      </c>
      <c r="G134" s="4">
        <v>37622</v>
      </c>
      <c r="H134" s="6">
        <f t="shared" si="3"/>
        <v>0.43041389237306626</v>
      </c>
    </row>
    <row r="135" spans="1:8" x14ac:dyDescent="0.45">
      <c r="A135" s="4">
        <v>37653</v>
      </c>
      <c r="B135" s="2">
        <v>32.662500000000001</v>
      </c>
      <c r="D135" s="4">
        <v>37653</v>
      </c>
      <c r="E135" s="5">
        <f t="shared" si="4"/>
        <v>5.8430654344508781E-2</v>
      </c>
      <c r="G135" s="4">
        <v>37653</v>
      </c>
      <c r="H135" s="6">
        <f t="shared" si="3"/>
        <v>0.4636100285113578</v>
      </c>
    </row>
    <row r="136" spans="1:8" x14ac:dyDescent="0.45">
      <c r="A136" s="4">
        <v>37681</v>
      </c>
      <c r="B136" s="2">
        <v>30.168095238095241</v>
      </c>
      <c r="D136" s="4">
        <v>37681</v>
      </c>
      <c r="E136" s="5">
        <f t="shared" si="4"/>
        <v>-7.9442713971259682E-2</v>
      </c>
      <c r="G136" s="4">
        <v>37681</v>
      </c>
      <c r="H136" s="6">
        <f t="shared" si="3"/>
        <v>0.22869140477517425</v>
      </c>
    </row>
    <row r="137" spans="1:8" x14ac:dyDescent="0.45">
      <c r="A137" s="4">
        <v>37712</v>
      </c>
      <c r="B137" s="2">
        <v>25.035</v>
      </c>
      <c r="D137" s="4">
        <v>37712</v>
      </c>
      <c r="E137" s="5">
        <f t="shared" si="4"/>
        <v>-0.18651007109356321</v>
      </c>
      <c r="G137" s="4">
        <v>37712</v>
      </c>
      <c r="H137" s="6">
        <f t="shared" si="3"/>
        <v>-3.5721586462457822E-2</v>
      </c>
    </row>
    <row r="138" spans="1:8" x14ac:dyDescent="0.45">
      <c r="A138" s="4">
        <v>37742</v>
      </c>
      <c r="B138" s="2">
        <v>25.714545454545451</v>
      </c>
      <c r="D138" s="4">
        <v>37742</v>
      </c>
      <c r="E138" s="5">
        <f t="shared" si="4"/>
        <v>2.6781957012075086E-2</v>
      </c>
      <c r="G138" s="4">
        <v>37742</v>
      </c>
      <c r="H138" s="6">
        <f t="shared" si="3"/>
        <v>6.4365032209066086E-3</v>
      </c>
    </row>
    <row r="139" spans="1:8" x14ac:dyDescent="0.45">
      <c r="A139" s="4">
        <v>37773</v>
      </c>
      <c r="B139" s="2">
        <v>27.56666666666667</v>
      </c>
      <c r="D139" s="4">
        <v>37773</v>
      </c>
      <c r="E139" s="5">
        <f t="shared" si="4"/>
        <v>6.9550510567553125E-2</v>
      </c>
      <c r="G139" s="4">
        <v>37773</v>
      </c>
      <c r="H139" s="6">
        <f t="shared" si="3"/>
        <v>0.12333651720873018</v>
      </c>
    </row>
    <row r="140" spans="1:8" x14ac:dyDescent="0.45">
      <c r="A140" s="4">
        <v>37803</v>
      </c>
      <c r="B140" s="2">
        <v>28.50391304347826</v>
      </c>
      <c r="D140" s="4">
        <v>37803</v>
      </c>
      <c r="E140" s="5">
        <f t="shared" si="4"/>
        <v>3.3434064259484586E-2</v>
      </c>
      <c r="G140" s="4">
        <v>37803</v>
      </c>
      <c r="H140" s="6">
        <f t="shared" si="3"/>
        <v>9.7428072507133923E-2</v>
      </c>
    </row>
    <row r="141" spans="1:8" x14ac:dyDescent="0.45">
      <c r="A141" s="4">
        <v>37834</v>
      </c>
      <c r="B141" s="2">
        <v>29.718095238095241</v>
      </c>
      <c r="D141" s="4">
        <v>37834</v>
      </c>
      <c r="E141" s="5">
        <f t="shared" si="4"/>
        <v>4.171474993561386E-2</v>
      </c>
      <c r="G141" s="4">
        <v>37834</v>
      </c>
      <c r="H141" s="6">
        <f t="shared" si="3"/>
        <v>0.11009331458966898</v>
      </c>
    </row>
    <row r="142" spans="1:8" x14ac:dyDescent="0.45">
      <c r="A142" s="4">
        <v>37865</v>
      </c>
      <c r="B142" s="2">
        <v>27.044090909090912</v>
      </c>
      <c r="D142" s="4">
        <v>37865</v>
      </c>
      <c r="E142" s="5">
        <f t="shared" si="4"/>
        <v>-9.4287596808527052E-2</v>
      </c>
      <c r="G142" s="4">
        <v>37865</v>
      </c>
      <c r="H142" s="6">
        <f t="shared" si="3"/>
        <v>-4.7897287511038833E-2</v>
      </c>
    </row>
    <row r="143" spans="1:8" x14ac:dyDescent="0.45">
      <c r="A143" s="4">
        <v>37895</v>
      </c>
      <c r="B143" s="2">
        <v>29.435652173913041</v>
      </c>
      <c r="D143" s="4">
        <v>37895</v>
      </c>
      <c r="E143" s="5">
        <f t="shared" si="4"/>
        <v>8.4738067896147573E-2</v>
      </c>
      <c r="G143" s="4">
        <v>37895</v>
      </c>
      <c r="H143" s="6">
        <f t="shared" ref="H143:H206" si="5">LN(B143)-LN(B131)</f>
        <v>6.719879735173917E-2</v>
      </c>
    </row>
    <row r="144" spans="1:8" x14ac:dyDescent="0.45">
      <c r="A144" s="4">
        <v>37926</v>
      </c>
      <c r="B144" s="2">
        <v>28.948499999999999</v>
      </c>
      <c r="D144" s="4">
        <v>37926</v>
      </c>
      <c r="E144" s="5">
        <f t="shared" si="4"/>
        <v>-1.6688209439117863E-2</v>
      </c>
      <c r="G144" s="4">
        <v>37926</v>
      </c>
      <c r="H144" s="6">
        <f t="shared" si="5"/>
        <v>0.17708213529377526</v>
      </c>
    </row>
    <row r="145" spans="1:8" x14ac:dyDescent="0.45">
      <c r="A145" s="4">
        <v>37956</v>
      </c>
      <c r="B145" s="2">
        <v>29.743478260869569</v>
      </c>
      <c r="D145" s="4">
        <v>37956</v>
      </c>
      <c r="E145" s="5">
        <f t="shared" si="4"/>
        <v>2.7091500632665522E-2</v>
      </c>
      <c r="G145" s="4">
        <v>37956</v>
      </c>
      <c r="H145" s="6">
        <f t="shared" si="5"/>
        <v>4.9137927652700863E-2</v>
      </c>
    </row>
    <row r="146" spans="1:8" x14ac:dyDescent="0.45">
      <c r="A146" s="4">
        <v>37987</v>
      </c>
      <c r="B146" s="2">
        <v>30.981818181818181</v>
      </c>
      <c r="D146" s="4">
        <v>37987</v>
      </c>
      <c r="E146" s="5">
        <f t="shared" si="4"/>
        <v>4.0790632318987274E-2</v>
      </c>
      <c r="G146" s="4">
        <v>37987</v>
      </c>
      <c r="H146" s="6">
        <f t="shared" si="5"/>
        <v>5.6035456545679985E-3</v>
      </c>
    </row>
    <row r="147" spans="1:8" x14ac:dyDescent="0.45">
      <c r="A147" s="4">
        <v>38018</v>
      </c>
      <c r="B147" s="2">
        <v>30.795000000000002</v>
      </c>
      <c r="D147" s="4">
        <v>38018</v>
      </c>
      <c r="E147" s="5">
        <f t="shared" si="4"/>
        <v>-6.0481830177834262E-3</v>
      </c>
      <c r="G147" s="4">
        <v>38018</v>
      </c>
      <c r="H147" s="6">
        <f t="shared" si="5"/>
        <v>-5.8875291707724209E-2</v>
      </c>
    </row>
    <row r="148" spans="1:8" x14ac:dyDescent="0.45">
      <c r="A148" s="4">
        <v>38047</v>
      </c>
      <c r="B148" s="2">
        <v>33.424347826086958</v>
      </c>
      <c r="D148" s="4">
        <v>38047</v>
      </c>
      <c r="E148" s="5">
        <f t="shared" si="4"/>
        <v>8.1932272098047765E-2</v>
      </c>
      <c r="G148" s="4">
        <v>38047</v>
      </c>
      <c r="H148" s="6">
        <f t="shared" si="5"/>
        <v>0.10249969436158324</v>
      </c>
    </row>
    <row r="149" spans="1:8" x14ac:dyDescent="0.45">
      <c r="A149" s="4">
        <v>38078</v>
      </c>
      <c r="B149" s="2">
        <v>33.357727272727267</v>
      </c>
      <c r="D149" s="4">
        <v>38078</v>
      </c>
      <c r="E149" s="5">
        <f t="shared" si="4"/>
        <v>-1.9951633836083893E-3</v>
      </c>
      <c r="G149" s="4">
        <v>38078</v>
      </c>
      <c r="H149" s="6">
        <f t="shared" si="5"/>
        <v>0.28701460207153806</v>
      </c>
    </row>
    <row r="150" spans="1:8" x14ac:dyDescent="0.45">
      <c r="A150" s="4">
        <v>38108</v>
      </c>
      <c r="B150" s="2">
        <v>37.589047619047619</v>
      </c>
      <c r="D150" s="4">
        <v>38108</v>
      </c>
      <c r="E150" s="5">
        <f t="shared" si="4"/>
        <v>0.11942327338272696</v>
      </c>
      <c r="G150" s="4">
        <v>38108</v>
      </c>
      <c r="H150" s="6">
        <f t="shared" si="5"/>
        <v>0.37965591844218993</v>
      </c>
    </row>
    <row r="151" spans="1:8" x14ac:dyDescent="0.45">
      <c r="A151" s="4">
        <v>38139</v>
      </c>
      <c r="B151" s="2">
        <v>35.437727272727273</v>
      </c>
      <c r="D151" s="4">
        <v>38139</v>
      </c>
      <c r="E151" s="5">
        <f t="shared" si="4"/>
        <v>-5.8935726429020896E-2</v>
      </c>
      <c r="G151" s="4">
        <v>38139</v>
      </c>
      <c r="H151" s="6">
        <f t="shared" si="5"/>
        <v>0.25116968144561591</v>
      </c>
    </row>
    <row r="152" spans="1:8" x14ac:dyDescent="0.45">
      <c r="A152" s="4">
        <v>38169</v>
      </c>
      <c r="B152" s="2">
        <v>38.226818181818182</v>
      </c>
      <c r="D152" s="4">
        <v>38169</v>
      </c>
      <c r="E152" s="5">
        <f t="shared" si="4"/>
        <v>7.5760321130365238E-2</v>
      </c>
      <c r="G152" s="4">
        <v>38169</v>
      </c>
      <c r="H152" s="6">
        <f t="shared" si="5"/>
        <v>0.29349593831649656</v>
      </c>
    </row>
    <row r="153" spans="1:8" x14ac:dyDescent="0.45">
      <c r="A153" s="4">
        <v>38200</v>
      </c>
      <c r="B153" s="2">
        <v>42.224090909090911</v>
      </c>
      <c r="D153" s="4">
        <v>38200</v>
      </c>
      <c r="E153" s="5">
        <f t="shared" si="4"/>
        <v>9.9453616840527559E-2</v>
      </c>
      <c r="G153" s="4">
        <v>38200</v>
      </c>
      <c r="H153" s="6">
        <f t="shared" si="5"/>
        <v>0.35123480522141026</v>
      </c>
    </row>
    <row r="154" spans="1:8" x14ac:dyDescent="0.45">
      <c r="A154" s="4">
        <v>38231</v>
      </c>
      <c r="B154" s="2">
        <v>43.315909090909088</v>
      </c>
      <c r="D154" s="4">
        <v>38231</v>
      </c>
      <c r="E154" s="5">
        <f t="shared" si="4"/>
        <v>2.5529050244291085E-2</v>
      </c>
      <c r="G154" s="4">
        <v>38231</v>
      </c>
      <c r="H154" s="6">
        <f t="shared" si="5"/>
        <v>0.4710514522742284</v>
      </c>
    </row>
    <row r="155" spans="1:8" x14ac:dyDescent="0.45">
      <c r="A155" s="4">
        <v>38261</v>
      </c>
      <c r="B155" s="2">
        <v>49.73619047619048</v>
      </c>
      <c r="D155" s="4">
        <v>38261</v>
      </c>
      <c r="E155" s="5">
        <f t="shared" si="4"/>
        <v>0.13821286368222951</v>
      </c>
      <c r="G155" s="4">
        <v>38261</v>
      </c>
      <c r="H155" s="6">
        <f t="shared" si="5"/>
        <v>0.52452624806031034</v>
      </c>
    </row>
    <row r="156" spans="1:8" x14ac:dyDescent="0.45">
      <c r="A156" s="4">
        <v>38292</v>
      </c>
      <c r="B156" s="2">
        <v>43.748636363636358</v>
      </c>
      <c r="D156" s="4">
        <v>38292</v>
      </c>
      <c r="E156" s="5">
        <f t="shared" si="4"/>
        <v>-0.12827240321786926</v>
      </c>
      <c r="G156" s="4">
        <v>38292</v>
      </c>
      <c r="H156" s="6">
        <f t="shared" si="5"/>
        <v>0.41294205428155895</v>
      </c>
    </row>
    <row r="157" spans="1:8" x14ac:dyDescent="0.45">
      <c r="A157" s="4">
        <v>38322</v>
      </c>
      <c r="B157" s="2">
        <v>39.965652173913043</v>
      </c>
      <c r="D157" s="4">
        <v>38322</v>
      </c>
      <c r="E157" s="5">
        <f t="shared" si="4"/>
        <v>-9.0440053915236795E-2</v>
      </c>
      <c r="G157" s="4">
        <v>38322</v>
      </c>
      <c r="H157" s="6">
        <f t="shared" si="5"/>
        <v>0.29541049973365663</v>
      </c>
    </row>
    <row r="158" spans="1:8" x14ac:dyDescent="0.45">
      <c r="A158" s="4">
        <v>38353</v>
      </c>
      <c r="B158" s="2">
        <v>44.174761904761901</v>
      </c>
      <c r="D158" s="4">
        <v>38353</v>
      </c>
      <c r="E158" s="5">
        <f t="shared" si="4"/>
        <v>0.10013323880114289</v>
      </c>
      <c r="G158" s="4">
        <v>38353</v>
      </c>
      <c r="H158" s="6">
        <f t="shared" si="5"/>
        <v>0.35475310621581224</v>
      </c>
    </row>
    <row r="159" spans="1:8" x14ac:dyDescent="0.45">
      <c r="A159" s="4">
        <v>38384</v>
      </c>
      <c r="B159" s="2">
        <v>45.720999999999997</v>
      </c>
      <c r="D159" s="4">
        <v>38384</v>
      </c>
      <c r="E159" s="5">
        <f t="shared" si="4"/>
        <v>3.4404082580779871E-2</v>
      </c>
      <c r="G159" s="4">
        <v>38384</v>
      </c>
      <c r="H159" s="6">
        <f t="shared" si="5"/>
        <v>0.39520537181437554</v>
      </c>
    </row>
    <row r="160" spans="1:8" x14ac:dyDescent="0.45">
      <c r="A160" s="4">
        <v>38412</v>
      </c>
      <c r="B160" s="2">
        <v>53.229130434782611</v>
      </c>
      <c r="D160" s="4">
        <v>38412</v>
      </c>
      <c r="E160" s="5">
        <f t="shared" si="4"/>
        <v>0.15204810009902614</v>
      </c>
      <c r="G160" s="4">
        <v>38412</v>
      </c>
      <c r="H160" s="6">
        <f t="shared" si="5"/>
        <v>0.46532119981535391</v>
      </c>
    </row>
    <row r="161" spans="1:8" x14ac:dyDescent="0.45">
      <c r="A161" s="4">
        <v>38443</v>
      </c>
      <c r="B161" s="2">
        <v>52.604285714285709</v>
      </c>
      <c r="D161" s="4">
        <v>38443</v>
      </c>
      <c r="E161" s="5">
        <f t="shared" si="4"/>
        <v>-1.1808217169948509E-2</v>
      </c>
      <c r="G161" s="4">
        <v>38443</v>
      </c>
      <c r="H161" s="6">
        <f t="shared" si="5"/>
        <v>0.45550814602901379</v>
      </c>
    </row>
    <row r="162" spans="1:8" x14ac:dyDescent="0.45">
      <c r="A162" s="4">
        <v>38473</v>
      </c>
      <c r="B162" s="2">
        <v>49.285454545454549</v>
      </c>
      <c r="D162" s="4">
        <v>38473</v>
      </c>
      <c r="E162" s="5">
        <f t="shared" si="4"/>
        <v>-6.516859601252678E-2</v>
      </c>
      <c r="G162" s="4">
        <v>38473</v>
      </c>
      <c r="H162" s="6">
        <f t="shared" si="5"/>
        <v>0.27091627663376006</v>
      </c>
    </row>
    <row r="163" spans="1:8" x14ac:dyDescent="0.45">
      <c r="A163" s="4">
        <v>38504</v>
      </c>
      <c r="B163" s="2">
        <v>54.839090909090913</v>
      </c>
      <c r="D163" s="4">
        <v>38504</v>
      </c>
      <c r="E163" s="5">
        <f t="shared" si="4"/>
        <v>0.10677427953672192</v>
      </c>
      <c r="G163" s="4">
        <v>38504</v>
      </c>
      <c r="H163" s="6">
        <f t="shared" si="5"/>
        <v>0.43662628259950287</v>
      </c>
    </row>
    <row r="164" spans="1:8" x14ac:dyDescent="0.45">
      <c r="A164" s="4">
        <v>38534</v>
      </c>
      <c r="B164" s="2">
        <v>57.625714285714288</v>
      </c>
      <c r="D164" s="4">
        <v>38534</v>
      </c>
      <c r="E164" s="5">
        <f t="shared" si="4"/>
        <v>4.9565619247031734E-2</v>
      </c>
      <c r="G164" s="4">
        <v>38534</v>
      </c>
      <c r="H164" s="6">
        <f t="shared" si="5"/>
        <v>0.41043158071616936</v>
      </c>
    </row>
    <row r="165" spans="1:8" x14ac:dyDescent="0.45">
      <c r="A165" s="4">
        <v>38565</v>
      </c>
      <c r="B165" s="2">
        <v>63.950434782608703</v>
      </c>
      <c r="D165" s="4">
        <v>38565</v>
      </c>
      <c r="E165" s="5">
        <f t="shared" si="4"/>
        <v>0.1041394301378693</v>
      </c>
      <c r="G165" s="4">
        <v>38565</v>
      </c>
      <c r="H165" s="6">
        <f t="shared" si="5"/>
        <v>0.41511739401351111</v>
      </c>
    </row>
    <row r="166" spans="1:8" x14ac:dyDescent="0.45">
      <c r="A166" s="4">
        <v>38596</v>
      </c>
      <c r="B166" s="2">
        <v>63.26136363636364</v>
      </c>
      <c r="D166" s="4">
        <v>38596</v>
      </c>
      <c r="E166" s="5">
        <f t="shared" si="4"/>
        <v>-1.0833553086254888E-2</v>
      </c>
      <c r="G166" s="4">
        <v>38596</v>
      </c>
      <c r="H166" s="6">
        <f t="shared" si="5"/>
        <v>0.37875479068296514</v>
      </c>
    </row>
    <row r="167" spans="1:8" x14ac:dyDescent="0.45">
      <c r="A167" s="4">
        <v>38626</v>
      </c>
      <c r="B167" s="2">
        <v>58.908571428571427</v>
      </c>
      <c r="D167" s="4">
        <v>38626</v>
      </c>
      <c r="E167" s="5">
        <f t="shared" si="4"/>
        <v>-7.1288168532430696E-2</v>
      </c>
      <c r="G167" s="4">
        <v>38626</v>
      </c>
      <c r="H167" s="6">
        <f t="shared" si="5"/>
        <v>0.16925375846830493</v>
      </c>
    </row>
    <row r="168" spans="1:8" x14ac:dyDescent="0.45">
      <c r="A168" s="4">
        <v>38657</v>
      </c>
      <c r="B168" s="2">
        <v>55.449545454545451</v>
      </c>
      <c r="D168" s="4">
        <v>38657</v>
      </c>
      <c r="E168" s="5">
        <f t="shared" si="4"/>
        <v>-6.051308880332229E-2</v>
      </c>
      <c r="G168" s="4">
        <v>38657</v>
      </c>
      <c r="H168" s="6">
        <f t="shared" si="5"/>
        <v>0.23701307288285189</v>
      </c>
    </row>
    <row r="169" spans="1:8" x14ac:dyDescent="0.45">
      <c r="A169" s="4">
        <v>38687</v>
      </c>
      <c r="B169" s="2">
        <v>57.156818181818181</v>
      </c>
      <c r="D169" s="4">
        <v>38687</v>
      </c>
      <c r="E169" s="5">
        <f t="shared" si="4"/>
        <v>3.0325170024112502E-2</v>
      </c>
      <c r="G169" s="4">
        <v>38687</v>
      </c>
      <c r="H169" s="6">
        <f t="shared" si="5"/>
        <v>0.35777829682220119</v>
      </c>
    </row>
    <row r="170" spans="1:8" x14ac:dyDescent="0.45">
      <c r="A170" s="4">
        <v>38718</v>
      </c>
      <c r="B170" s="2">
        <v>63.311818181818182</v>
      </c>
      <c r="D170" s="4">
        <v>38718</v>
      </c>
      <c r="E170" s="5">
        <f t="shared" si="4"/>
        <v>0.10227332646455078</v>
      </c>
      <c r="G170" s="4">
        <v>38718</v>
      </c>
      <c r="H170" s="6">
        <f t="shared" si="5"/>
        <v>0.35991838448560909</v>
      </c>
    </row>
    <row r="171" spans="1:8" x14ac:dyDescent="0.45">
      <c r="A171" s="4">
        <v>38749</v>
      </c>
      <c r="B171" s="2">
        <v>60.805500000000002</v>
      </c>
      <c r="D171" s="4">
        <v>38749</v>
      </c>
      <c r="E171" s="5">
        <f t="shared" si="4"/>
        <v>-4.0391767451080973E-2</v>
      </c>
      <c r="G171" s="4">
        <v>38749</v>
      </c>
      <c r="H171" s="6">
        <f t="shared" si="5"/>
        <v>0.28512253445374824</v>
      </c>
    </row>
    <row r="172" spans="1:8" x14ac:dyDescent="0.45">
      <c r="A172" s="4">
        <v>38777</v>
      </c>
      <c r="B172" s="2">
        <v>62.746956521739129</v>
      </c>
      <c r="D172" s="4">
        <v>38777</v>
      </c>
      <c r="E172" s="5">
        <f t="shared" si="4"/>
        <v>3.1429829782928742E-2</v>
      </c>
      <c r="G172" s="4">
        <v>38777</v>
      </c>
      <c r="H172" s="6">
        <f t="shared" si="5"/>
        <v>0.16450426413765085</v>
      </c>
    </row>
    <row r="173" spans="1:8" x14ac:dyDescent="0.45">
      <c r="A173" s="4">
        <v>38808</v>
      </c>
      <c r="B173" s="2">
        <v>70.34</v>
      </c>
      <c r="D173" s="4">
        <v>38808</v>
      </c>
      <c r="E173" s="5">
        <f t="shared" si="4"/>
        <v>0.11423055185577713</v>
      </c>
      <c r="G173" s="4">
        <v>38808</v>
      </c>
      <c r="H173" s="6">
        <f t="shared" si="5"/>
        <v>0.29054303316337649</v>
      </c>
    </row>
    <row r="174" spans="1:8" x14ac:dyDescent="0.45">
      <c r="A174" s="4">
        <v>38838</v>
      </c>
      <c r="B174" s="2">
        <v>70.510000000000005</v>
      </c>
      <c r="D174" s="4">
        <v>38838</v>
      </c>
      <c r="E174" s="5">
        <f t="shared" si="4"/>
        <v>2.4139166851133709E-3</v>
      </c>
      <c r="G174" s="4">
        <v>38838</v>
      </c>
      <c r="H174" s="6">
        <f t="shared" si="5"/>
        <v>0.35812554586101664</v>
      </c>
    </row>
    <row r="175" spans="1:8" x14ac:dyDescent="0.45">
      <c r="A175" s="4">
        <v>38869</v>
      </c>
      <c r="B175" s="2">
        <v>69.232727272727274</v>
      </c>
      <c r="D175" s="4">
        <v>38869</v>
      </c>
      <c r="E175" s="5">
        <f t="shared" si="4"/>
        <v>-1.8280855439844146E-2</v>
      </c>
      <c r="G175" s="4">
        <v>38869</v>
      </c>
      <c r="H175" s="6">
        <f t="shared" si="5"/>
        <v>0.23307041088445057</v>
      </c>
    </row>
    <row r="176" spans="1:8" x14ac:dyDescent="0.45">
      <c r="A176" s="4">
        <v>38899</v>
      </c>
      <c r="B176" s="2">
        <v>74.040952380952376</v>
      </c>
      <c r="D176" s="4">
        <v>38899</v>
      </c>
      <c r="E176" s="5">
        <f t="shared" si="4"/>
        <v>6.7144662391327437E-2</v>
      </c>
      <c r="G176" s="4">
        <v>38899</v>
      </c>
      <c r="H176" s="6">
        <f t="shared" si="5"/>
        <v>0.25064945402874628</v>
      </c>
    </row>
    <row r="177" spans="1:8" x14ac:dyDescent="0.45">
      <c r="A177" s="4">
        <v>38930</v>
      </c>
      <c r="B177" s="2">
        <v>73.500434782608707</v>
      </c>
      <c r="D177" s="4">
        <v>38930</v>
      </c>
      <c r="E177" s="5">
        <f t="shared" si="4"/>
        <v>-7.3270290714955166E-3</v>
      </c>
      <c r="G177" s="4">
        <v>38930</v>
      </c>
      <c r="H177" s="6">
        <f t="shared" si="5"/>
        <v>0.13918299481938146</v>
      </c>
    </row>
    <row r="178" spans="1:8" x14ac:dyDescent="0.45">
      <c r="A178" s="4">
        <v>38961</v>
      </c>
      <c r="B178" s="2">
        <v>62.527142857142863</v>
      </c>
      <c r="D178" s="4">
        <v>38961</v>
      </c>
      <c r="E178" s="5">
        <f t="shared" si="4"/>
        <v>-0.16169057342904303</v>
      </c>
      <c r="G178" s="4">
        <v>38961</v>
      </c>
      <c r="H178" s="6">
        <f t="shared" si="5"/>
        <v>-1.1674025523406684E-2</v>
      </c>
    </row>
    <row r="179" spans="1:8" x14ac:dyDescent="0.45">
      <c r="A179" s="4">
        <v>38991</v>
      </c>
      <c r="B179" s="2">
        <v>58.758181818181818</v>
      </c>
      <c r="D179" s="4">
        <v>38991</v>
      </c>
      <c r="E179" s="5">
        <f t="shared" si="4"/>
        <v>-6.2170339863765633E-2</v>
      </c>
      <c r="G179" s="4">
        <v>38991</v>
      </c>
      <c r="H179" s="6">
        <f t="shared" si="5"/>
        <v>-2.5561968547416214E-3</v>
      </c>
    </row>
    <row r="180" spans="1:8" x14ac:dyDescent="0.45">
      <c r="A180" s="4">
        <v>39022</v>
      </c>
      <c r="B180" s="2">
        <v>59.222727272727269</v>
      </c>
      <c r="D180" s="4">
        <v>39022</v>
      </c>
      <c r="E180" s="5">
        <f t="shared" si="4"/>
        <v>7.8749665324409079E-3</v>
      </c>
      <c r="G180" s="4">
        <v>39022</v>
      </c>
      <c r="H180" s="6">
        <f t="shared" si="5"/>
        <v>6.5831858481021577E-2</v>
      </c>
    </row>
    <row r="181" spans="1:8" x14ac:dyDescent="0.45">
      <c r="A181" s="4">
        <v>39052</v>
      </c>
      <c r="B181" s="2">
        <v>62.26047619047619</v>
      </c>
      <c r="D181" s="4">
        <v>39052</v>
      </c>
      <c r="E181" s="5">
        <f t="shared" si="4"/>
        <v>5.0021438551185682E-2</v>
      </c>
      <c r="G181" s="4">
        <v>39052</v>
      </c>
      <c r="H181" s="6">
        <f t="shared" si="5"/>
        <v>8.5528127008094756E-2</v>
      </c>
    </row>
    <row r="182" spans="1:8" x14ac:dyDescent="0.45">
      <c r="A182" s="4">
        <v>39083</v>
      </c>
      <c r="B182" s="2">
        <v>54.503043478260871</v>
      </c>
      <c r="D182" s="4">
        <v>39083</v>
      </c>
      <c r="E182" s="5">
        <f t="shared" si="4"/>
        <v>-0.13307026965394053</v>
      </c>
      <c r="G182" s="4">
        <v>39083</v>
      </c>
      <c r="H182" s="6">
        <f t="shared" si="5"/>
        <v>-0.14981546911039656</v>
      </c>
    </row>
    <row r="183" spans="1:8" x14ac:dyDescent="0.45">
      <c r="A183" s="4">
        <v>39114</v>
      </c>
      <c r="B183" s="2">
        <v>57.969499999999996</v>
      </c>
      <c r="D183" s="4">
        <v>39114</v>
      </c>
      <c r="E183" s="5">
        <f t="shared" si="4"/>
        <v>6.1660466415689452E-2</v>
      </c>
      <c r="G183" s="4">
        <v>39114</v>
      </c>
      <c r="H183" s="6">
        <f t="shared" si="5"/>
        <v>-4.7763235243626134E-2</v>
      </c>
    </row>
    <row r="184" spans="1:8" x14ac:dyDescent="0.45">
      <c r="A184" s="4">
        <v>39142</v>
      </c>
      <c r="B184" s="2">
        <v>62.357272727272729</v>
      </c>
      <c r="D184" s="4">
        <v>39142</v>
      </c>
      <c r="E184" s="5">
        <f t="shared" si="4"/>
        <v>7.2963298741165694E-2</v>
      </c>
      <c r="G184" s="4">
        <v>39142</v>
      </c>
      <c r="H184" s="6">
        <f t="shared" si="5"/>
        <v>-6.2297662853891822E-3</v>
      </c>
    </row>
    <row r="185" spans="1:8" x14ac:dyDescent="0.45">
      <c r="A185" s="4">
        <v>39173</v>
      </c>
      <c r="B185" s="2">
        <v>67.69047619047619</v>
      </c>
      <c r="D185" s="4">
        <v>39173</v>
      </c>
      <c r="E185" s="5">
        <f t="shared" si="4"/>
        <v>8.2065184462961405E-2</v>
      </c>
      <c r="G185" s="4">
        <v>39173</v>
      </c>
      <c r="H185" s="6">
        <f t="shared" si="5"/>
        <v>-3.8395133678204907E-2</v>
      </c>
    </row>
    <row r="186" spans="1:8" x14ac:dyDescent="0.45">
      <c r="A186" s="4">
        <v>39203</v>
      </c>
      <c r="B186" s="2">
        <v>67.717826086956521</v>
      </c>
      <c r="D186" s="4">
        <v>39203</v>
      </c>
      <c r="E186" s="5">
        <f t="shared" si="4"/>
        <v>4.0396188996183469E-4</v>
      </c>
      <c r="G186" s="4">
        <v>39203</v>
      </c>
      <c r="H186" s="6">
        <f t="shared" si="5"/>
        <v>-4.0405088473356443E-2</v>
      </c>
    </row>
    <row r="187" spans="1:8" x14ac:dyDescent="0.45">
      <c r="A187" s="4">
        <v>39234</v>
      </c>
      <c r="B187" s="2">
        <v>70.61904761904762</v>
      </c>
      <c r="D187" s="4">
        <v>39234</v>
      </c>
      <c r="E187" s="5">
        <f t="shared" si="4"/>
        <v>4.1950449156916036E-2</v>
      </c>
      <c r="G187" s="4">
        <v>39234</v>
      </c>
      <c r="H187" s="6">
        <f t="shared" si="5"/>
        <v>1.9826216123403739E-2</v>
      </c>
    </row>
    <row r="188" spans="1:8" x14ac:dyDescent="0.45">
      <c r="A188" s="4">
        <v>39264</v>
      </c>
      <c r="B188" s="2">
        <v>76.133181818181825</v>
      </c>
      <c r="D188" s="4">
        <v>39264</v>
      </c>
      <c r="E188" s="5">
        <f t="shared" si="4"/>
        <v>7.5184294568295229E-2</v>
      </c>
      <c r="G188" s="4">
        <v>39264</v>
      </c>
      <c r="H188" s="6">
        <f t="shared" si="5"/>
        <v>2.7865848300371532E-2</v>
      </c>
    </row>
    <row r="189" spans="1:8" x14ac:dyDescent="0.45">
      <c r="A189" s="4">
        <v>39295</v>
      </c>
      <c r="B189" s="2">
        <v>71.313043478260866</v>
      </c>
      <c r="D189" s="4">
        <v>39295</v>
      </c>
      <c r="E189" s="5">
        <f t="shared" si="4"/>
        <v>-6.5404950309643439E-2</v>
      </c>
      <c r="G189" s="4">
        <v>39295</v>
      </c>
      <c r="H189" s="6">
        <f t="shared" si="5"/>
        <v>-3.0212072937776391E-2</v>
      </c>
    </row>
    <row r="190" spans="1:8" x14ac:dyDescent="0.45">
      <c r="A190" s="4">
        <v>39326</v>
      </c>
      <c r="B190" s="2">
        <v>76.772000000000006</v>
      </c>
      <c r="D190" s="4">
        <v>39326</v>
      </c>
      <c r="E190" s="5">
        <f t="shared" si="4"/>
        <v>7.3760741670470864E-2</v>
      </c>
      <c r="G190" s="4">
        <v>39326</v>
      </c>
      <c r="H190" s="6">
        <f t="shared" si="5"/>
        <v>0.2052392421617375</v>
      </c>
    </row>
    <row r="191" spans="1:8" x14ac:dyDescent="0.45">
      <c r="A191" s="4">
        <v>39356</v>
      </c>
      <c r="B191" s="2">
        <v>82.507391304347834</v>
      </c>
      <c r="D191" s="4">
        <v>39356</v>
      </c>
      <c r="E191" s="5">
        <f t="shared" si="4"/>
        <v>7.204789055177141E-2</v>
      </c>
      <c r="G191" s="4">
        <v>39356</v>
      </c>
      <c r="H191" s="6">
        <f t="shared" si="5"/>
        <v>0.33945747257727454</v>
      </c>
    </row>
    <row r="192" spans="1:8" x14ac:dyDescent="0.45">
      <c r="A192" s="4">
        <v>39387</v>
      </c>
      <c r="B192" s="2">
        <v>92.731363636363639</v>
      </c>
      <c r="D192" s="4">
        <v>39387</v>
      </c>
      <c r="E192" s="5">
        <f t="shared" si="4"/>
        <v>0.11681886925844687</v>
      </c>
      <c r="G192" s="4">
        <v>39387</v>
      </c>
      <c r="H192" s="6">
        <f t="shared" si="5"/>
        <v>0.4484013753032805</v>
      </c>
    </row>
    <row r="193" spans="1:8" x14ac:dyDescent="0.45">
      <c r="A193" s="4">
        <v>39417</v>
      </c>
      <c r="B193" s="2">
        <v>91.519523809523804</v>
      </c>
      <c r="D193" s="4">
        <v>39417</v>
      </c>
      <c r="E193" s="5">
        <f t="shared" si="4"/>
        <v>-1.3154425666101588E-2</v>
      </c>
      <c r="G193" s="4">
        <v>39417</v>
      </c>
      <c r="H193" s="6">
        <f t="shared" si="5"/>
        <v>0.38522551108599323</v>
      </c>
    </row>
    <row r="194" spans="1:8" x14ac:dyDescent="0.45">
      <c r="A194" s="4">
        <v>39448</v>
      </c>
      <c r="B194" s="2">
        <v>92.091739130434775</v>
      </c>
      <c r="D194" s="4">
        <v>39448</v>
      </c>
      <c r="E194" s="5">
        <f t="shared" si="4"/>
        <v>6.2329201843169812E-3</v>
      </c>
      <c r="G194" s="4">
        <v>39448</v>
      </c>
      <c r="H194" s="6">
        <f t="shared" si="5"/>
        <v>0.52452870092425075</v>
      </c>
    </row>
    <row r="195" spans="1:8" x14ac:dyDescent="0.45">
      <c r="A195" s="4">
        <v>39479</v>
      </c>
      <c r="B195" s="2">
        <v>94.722380952380959</v>
      </c>
      <c r="D195" s="4">
        <v>39479</v>
      </c>
      <c r="E195" s="5">
        <f t="shared" si="4"/>
        <v>2.8165062891594594E-2</v>
      </c>
      <c r="G195" s="4">
        <v>39479</v>
      </c>
      <c r="H195" s="6">
        <f t="shared" si="5"/>
        <v>0.49103329740015589</v>
      </c>
    </row>
    <row r="196" spans="1:8" x14ac:dyDescent="0.45">
      <c r="A196" s="4">
        <v>39508</v>
      </c>
      <c r="B196" s="2">
        <v>103.16190476190479</v>
      </c>
      <c r="D196" s="4">
        <v>39508</v>
      </c>
      <c r="E196" s="5">
        <f t="shared" ref="E196:E259" si="6">LN(B196)-LN(B195)</f>
        <v>8.5349337430873362E-2</v>
      </c>
      <c r="G196" s="4">
        <v>39508</v>
      </c>
      <c r="H196" s="6">
        <f t="shared" si="5"/>
        <v>0.50341933608986356</v>
      </c>
    </row>
    <row r="197" spans="1:8" x14ac:dyDescent="0.45">
      <c r="A197" s="4">
        <v>39539</v>
      </c>
      <c r="B197" s="2">
        <v>110.0331818181818</v>
      </c>
      <c r="D197" s="4">
        <v>39539</v>
      </c>
      <c r="E197" s="5">
        <f t="shared" si="6"/>
        <v>6.4482328202358552E-2</v>
      </c>
      <c r="G197" s="4">
        <v>39539</v>
      </c>
      <c r="H197" s="6">
        <f t="shared" si="5"/>
        <v>0.4858364798292607</v>
      </c>
    </row>
    <row r="198" spans="1:8" x14ac:dyDescent="0.45">
      <c r="A198" s="4">
        <v>39569</v>
      </c>
      <c r="B198" s="2">
        <v>123.8622727272727</v>
      </c>
      <c r="D198" s="4">
        <v>39569</v>
      </c>
      <c r="E198" s="5">
        <f t="shared" si="6"/>
        <v>0.11838827130722329</v>
      </c>
      <c r="G198" s="4">
        <v>39569</v>
      </c>
      <c r="H198" s="6">
        <f t="shared" si="5"/>
        <v>0.60382078924652216</v>
      </c>
    </row>
    <row r="199" spans="1:8" x14ac:dyDescent="0.45">
      <c r="A199" s="4">
        <v>39600</v>
      </c>
      <c r="B199" s="2">
        <v>132.7604761904762</v>
      </c>
      <c r="D199" s="4">
        <v>39600</v>
      </c>
      <c r="E199" s="5">
        <f t="shared" si="6"/>
        <v>6.9376329193261199E-2</v>
      </c>
      <c r="G199" s="4">
        <v>39600</v>
      </c>
      <c r="H199" s="6">
        <f t="shared" si="5"/>
        <v>0.63124666928286732</v>
      </c>
    </row>
    <row r="200" spans="1:8" x14ac:dyDescent="0.45">
      <c r="A200" s="4">
        <v>39630</v>
      </c>
      <c r="B200" s="2">
        <v>133.5852173913043</v>
      </c>
      <c r="D200" s="4">
        <v>39630</v>
      </c>
      <c r="E200" s="5">
        <f t="shared" si="6"/>
        <v>6.1930330145170132E-3</v>
      </c>
      <c r="G200" s="4">
        <v>39630</v>
      </c>
      <c r="H200" s="6">
        <f t="shared" si="5"/>
        <v>0.56225540772908911</v>
      </c>
    </row>
    <row r="201" spans="1:8" x14ac:dyDescent="0.45">
      <c r="A201" s="4">
        <v>39661</v>
      </c>
      <c r="B201" s="2">
        <v>113.8004761904762</v>
      </c>
      <c r="D201" s="4">
        <v>39661</v>
      </c>
      <c r="E201" s="5">
        <f t="shared" si="6"/>
        <v>-0.16029290057783641</v>
      </c>
      <c r="G201" s="4">
        <v>39661</v>
      </c>
      <c r="H201" s="6">
        <f t="shared" si="5"/>
        <v>0.46736745746089614</v>
      </c>
    </row>
    <row r="202" spans="1:8" x14ac:dyDescent="0.45">
      <c r="A202" s="4">
        <v>39692</v>
      </c>
      <c r="B202" s="2">
        <v>98.755454545454555</v>
      </c>
      <c r="D202" s="4">
        <v>39692</v>
      </c>
      <c r="E202" s="5">
        <f t="shared" si="6"/>
        <v>-0.14180006797493494</v>
      </c>
      <c r="G202" s="4">
        <v>39692</v>
      </c>
      <c r="H202" s="6">
        <f t="shared" si="5"/>
        <v>0.25180664781549034</v>
      </c>
    </row>
    <row r="203" spans="1:8" x14ac:dyDescent="0.45">
      <c r="A203" s="4">
        <v>39722</v>
      </c>
      <c r="B203" s="2">
        <v>71.963478260869564</v>
      </c>
      <c r="D203" s="4">
        <v>39722</v>
      </c>
      <c r="E203" s="5">
        <f t="shared" si="6"/>
        <v>-0.31648789421284285</v>
      </c>
      <c r="G203" s="4">
        <v>39722</v>
      </c>
      <c r="H203" s="6">
        <f t="shared" si="5"/>
        <v>-0.13672913694912392</v>
      </c>
    </row>
    <row r="204" spans="1:8" x14ac:dyDescent="0.45">
      <c r="A204" s="4">
        <v>39753</v>
      </c>
      <c r="B204" s="2">
        <v>52.713500000000003</v>
      </c>
      <c r="D204" s="4">
        <v>39753</v>
      </c>
      <c r="E204" s="5">
        <f t="shared" si="6"/>
        <v>-0.3112871542211999</v>
      </c>
      <c r="G204" s="4">
        <v>39753</v>
      </c>
      <c r="H204" s="6">
        <f t="shared" si="5"/>
        <v>-0.56483516042877069</v>
      </c>
    </row>
    <row r="205" spans="1:8" x14ac:dyDescent="0.45">
      <c r="A205" s="4">
        <v>39783</v>
      </c>
      <c r="B205" s="2">
        <v>40.511739130434783</v>
      </c>
      <c r="D205" s="4">
        <v>39783</v>
      </c>
      <c r="E205" s="5">
        <f t="shared" si="6"/>
        <v>-0.26327980253998806</v>
      </c>
      <c r="G205" s="4">
        <v>39783</v>
      </c>
      <c r="H205" s="6">
        <f t="shared" si="5"/>
        <v>-0.81496053730265716</v>
      </c>
    </row>
    <row r="206" spans="1:8" x14ac:dyDescent="0.45">
      <c r="A206" s="4">
        <v>39814</v>
      </c>
      <c r="B206" s="2">
        <v>43.174545454545452</v>
      </c>
      <c r="D206" s="4">
        <v>39814</v>
      </c>
      <c r="E206" s="5">
        <f t="shared" si="6"/>
        <v>6.365930881412929E-2</v>
      </c>
      <c r="G206" s="4">
        <v>39814</v>
      </c>
      <c r="H206" s="6">
        <f t="shared" si="5"/>
        <v>-0.75753414867284485</v>
      </c>
    </row>
    <row r="207" spans="1:8" x14ac:dyDescent="0.45">
      <c r="A207" s="4">
        <v>39845</v>
      </c>
      <c r="B207" s="2">
        <v>42.910499999999999</v>
      </c>
      <c r="D207" s="4">
        <v>39845</v>
      </c>
      <c r="E207" s="5">
        <f t="shared" si="6"/>
        <v>-6.1345447681726561E-3</v>
      </c>
      <c r="G207" s="4">
        <v>39845</v>
      </c>
      <c r="H207" s="6">
        <f t="shared" ref="H207:H270" si="7">LN(B207)-LN(B195)</f>
        <v>-0.7918337563326121</v>
      </c>
    </row>
    <row r="208" spans="1:8" x14ac:dyDescent="0.45">
      <c r="A208" s="4">
        <v>39873</v>
      </c>
      <c r="B208" s="2">
        <v>46.582727272727269</v>
      </c>
      <c r="D208" s="4">
        <v>39873</v>
      </c>
      <c r="E208" s="5">
        <f t="shared" si="6"/>
        <v>8.2113261805848214E-2</v>
      </c>
      <c r="G208" s="4">
        <v>39873</v>
      </c>
      <c r="H208" s="6">
        <f t="shared" si="7"/>
        <v>-0.79506983195763725</v>
      </c>
    </row>
    <row r="209" spans="1:8" x14ac:dyDescent="0.45">
      <c r="A209" s="4">
        <v>39904</v>
      </c>
      <c r="B209" s="2">
        <v>50.519090909090913</v>
      </c>
      <c r="D209" s="4">
        <v>39904</v>
      </c>
      <c r="E209" s="5">
        <f t="shared" si="6"/>
        <v>8.1121489609911279E-2</v>
      </c>
      <c r="G209" s="4">
        <v>39904</v>
      </c>
      <c r="H209" s="6">
        <f t="shared" si="7"/>
        <v>-0.77843067055008452</v>
      </c>
    </row>
    <row r="210" spans="1:8" x14ac:dyDescent="0.45">
      <c r="A210" s="4">
        <v>39934</v>
      </c>
      <c r="B210" s="2">
        <v>57.501428571428569</v>
      </c>
      <c r="D210" s="4">
        <v>39934</v>
      </c>
      <c r="E210" s="5">
        <f t="shared" si="6"/>
        <v>0.12945848956836903</v>
      </c>
      <c r="G210" s="4">
        <v>39934</v>
      </c>
      <c r="H210" s="6">
        <f t="shared" si="7"/>
        <v>-0.76736045228893879</v>
      </c>
    </row>
    <row r="211" spans="1:8" x14ac:dyDescent="0.45">
      <c r="A211" s="4">
        <v>39965</v>
      </c>
      <c r="B211" s="2">
        <v>68.58</v>
      </c>
      <c r="D211" s="4">
        <v>39965</v>
      </c>
      <c r="E211" s="5">
        <f t="shared" si="6"/>
        <v>0.17619115481959735</v>
      </c>
      <c r="G211" s="4">
        <v>39965</v>
      </c>
      <c r="H211" s="6">
        <f t="shared" si="7"/>
        <v>-0.66054562666260264</v>
      </c>
    </row>
    <row r="212" spans="1:8" x14ac:dyDescent="0.45">
      <c r="A212" s="4">
        <v>39995</v>
      </c>
      <c r="B212" s="2">
        <v>64.904347826086962</v>
      </c>
      <c r="D212" s="4">
        <v>39995</v>
      </c>
      <c r="E212" s="5">
        <f t="shared" si="6"/>
        <v>-5.5086332870843968E-2</v>
      </c>
      <c r="G212" s="4">
        <v>39995</v>
      </c>
      <c r="H212" s="6">
        <f t="shared" si="7"/>
        <v>-0.72182499254796362</v>
      </c>
    </row>
    <row r="213" spans="1:8" x14ac:dyDescent="0.45">
      <c r="A213" s="4">
        <v>40026</v>
      </c>
      <c r="B213" s="2">
        <v>72.591904761904757</v>
      </c>
      <c r="D213" s="4">
        <v>40026</v>
      </c>
      <c r="E213" s="5">
        <f t="shared" si="6"/>
        <v>0.11193879679275476</v>
      </c>
      <c r="G213" s="4">
        <v>40026</v>
      </c>
      <c r="H213" s="6">
        <f t="shared" si="7"/>
        <v>-0.44959329517737245</v>
      </c>
    </row>
    <row r="214" spans="1:8" x14ac:dyDescent="0.45">
      <c r="A214" s="4">
        <v>40057</v>
      </c>
      <c r="B214" s="2">
        <v>67.51318181818182</v>
      </c>
      <c r="D214" s="4">
        <v>40057</v>
      </c>
      <c r="E214" s="5">
        <f t="shared" si="6"/>
        <v>-7.2530545948780833E-2</v>
      </c>
      <c r="G214" s="4">
        <v>40057</v>
      </c>
      <c r="H214" s="6">
        <f t="shared" si="7"/>
        <v>-0.38032377315121835</v>
      </c>
    </row>
    <row r="215" spans="1:8" x14ac:dyDescent="0.45">
      <c r="A215" s="4">
        <v>40087</v>
      </c>
      <c r="B215" s="2">
        <v>72.968636363636364</v>
      </c>
      <c r="D215" s="4">
        <v>40087</v>
      </c>
      <c r="E215" s="5">
        <f t="shared" si="6"/>
        <v>7.7706844964974486E-2</v>
      </c>
      <c r="G215" s="4">
        <v>40087</v>
      </c>
      <c r="H215" s="6">
        <f t="shared" si="7"/>
        <v>1.3870966026598985E-2</v>
      </c>
    </row>
    <row r="216" spans="1:8" x14ac:dyDescent="0.45">
      <c r="A216" s="4">
        <v>40118</v>
      </c>
      <c r="B216" s="2">
        <v>76.936666666666667</v>
      </c>
      <c r="D216" s="4">
        <v>40118</v>
      </c>
      <c r="E216" s="5">
        <f t="shared" si="6"/>
        <v>5.2952862610671225E-2</v>
      </c>
      <c r="G216" s="4">
        <v>40118</v>
      </c>
      <c r="H216" s="6">
        <f t="shared" si="7"/>
        <v>0.37811098285847011</v>
      </c>
    </row>
    <row r="217" spans="1:8" x14ac:dyDescent="0.45">
      <c r="A217" s="4">
        <v>40148</v>
      </c>
      <c r="B217" s="2">
        <v>74.789565217391299</v>
      </c>
      <c r="D217" s="4">
        <v>40148</v>
      </c>
      <c r="E217" s="5">
        <f t="shared" si="6"/>
        <v>-2.8304199775781136E-2</v>
      </c>
      <c r="G217" s="4">
        <v>40148</v>
      </c>
      <c r="H217" s="6">
        <f t="shared" si="7"/>
        <v>0.61308658562267704</v>
      </c>
    </row>
    <row r="218" spans="1:8" x14ac:dyDescent="0.45">
      <c r="A218" s="4">
        <v>40179</v>
      </c>
      <c r="B218" s="2">
        <v>76.602380952380955</v>
      </c>
      <c r="D218" s="4">
        <v>40179</v>
      </c>
      <c r="E218" s="5">
        <f t="shared" si="6"/>
        <v>2.3949786384967808E-2</v>
      </c>
      <c r="G218" s="4">
        <v>40179</v>
      </c>
      <c r="H218" s="6">
        <f t="shared" si="7"/>
        <v>0.57337706319351556</v>
      </c>
    </row>
    <row r="219" spans="1:8" x14ac:dyDescent="0.45">
      <c r="A219" s="4">
        <v>40210</v>
      </c>
      <c r="B219" s="2">
        <v>73.903000000000006</v>
      </c>
      <c r="D219" s="4">
        <v>40210</v>
      </c>
      <c r="E219" s="5">
        <f t="shared" si="6"/>
        <v>-3.5874736663362938E-2</v>
      </c>
      <c r="G219" s="4">
        <v>40210</v>
      </c>
      <c r="H219" s="6">
        <f t="shared" si="7"/>
        <v>0.54363687129832527</v>
      </c>
    </row>
    <row r="220" spans="1:8" x14ac:dyDescent="0.45">
      <c r="A220" s="4">
        <v>40238</v>
      </c>
      <c r="B220" s="2">
        <v>79.51913043478261</v>
      </c>
      <c r="D220" s="4">
        <v>40238</v>
      </c>
      <c r="E220" s="5">
        <f t="shared" si="6"/>
        <v>7.3244204582881167E-2</v>
      </c>
      <c r="G220" s="4">
        <v>40238</v>
      </c>
      <c r="H220" s="6">
        <f t="shared" si="7"/>
        <v>0.53476781407535823</v>
      </c>
    </row>
    <row r="221" spans="1:8" x14ac:dyDescent="0.45">
      <c r="A221" s="4">
        <v>40269</v>
      </c>
      <c r="B221" s="2">
        <v>85.156363636363636</v>
      </c>
      <c r="D221" s="4">
        <v>40269</v>
      </c>
      <c r="E221" s="5">
        <f t="shared" si="6"/>
        <v>6.8491511629844126E-2</v>
      </c>
      <c r="G221" s="4">
        <v>40269</v>
      </c>
      <c r="H221" s="6">
        <f t="shared" si="7"/>
        <v>0.52213783609529107</v>
      </c>
    </row>
    <row r="222" spans="1:8" x14ac:dyDescent="0.45">
      <c r="A222" s="4">
        <v>40299</v>
      </c>
      <c r="B222" s="2">
        <v>76.132380952380956</v>
      </c>
      <c r="D222" s="4">
        <v>40299</v>
      </c>
      <c r="E222" s="5">
        <f t="shared" si="6"/>
        <v>-0.11201545908863242</v>
      </c>
      <c r="G222" s="4">
        <v>40299</v>
      </c>
      <c r="H222" s="6">
        <f t="shared" si="7"/>
        <v>0.28066388743828963</v>
      </c>
    </row>
    <row r="223" spans="1:8" x14ac:dyDescent="0.45">
      <c r="A223" s="4">
        <v>40330</v>
      </c>
      <c r="B223" s="2">
        <v>75.24636363636364</v>
      </c>
      <c r="D223" s="4">
        <v>40330</v>
      </c>
      <c r="E223" s="5">
        <f t="shared" si="6"/>
        <v>-1.1706100961365706E-2</v>
      </c>
      <c r="G223" s="4">
        <v>40330</v>
      </c>
      <c r="H223" s="6">
        <f t="shared" si="7"/>
        <v>9.276663165732657E-2</v>
      </c>
    </row>
    <row r="224" spans="1:8" x14ac:dyDescent="0.45">
      <c r="A224" s="4">
        <v>40360</v>
      </c>
      <c r="B224" s="2">
        <v>75.194999999999993</v>
      </c>
      <c r="D224" s="4">
        <v>40360</v>
      </c>
      <c r="E224" s="5">
        <f t="shared" si="6"/>
        <v>-6.8283930852430785E-4</v>
      </c>
      <c r="G224" s="4">
        <v>40360</v>
      </c>
      <c r="H224" s="6">
        <f t="shared" si="7"/>
        <v>0.14717012521964623</v>
      </c>
    </row>
    <row r="225" spans="1:8" x14ac:dyDescent="0.45">
      <c r="A225" s="4">
        <v>40391</v>
      </c>
      <c r="B225" s="2">
        <v>76.891818181818181</v>
      </c>
      <c r="D225" s="4">
        <v>40391</v>
      </c>
      <c r="E225" s="5">
        <f t="shared" si="6"/>
        <v>2.2314735912583039E-2</v>
      </c>
      <c r="G225" s="4">
        <v>40391</v>
      </c>
      <c r="H225" s="6">
        <f t="shared" si="7"/>
        <v>5.7546064339474512E-2</v>
      </c>
    </row>
    <row r="226" spans="1:8" x14ac:dyDescent="0.45">
      <c r="A226" s="4">
        <v>40422</v>
      </c>
      <c r="B226" s="2">
        <v>77.938181818181818</v>
      </c>
      <c r="D226" s="4">
        <v>40422</v>
      </c>
      <c r="E226" s="5">
        <f t="shared" si="6"/>
        <v>1.3516496374402109E-2</v>
      </c>
      <c r="G226" s="4">
        <v>40422</v>
      </c>
      <c r="H226" s="6">
        <f t="shared" si="7"/>
        <v>0.14359310666265745</v>
      </c>
    </row>
    <row r="227" spans="1:8" x14ac:dyDescent="0.45">
      <c r="A227" s="4">
        <v>40452</v>
      </c>
      <c r="B227" s="2">
        <v>83.338571428571427</v>
      </c>
      <c r="D227" s="4">
        <v>40452</v>
      </c>
      <c r="E227" s="5">
        <f t="shared" si="6"/>
        <v>6.6995512691004677E-2</v>
      </c>
      <c r="G227" s="4">
        <v>40452</v>
      </c>
      <c r="H227" s="6">
        <f t="shared" si="7"/>
        <v>0.13288177438868765</v>
      </c>
    </row>
    <row r="228" spans="1:8" x14ac:dyDescent="0.45">
      <c r="A228" s="4">
        <v>40483</v>
      </c>
      <c r="B228" s="2">
        <v>85.800909090909087</v>
      </c>
      <c r="D228" s="4">
        <v>40483</v>
      </c>
      <c r="E228" s="5">
        <f t="shared" si="6"/>
        <v>2.9118117541360178E-2</v>
      </c>
      <c r="G228" s="4">
        <v>40483</v>
      </c>
      <c r="H228" s="6">
        <f t="shared" si="7"/>
        <v>0.1090470293193766</v>
      </c>
    </row>
    <row r="229" spans="1:8" x14ac:dyDescent="0.45">
      <c r="A229" s="4">
        <v>40513</v>
      </c>
      <c r="B229" s="2">
        <v>91.96</v>
      </c>
      <c r="D229" s="4">
        <v>40513</v>
      </c>
      <c r="E229" s="5">
        <f t="shared" si="6"/>
        <v>6.9324097992054412E-2</v>
      </c>
      <c r="G229" s="4">
        <v>40513</v>
      </c>
      <c r="H229" s="6">
        <f t="shared" si="7"/>
        <v>0.20667532708721215</v>
      </c>
    </row>
    <row r="230" spans="1:8" x14ac:dyDescent="0.45">
      <c r="A230" s="4">
        <v>40544</v>
      </c>
      <c r="B230" s="2">
        <v>96.952380952380963</v>
      </c>
      <c r="D230" s="4">
        <v>40544</v>
      </c>
      <c r="E230" s="5">
        <f t="shared" si="6"/>
        <v>5.2866240052010127E-2</v>
      </c>
      <c r="G230" s="4">
        <v>40544</v>
      </c>
      <c r="H230" s="6">
        <f t="shared" si="7"/>
        <v>0.23559178075425447</v>
      </c>
    </row>
    <row r="231" spans="1:8" x14ac:dyDescent="0.45">
      <c r="A231" s="4">
        <v>40575</v>
      </c>
      <c r="B231" s="2">
        <v>104.2385</v>
      </c>
      <c r="D231" s="4">
        <v>40575</v>
      </c>
      <c r="E231" s="5">
        <f t="shared" si="6"/>
        <v>7.2461602896532362E-2</v>
      </c>
      <c r="G231" s="4">
        <v>40575</v>
      </c>
      <c r="H231" s="6">
        <f t="shared" si="7"/>
        <v>0.34392812031414977</v>
      </c>
    </row>
    <row r="232" spans="1:8" x14ac:dyDescent="0.45">
      <c r="A232" s="4">
        <v>40603</v>
      </c>
      <c r="B232" s="2">
        <v>114.9173913043478</v>
      </c>
      <c r="D232" s="4">
        <v>40603</v>
      </c>
      <c r="E232" s="5">
        <f t="shared" si="6"/>
        <v>9.7531990908520605E-2</v>
      </c>
      <c r="G232" s="4">
        <v>40603</v>
      </c>
      <c r="H232" s="6">
        <f t="shared" si="7"/>
        <v>0.3682159066397892</v>
      </c>
    </row>
    <row r="233" spans="1:8" x14ac:dyDescent="0.45">
      <c r="A233" s="4">
        <v>40634</v>
      </c>
      <c r="B233" s="2">
        <v>123.3257142857143</v>
      </c>
      <c r="D233" s="4">
        <v>40634</v>
      </c>
      <c r="E233" s="5">
        <f t="shared" si="6"/>
        <v>7.0615405248121377E-2</v>
      </c>
      <c r="G233" s="4">
        <v>40634</v>
      </c>
      <c r="H233" s="6">
        <f t="shared" si="7"/>
        <v>0.37033980025806645</v>
      </c>
    </row>
    <row r="234" spans="1:8" x14ac:dyDescent="0.45">
      <c r="A234" s="4">
        <v>40664</v>
      </c>
      <c r="B234" s="2">
        <v>114.9295454545455</v>
      </c>
      <c r="D234" s="4">
        <v>40664</v>
      </c>
      <c r="E234" s="5">
        <f t="shared" si="6"/>
        <v>-7.050964660386505E-2</v>
      </c>
      <c r="G234" s="4">
        <v>40664</v>
      </c>
      <c r="H234" s="6">
        <f t="shared" si="7"/>
        <v>0.41184561274283382</v>
      </c>
    </row>
    <row r="235" spans="1:8" x14ac:dyDescent="0.45">
      <c r="A235" s="4">
        <v>40695</v>
      </c>
      <c r="B235" s="2">
        <v>114.37045454545451</v>
      </c>
      <c r="D235" s="4">
        <v>40695</v>
      </c>
      <c r="E235" s="5">
        <f t="shared" si="6"/>
        <v>-4.8765112694226787E-3</v>
      </c>
      <c r="G235" s="4">
        <v>40695</v>
      </c>
      <c r="H235" s="6">
        <f t="shared" si="7"/>
        <v>0.41867520243477685</v>
      </c>
    </row>
    <row r="236" spans="1:8" x14ac:dyDescent="0.45">
      <c r="A236" s="4">
        <v>40725</v>
      </c>
      <c r="B236" s="2">
        <v>117.48333333333331</v>
      </c>
      <c r="D236" s="4">
        <v>40725</v>
      </c>
      <c r="E236" s="5">
        <f t="shared" si="6"/>
        <v>2.6853698424897487E-2</v>
      </c>
      <c r="G236" s="4">
        <v>40725</v>
      </c>
      <c r="H236" s="6">
        <f t="shared" si="7"/>
        <v>0.44621174016819865</v>
      </c>
    </row>
    <row r="237" spans="1:8" x14ac:dyDescent="0.45">
      <c r="A237" s="4">
        <v>40756</v>
      </c>
      <c r="B237" s="2">
        <v>110.3547826086957</v>
      </c>
      <c r="D237" s="4">
        <v>40756</v>
      </c>
      <c r="E237" s="5">
        <f t="shared" si="6"/>
        <v>-6.2596007428470379E-2</v>
      </c>
      <c r="G237" s="4">
        <v>40756</v>
      </c>
      <c r="H237" s="6">
        <f t="shared" si="7"/>
        <v>0.36130099682714523</v>
      </c>
    </row>
    <row r="238" spans="1:8" x14ac:dyDescent="0.45">
      <c r="A238" s="4">
        <v>40787</v>
      </c>
      <c r="B238" s="2">
        <v>111.96272727272731</v>
      </c>
      <c r="D238" s="4">
        <v>40787</v>
      </c>
      <c r="E238" s="5">
        <f t="shared" si="6"/>
        <v>1.4465551576382296E-2</v>
      </c>
      <c r="G238" s="4">
        <v>40787</v>
      </c>
      <c r="H238" s="6">
        <f t="shared" si="7"/>
        <v>0.36225005202912541</v>
      </c>
    </row>
    <row r="239" spans="1:8" x14ac:dyDescent="0.45">
      <c r="A239" s="4">
        <v>40817</v>
      </c>
      <c r="B239" s="2">
        <v>110.4295238095238</v>
      </c>
      <c r="D239" s="4">
        <v>40817</v>
      </c>
      <c r="E239" s="5">
        <f t="shared" si="6"/>
        <v>-1.3788499797696474E-2</v>
      </c>
      <c r="G239" s="4">
        <v>40817</v>
      </c>
      <c r="H239" s="6">
        <f t="shared" si="7"/>
        <v>0.28146603954042426</v>
      </c>
    </row>
    <row r="240" spans="1:8" x14ac:dyDescent="0.45">
      <c r="A240" s="4">
        <v>40848</v>
      </c>
      <c r="B240" s="2">
        <v>111.1586363636364</v>
      </c>
      <c r="D240" s="4">
        <v>40848</v>
      </c>
      <c r="E240" s="5">
        <f t="shared" si="6"/>
        <v>6.5808135674210178E-3</v>
      </c>
      <c r="G240" s="4">
        <v>40848</v>
      </c>
      <c r="H240" s="6">
        <f t="shared" si="7"/>
        <v>0.2589287355664851</v>
      </c>
    </row>
    <row r="241" spans="1:8" x14ac:dyDescent="0.45">
      <c r="A241" s="4">
        <v>40878</v>
      </c>
      <c r="B241" s="2">
        <v>108.3477272727273</v>
      </c>
      <c r="D241" s="4">
        <v>40878</v>
      </c>
      <c r="E241" s="5">
        <f t="shared" si="6"/>
        <v>-2.5612585500971896E-2</v>
      </c>
      <c r="G241" s="4">
        <v>40878</v>
      </c>
      <c r="H241" s="6">
        <f t="shared" si="7"/>
        <v>0.16399205207345879</v>
      </c>
    </row>
    <row r="242" spans="1:8" x14ac:dyDescent="0.45">
      <c r="A242" s="4">
        <v>40909</v>
      </c>
      <c r="B242" s="2">
        <v>111.41500000000001</v>
      </c>
      <c r="D242" s="4">
        <v>40909</v>
      </c>
      <c r="E242" s="5">
        <f t="shared" si="6"/>
        <v>2.7916216370492464E-2</v>
      </c>
      <c r="G242" s="4">
        <v>40909</v>
      </c>
      <c r="H242" s="6">
        <f t="shared" si="7"/>
        <v>0.13904202839194113</v>
      </c>
    </row>
    <row r="243" spans="1:8" x14ac:dyDescent="0.45">
      <c r="A243" s="4">
        <v>40940</v>
      </c>
      <c r="B243" s="2">
        <v>119.1657142857143</v>
      </c>
      <c r="D243" s="4">
        <v>40940</v>
      </c>
      <c r="E243" s="5">
        <f t="shared" si="6"/>
        <v>6.7253113087092586E-2</v>
      </c>
      <c r="G243" s="4">
        <v>40940</v>
      </c>
      <c r="H243" s="6">
        <f t="shared" si="7"/>
        <v>0.13383353858250135</v>
      </c>
    </row>
    <row r="244" spans="1:8" x14ac:dyDescent="0.45">
      <c r="A244" s="4">
        <v>40969</v>
      </c>
      <c r="B244" s="2">
        <v>124.7031818181818</v>
      </c>
      <c r="D244" s="4">
        <v>40969</v>
      </c>
      <c r="E244" s="5">
        <f t="shared" si="6"/>
        <v>4.5421286717778564E-2</v>
      </c>
      <c r="G244" s="4">
        <v>40969</v>
      </c>
      <c r="H244" s="6">
        <f t="shared" si="7"/>
        <v>8.1722834391759314E-2</v>
      </c>
    </row>
    <row r="245" spans="1:8" x14ac:dyDescent="0.45">
      <c r="A245" s="4">
        <v>41000</v>
      </c>
      <c r="B245" s="2">
        <v>120.47</v>
      </c>
      <c r="D245" s="4">
        <v>41000</v>
      </c>
      <c r="E245" s="5">
        <f t="shared" si="6"/>
        <v>-3.4535608865041922E-2</v>
      </c>
      <c r="G245" s="4">
        <v>41000</v>
      </c>
      <c r="H245" s="6">
        <f t="shared" si="7"/>
        <v>-2.3428179721403986E-2</v>
      </c>
    </row>
    <row r="246" spans="1:8" x14ac:dyDescent="0.45">
      <c r="A246" s="4">
        <v>41030</v>
      </c>
      <c r="B246" s="2">
        <v>110.8221739130435</v>
      </c>
      <c r="D246" s="4">
        <v>41030</v>
      </c>
      <c r="E246" s="5">
        <f t="shared" si="6"/>
        <v>-8.3473879419043051E-2</v>
      </c>
      <c r="G246" s="4">
        <v>41030</v>
      </c>
      <c r="H246" s="6">
        <f t="shared" si="7"/>
        <v>-3.6392412536581986E-2</v>
      </c>
    </row>
    <row r="247" spans="1:8" x14ac:dyDescent="0.45">
      <c r="A247" s="4">
        <v>41061</v>
      </c>
      <c r="B247" s="2">
        <v>95.889047619047616</v>
      </c>
      <c r="D247" s="4">
        <v>41061</v>
      </c>
      <c r="E247" s="5">
        <f t="shared" si="6"/>
        <v>-0.14473511075880552</v>
      </c>
      <c r="G247" s="4">
        <v>41061</v>
      </c>
      <c r="H247" s="6">
        <f t="shared" si="7"/>
        <v>-0.17625101202596483</v>
      </c>
    </row>
    <row r="248" spans="1:8" x14ac:dyDescent="0.45">
      <c r="A248" s="4">
        <v>41091</v>
      </c>
      <c r="B248" s="2">
        <v>102.9795454545455</v>
      </c>
      <c r="D248" s="4">
        <v>41091</v>
      </c>
      <c r="E248" s="5">
        <f t="shared" si="6"/>
        <v>7.1338611587604461E-2</v>
      </c>
      <c r="G248" s="4">
        <v>41091</v>
      </c>
      <c r="H248" s="6">
        <f t="shared" si="7"/>
        <v>-0.13176609886325785</v>
      </c>
    </row>
    <row r="249" spans="1:8" x14ac:dyDescent="0.45">
      <c r="A249" s="4">
        <v>41122</v>
      </c>
      <c r="B249" s="2">
        <v>113.78043478260869</v>
      </c>
      <c r="D249" s="4">
        <v>41122</v>
      </c>
      <c r="E249" s="5">
        <f t="shared" si="6"/>
        <v>9.9740199883570746E-2</v>
      </c>
      <c r="G249" s="4">
        <v>41122</v>
      </c>
      <c r="H249" s="6">
        <f t="shared" si="7"/>
        <v>3.0570108448783273E-2</v>
      </c>
    </row>
    <row r="250" spans="1:8" x14ac:dyDescent="0.45">
      <c r="A250" s="4">
        <v>41153</v>
      </c>
      <c r="B250" s="2">
        <v>113.64149999999999</v>
      </c>
      <c r="D250" s="4">
        <v>41153</v>
      </c>
      <c r="E250" s="5">
        <f t="shared" si="6"/>
        <v>-1.2218240956007875E-3</v>
      </c>
      <c r="G250" s="4">
        <v>41153</v>
      </c>
      <c r="H250" s="6">
        <f t="shared" si="7"/>
        <v>1.4882732776800189E-2</v>
      </c>
    </row>
    <row r="251" spans="1:8" x14ac:dyDescent="0.45">
      <c r="A251" s="4">
        <v>41183</v>
      </c>
      <c r="B251" s="2">
        <v>111.79260869565221</v>
      </c>
      <c r="D251" s="4">
        <v>41183</v>
      </c>
      <c r="E251" s="5">
        <f t="shared" si="6"/>
        <v>-1.6403309786659825E-2</v>
      </c>
      <c r="G251" s="4">
        <v>41183</v>
      </c>
      <c r="H251" s="6">
        <f t="shared" si="7"/>
        <v>1.2267922787836838E-2</v>
      </c>
    </row>
    <row r="252" spans="1:8" x14ac:dyDescent="0.45">
      <c r="A252" s="4">
        <v>41214</v>
      </c>
      <c r="B252" s="2">
        <v>109.91181818181821</v>
      </c>
      <c r="D252" s="4">
        <v>41214</v>
      </c>
      <c r="E252" s="5">
        <f t="shared" si="6"/>
        <v>-1.6967055285483035E-2</v>
      </c>
      <c r="G252" s="4">
        <v>41214</v>
      </c>
      <c r="H252" s="6">
        <f t="shared" si="7"/>
        <v>-1.1279946065067215E-2</v>
      </c>
    </row>
    <row r="253" spans="1:8" x14ac:dyDescent="0.45">
      <c r="A253" s="4">
        <v>41244</v>
      </c>
      <c r="B253" s="2">
        <v>109.56904761904759</v>
      </c>
      <c r="D253" s="4">
        <v>41244</v>
      </c>
      <c r="E253" s="5">
        <f t="shared" si="6"/>
        <v>-3.1234690112409425E-3</v>
      </c>
      <c r="G253" s="4">
        <v>41244</v>
      </c>
      <c r="H253" s="6">
        <f t="shared" si="7"/>
        <v>1.1209170424663739E-2</v>
      </c>
    </row>
    <row r="254" spans="1:8" x14ac:dyDescent="0.45">
      <c r="A254" s="4">
        <v>41275</v>
      </c>
      <c r="B254" s="2">
        <v>112.52782608695649</v>
      </c>
      <c r="D254" s="4">
        <v>41275</v>
      </c>
      <c r="E254" s="5">
        <f t="shared" si="6"/>
        <v>2.6645611662305058E-2</v>
      </c>
      <c r="G254" s="4">
        <v>41275</v>
      </c>
      <c r="H254" s="6">
        <f t="shared" si="7"/>
        <v>9.938565716476333E-3</v>
      </c>
    </row>
    <row r="255" spans="1:8" x14ac:dyDescent="0.45">
      <c r="A255" s="4">
        <v>41306</v>
      </c>
      <c r="B255" s="2">
        <v>116.488</v>
      </c>
      <c r="D255" s="4">
        <v>41306</v>
      </c>
      <c r="E255" s="5">
        <f t="shared" si="6"/>
        <v>3.4587729353194874E-2</v>
      </c>
      <c r="G255" s="4">
        <v>41306</v>
      </c>
      <c r="H255" s="6">
        <f t="shared" si="7"/>
        <v>-2.272681801742138E-2</v>
      </c>
    </row>
    <row r="256" spans="1:8" x14ac:dyDescent="0.45">
      <c r="A256" s="4">
        <v>41334</v>
      </c>
      <c r="B256" s="2">
        <v>109.5857142857143</v>
      </c>
      <c r="D256" s="4">
        <v>41334</v>
      </c>
      <c r="E256" s="5">
        <f t="shared" si="6"/>
        <v>-6.1081241498665229E-2</v>
      </c>
      <c r="G256" s="4">
        <v>41334</v>
      </c>
      <c r="H256" s="6">
        <f t="shared" si="7"/>
        <v>-0.12922934623386517</v>
      </c>
    </row>
    <row r="257" spans="1:8" x14ac:dyDescent="0.45">
      <c r="A257" s="4">
        <v>41365</v>
      </c>
      <c r="B257" s="2">
        <v>102.96</v>
      </c>
      <c r="D257" s="4">
        <v>41365</v>
      </c>
      <c r="E257" s="5">
        <f t="shared" si="6"/>
        <v>-6.2366458622066467E-2</v>
      </c>
      <c r="G257" s="4">
        <v>41365</v>
      </c>
      <c r="H257" s="6">
        <f t="shared" si="7"/>
        <v>-0.15706019599088972</v>
      </c>
    </row>
    <row r="258" spans="1:8" x14ac:dyDescent="0.45">
      <c r="A258" s="4">
        <v>41395</v>
      </c>
      <c r="B258" s="2">
        <v>102.9804347826087</v>
      </c>
      <c r="D258" s="4">
        <v>41395</v>
      </c>
      <c r="E258" s="5">
        <f t="shared" si="6"/>
        <v>1.9845333139478782E-4</v>
      </c>
      <c r="G258" s="4">
        <v>41395</v>
      </c>
      <c r="H258" s="6">
        <f t="shared" si="7"/>
        <v>-7.3387863240451878E-2</v>
      </c>
    </row>
    <row r="259" spans="1:8" x14ac:dyDescent="0.45">
      <c r="A259" s="4">
        <v>41426</v>
      </c>
      <c r="B259" s="2">
        <v>103.35850000000001</v>
      </c>
      <c r="D259" s="4">
        <v>41426</v>
      </c>
      <c r="E259" s="5">
        <f t="shared" si="6"/>
        <v>3.6645109258186537E-3</v>
      </c>
      <c r="G259" s="4">
        <v>41426</v>
      </c>
      <c r="H259" s="6">
        <f t="shared" si="7"/>
        <v>7.5011758444172294E-2</v>
      </c>
    </row>
    <row r="260" spans="1:8" x14ac:dyDescent="0.45">
      <c r="A260" s="4">
        <v>41456</v>
      </c>
      <c r="B260" s="2">
        <v>107.77956521739129</v>
      </c>
      <c r="D260" s="4">
        <v>41456</v>
      </c>
      <c r="E260" s="5">
        <f t="shared" ref="E260:E323" si="8">LN(B260)-LN(B259)</f>
        <v>4.1884550969862211E-2</v>
      </c>
      <c r="G260" s="4">
        <v>41456</v>
      </c>
      <c r="H260" s="6">
        <f t="shared" si="7"/>
        <v>4.5557697826430044E-2</v>
      </c>
    </row>
    <row r="261" spans="1:8" x14ac:dyDescent="0.45">
      <c r="A261" s="4">
        <v>41487</v>
      </c>
      <c r="B261" s="2">
        <v>111.05818181818179</v>
      </c>
      <c r="D261" s="4">
        <v>41487</v>
      </c>
      <c r="E261" s="5">
        <f t="shared" si="8"/>
        <v>2.9966145997404325E-2</v>
      </c>
      <c r="G261" s="4">
        <v>41487</v>
      </c>
      <c r="H261" s="6">
        <f t="shared" si="7"/>
        <v>-2.4216356059736377E-2</v>
      </c>
    </row>
    <row r="262" spans="1:8" x14ac:dyDescent="0.45">
      <c r="A262" s="4">
        <v>41518</v>
      </c>
      <c r="B262" s="2">
        <v>111.9628571428571</v>
      </c>
      <c r="D262" s="4">
        <v>41518</v>
      </c>
      <c r="E262" s="5">
        <f t="shared" si="8"/>
        <v>8.1129591274127222E-3</v>
      </c>
      <c r="G262" s="4">
        <v>41518</v>
      </c>
      <c r="H262" s="6">
        <f t="shared" si="7"/>
        <v>-1.4881572836722867E-2</v>
      </c>
    </row>
    <row r="263" spans="1:8" x14ac:dyDescent="0.45">
      <c r="A263" s="4">
        <v>41548</v>
      </c>
      <c r="B263" s="2">
        <v>109.6186956521739</v>
      </c>
      <c r="D263" s="4">
        <v>41548</v>
      </c>
      <c r="E263" s="5">
        <f t="shared" si="8"/>
        <v>-2.1159242905083531E-2</v>
      </c>
      <c r="G263" s="4">
        <v>41548</v>
      </c>
      <c r="H263" s="6">
        <f t="shared" si="7"/>
        <v>-1.9637505955146572E-2</v>
      </c>
    </row>
    <row r="264" spans="1:8" x14ac:dyDescent="0.45">
      <c r="A264" s="4">
        <v>41579</v>
      </c>
      <c r="B264" s="2">
        <v>108.1504761904762</v>
      </c>
      <c r="D264" s="4">
        <v>41579</v>
      </c>
      <c r="E264" s="5">
        <f t="shared" si="8"/>
        <v>-1.3484385289585177E-2</v>
      </c>
      <c r="G264" s="4">
        <v>41579</v>
      </c>
      <c r="H264" s="6">
        <f t="shared" si="7"/>
        <v>-1.6154835959248715E-2</v>
      </c>
    </row>
    <row r="265" spans="1:8" x14ac:dyDescent="0.45">
      <c r="A265" s="4">
        <v>41609</v>
      </c>
      <c r="B265" s="2">
        <v>111.0704545454545</v>
      </c>
      <c r="D265" s="4">
        <v>41609</v>
      </c>
      <c r="E265" s="5">
        <f t="shared" si="8"/>
        <v>2.6641170148846705E-2</v>
      </c>
      <c r="G265" s="4">
        <v>41609</v>
      </c>
      <c r="H265" s="6">
        <f t="shared" si="7"/>
        <v>1.3609803200838932E-2</v>
      </c>
    </row>
    <row r="266" spans="1:8" x14ac:dyDescent="0.45">
      <c r="A266" s="4">
        <v>41640</v>
      </c>
      <c r="B266" s="2">
        <v>107.9269565217391</v>
      </c>
      <c r="D266" s="4">
        <v>41640</v>
      </c>
      <c r="E266" s="5">
        <f t="shared" si="8"/>
        <v>-2.8710055785434285E-2</v>
      </c>
      <c r="G266" s="4">
        <v>41640</v>
      </c>
      <c r="H266" s="6">
        <f t="shared" si="7"/>
        <v>-4.174586424690041E-2</v>
      </c>
    </row>
    <row r="267" spans="1:8" x14ac:dyDescent="0.45">
      <c r="A267" s="4">
        <v>41671</v>
      </c>
      <c r="B267" s="2">
        <v>108.83799999999999</v>
      </c>
      <c r="D267" s="4">
        <v>41671</v>
      </c>
      <c r="E267" s="5">
        <f t="shared" si="8"/>
        <v>8.405868340497058E-3</v>
      </c>
      <c r="G267" s="4">
        <v>41671</v>
      </c>
      <c r="H267" s="6">
        <f t="shared" si="7"/>
        <v>-6.7927725259598226E-2</v>
      </c>
    </row>
    <row r="268" spans="1:8" x14ac:dyDescent="0.45">
      <c r="A268" s="4">
        <v>41699</v>
      </c>
      <c r="B268" s="2">
        <v>107.86809523809519</v>
      </c>
      <c r="D268" s="4">
        <v>41699</v>
      </c>
      <c r="E268" s="5">
        <f t="shared" si="8"/>
        <v>-8.9513978568014352E-3</v>
      </c>
      <c r="G268" s="4">
        <v>41699</v>
      </c>
      <c r="H268" s="6">
        <f t="shared" si="7"/>
        <v>-1.5797881617734433E-2</v>
      </c>
    </row>
    <row r="269" spans="1:8" x14ac:dyDescent="0.45">
      <c r="A269" s="4">
        <v>41730</v>
      </c>
      <c r="B269" s="2">
        <v>108.0036363636364</v>
      </c>
      <c r="D269" s="4">
        <v>41730</v>
      </c>
      <c r="E269" s="5">
        <f t="shared" si="8"/>
        <v>1.2557562988639859E-3</v>
      </c>
      <c r="G269" s="4">
        <v>41730</v>
      </c>
      <c r="H269" s="6">
        <f t="shared" si="7"/>
        <v>4.782433330319602E-2</v>
      </c>
    </row>
    <row r="270" spans="1:8" x14ac:dyDescent="0.45">
      <c r="A270" s="4">
        <v>41760</v>
      </c>
      <c r="B270" s="2">
        <v>109.8322727272727</v>
      </c>
      <c r="D270" s="4">
        <v>41760</v>
      </c>
      <c r="E270" s="5">
        <f t="shared" si="8"/>
        <v>1.6789512132414863E-2</v>
      </c>
      <c r="G270" s="4">
        <v>41760</v>
      </c>
      <c r="H270" s="6">
        <f t="shared" si="7"/>
        <v>6.4415392104216096E-2</v>
      </c>
    </row>
    <row r="271" spans="1:8" x14ac:dyDescent="0.45">
      <c r="A271" s="4">
        <v>41791</v>
      </c>
      <c r="B271" s="2">
        <v>112.24095238095239</v>
      </c>
      <c r="D271" s="4">
        <v>41791</v>
      </c>
      <c r="E271" s="5">
        <f t="shared" si="8"/>
        <v>2.1693512253473379E-2</v>
      </c>
      <c r="G271" s="4">
        <v>41791</v>
      </c>
      <c r="H271" s="6">
        <f t="shared" ref="H271:H334" si="9">LN(B271)-LN(B259)</f>
        <v>8.2444393431870822E-2</v>
      </c>
    </row>
    <row r="272" spans="1:8" x14ac:dyDescent="0.45">
      <c r="A272" s="4">
        <v>41821</v>
      </c>
      <c r="B272" s="2">
        <v>107.46260869565219</v>
      </c>
      <c r="D272" s="4">
        <v>41821</v>
      </c>
      <c r="E272" s="5">
        <f t="shared" si="8"/>
        <v>-4.3504960001718551E-2</v>
      </c>
      <c r="G272" s="4">
        <v>41821</v>
      </c>
      <c r="H272" s="6">
        <f t="shared" si="9"/>
        <v>-2.9451175397099405E-3</v>
      </c>
    </row>
    <row r="273" spans="1:8" x14ac:dyDescent="0.45">
      <c r="A273" s="4">
        <v>41852</v>
      </c>
      <c r="B273" s="2">
        <v>102.4019047619048</v>
      </c>
      <c r="D273" s="4">
        <v>41852</v>
      </c>
      <c r="E273" s="5">
        <f t="shared" si="8"/>
        <v>-4.8237647352353363E-2</v>
      </c>
      <c r="G273" s="4">
        <v>41852</v>
      </c>
      <c r="H273" s="6">
        <f t="shared" si="9"/>
        <v>-8.1148910889467629E-2</v>
      </c>
    </row>
    <row r="274" spans="1:8" x14ac:dyDescent="0.45">
      <c r="A274" s="4">
        <v>41883</v>
      </c>
      <c r="B274" s="2">
        <v>97.852727272727279</v>
      </c>
      <c r="D274" s="4">
        <v>41883</v>
      </c>
      <c r="E274" s="5">
        <f t="shared" si="8"/>
        <v>-4.5441748194485321E-2</v>
      </c>
      <c r="G274" s="4">
        <v>41883</v>
      </c>
      <c r="H274" s="6">
        <f t="shared" si="9"/>
        <v>-0.13470361821136567</v>
      </c>
    </row>
    <row r="275" spans="1:8" x14ac:dyDescent="0.45">
      <c r="A275" s="4">
        <v>41913</v>
      </c>
      <c r="B275" s="2">
        <v>87.584782608695647</v>
      </c>
      <c r="D275" s="4">
        <v>41913</v>
      </c>
      <c r="E275" s="5">
        <f t="shared" si="8"/>
        <v>-0.1108562970887732</v>
      </c>
      <c r="G275" s="4">
        <v>41913</v>
      </c>
      <c r="H275" s="6">
        <f t="shared" si="9"/>
        <v>-0.22440067239505535</v>
      </c>
    </row>
    <row r="276" spans="1:8" x14ac:dyDescent="0.45">
      <c r="A276" s="4">
        <v>41944</v>
      </c>
      <c r="B276" s="2">
        <v>79.229500000000002</v>
      </c>
      <c r="D276" s="4">
        <v>41944</v>
      </c>
      <c r="E276" s="5">
        <f t="shared" si="8"/>
        <v>-0.10025856412326828</v>
      </c>
      <c r="G276" s="4">
        <v>41944</v>
      </c>
      <c r="H276" s="6">
        <f t="shared" si="9"/>
        <v>-0.31117485122873845</v>
      </c>
    </row>
    <row r="277" spans="1:8" x14ac:dyDescent="0.45">
      <c r="A277" s="4">
        <v>41974</v>
      </c>
      <c r="B277" s="2">
        <v>62.903913043478262</v>
      </c>
      <c r="D277" s="4">
        <v>41974</v>
      </c>
      <c r="E277" s="5">
        <f t="shared" si="8"/>
        <v>-0.23074033189681398</v>
      </c>
      <c r="G277" s="4">
        <v>41974</v>
      </c>
      <c r="H277" s="6">
        <f t="shared" si="9"/>
        <v>-0.56855635327439913</v>
      </c>
    </row>
    <row r="278" spans="1:8" x14ac:dyDescent="0.45">
      <c r="A278" s="4">
        <v>42005</v>
      </c>
      <c r="B278" s="2">
        <v>48.933181818181822</v>
      </c>
      <c r="D278" s="4">
        <v>42005</v>
      </c>
      <c r="E278" s="5">
        <f t="shared" si="8"/>
        <v>-0.25115264117071323</v>
      </c>
      <c r="G278" s="4">
        <v>42005</v>
      </c>
      <c r="H278" s="6">
        <f t="shared" si="9"/>
        <v>-0.79099893865967807</v>
      </c>
    </row>
    <row r="279" spans="1:8" x14ac:dyDescent="0.45">
      <c r="A279" s="4">
        <v>42036</v>
      </c>
      <c r="B279" s="2">
        <v>58.253999999999998</v>
      </c>
      <c r="D279" s="4">
        <v>42036</v>
      </c>
      <c r="E279" s="5">
        <f t="shared" si="8"/>
        <v>0.17435702846723267</v>
      </c>
      <c r="G279" s="4">
        <v>42036</v>
      </c>
      <c r="H279" s="6">
        <f t="shared" si="9"/>
        <v>-0.62504777853294247</v>
      </c>
    </row>
    <row r="280" spans="1:8" x14ac:dyDescent="0.45">
      <c r="A280" s="4">
        <v>42064</v>
      </c>
      <c r="B280" s="2">
        <v>56.524545454545454</v>
      </c>
      <c r="D280" s="4">
        <v>42064</v>
      </c>
      <c r="E280" s="5">
        <f t="shared" si="8"/>
        <v>-3.013778297847125E-2</v>
      </c>
      <c r="G280" s="4">
        <v>42064</v>
      </c>
      <c r="H280" s="6">
        <f t="shared" si="9"/>
        <v>-0.64623416365461228</v>
      </c>
    </row>
    <row r="281" spans="1:8" x14ac:dyDescent="0.45">
      <c r="A281" s="4">
        <v>42095</v>
      </c>
      <c r="B281" s="2">
        <v>59.826363636363638</v>
      </c>
      <c r="D281" s="4">
        <v>42095</v>
      </c>
      <c r="E281" s="5">
        <f t="shared" si="8"/>
        <v>5.6771450651583955E-2</v>
      </c>
      <c r="G281" s="4">
        <v>42095</v>
      </c>
      <c r="H281" s="6">
        <f t="shared" si="9"/>
        <v>-0.59071846930189231</v>
      </c>
    </row>
    <row r="282" spans="1:8" x14ac:dyDescent="0.45">
      <c r="A282" s="4">
        <v>42125</v>
      </c>
      <c r="B282" s="2">
        <v>65.19380952380952</v>
      </c>
      <c r="D282" s="4">
        <v>42125</v>
      </c>
      <c r="E282" s="5">
        <f t="shared" si="8"/>
        <v>8.5918091181937939E-2</v>
      </c>
      <c r="G282" s="4">
        <v>42125</v>
      </c>
      <c r="H282" s="6">
        <f t="shared" si="9"/>
        <v>-0.52158989025236924</v>
      </c>
    </row>
    <row r="283" spans="1:8" x14ac:dyDescent="0.45">
      <c r="A283" s="4">
        <v>42156</v>
      </c>
      <c r="B283" s="2">
        <v>62.62</v>
      </c>
      <c r="D283" s="4">
        <v>42156</v>
      </c>
      <c r="E283" s="5">
        <f t="shared" si="8"/>
        <v>-4.0279802572853463E-2</v>
      </c>
      <c r="G283" s="4">
        <v>42156</v>
      </c>
      <c r="H283" s="6">
        <f t="shared" si="9"/>
        <v>-0.58356320507869608</v>
      </c>
    </row>
    <row r="284" spans="1:8" x14ac:dyDescent="0.45">
      <c r="A284" s="4">
        <v>42186</v>
      </c>
      <c r="B284" s="2">
        <v>56.829565217391298</v>
      </c>
      <c r="D284" s="4">
        <v>42186</v>
      </c>
      <c r="E284" s="5">
        <f t="shared" si="8"/>
        <v>-9.7028011201087061E-2</v>
      </c>
      <c r="G284" s="4">
        <v>42186</v>
      </c>
      <c r="H284" s="6">
        <f t="shared" si="9"/>
        <v>-0.63708625627806459</v>
      </c>
    </row>
    <row r="285" spans="1:8" x14ac:dyDescent="0.45">
      <c r="A285" s="4">
        <v>42217</v>
      </c>
      <c r="B285" s="2">
        <v>47.533809523809524</v>
      </c>
      <c r="D285" s="4">
        <v>42217</v>
      </c>
      <c r="E285" s="5">
        <f t="shared" si="8"/>
        <v>-0.1786154674028082</v>
      </c>
      <c r="G285" s="4">
        <v>42217</v>
      </c>
      <c r="H285" s="6">
        <f t="shared" si="9"/>
        <v>-0.76746407632851943</v>
      </c>
    </row>
    <row r="286" spans="1:8" x14ac:dyDescent="0.45">
      <c r="A286" s="4">
        <v>42248</v>
      </c>
      <c r="B286" s="2">
        <v>48.030454545454553</v>
      </c>
      <c r="D286" s="4">
        <v>42248</v>
      </c>
      <c r="E286" s="5">
        <f t="shared" si="8"/>
        <v>1.0394042119693303E-2</v>
      </c>
      <c r="G286" s="4">
        <v>42248</v>
      </c>
      <c r="H286" s="6">
        <f t="shared" si="9"/>
        <v>-0.71162828601434081</v>
      </c>
    </row>
    <row r="287" spans="1:8" x14ac:dyDescent="0.45">
      <c r="A287" s="4">
        <v>42278</v>
      </c>
      <c r="B287" s="2">
        <v>48.906363636363643</v>
      </c>
      <c r="D287" s="4">
        <v>42278</v>
      </c>
      <c r="E287" s="5">
        <f t="shared" si="8"/>
        <v>1.8072244312809183E-2</v>
      </c>
      <c r="G287" s="4">
        <v>42278</v>
      </c>
      <c r="H287" s="6">
        <f t="shared" si="9"/>
        <v>-0.58269974461275842</v>
      </c>
    </row>
    <row r="288" spans="1:8" x14ac:dyDescent="0.45">
      <c r="A288" s="4">
        <v>42309</v>
      </c>
      <c r="B288" s="2">
        <v>45.095238095238102</v>
      </c>
      <c r="D288" s="4">
        <v>42309</v>
      </c>
      <c r="E288" s="5">
        <f t="shared" si="8"/>
        <v>-8.1130868264211564E-2</v>
      </c>
      <c r="G288" s="4">
        <v>42309</v>
      </c>
      <c r="H288" s="6">
        <f t="shared" si="9"/>
        <v>-0.5635720487537017</v>
      </c>
    </row>
    <row r="289" spans="1:8" x14ac:dyDescent="0.45">
      <c r="A289" s="4">
        <v>42339</v>
      </c>
      <c r="B289" s="2">
        <v>38.525217391304352</v>
      </c>
      <c r="D289" s="4">
        <v>42339</v>
      </c>
      <c r="E289" s="5">
        <f t="shared" si="8"/>
        <v>-0.15746363140920794</v>
      </c>
      <c r="G289" s="4">
        <v>42339</v>
      </c>
      <c r="H289" s="6">
        <f t="shared" si="9"/>
        <v>-0.49029534826609567</v>
      </c>
    </row>
    <row r="290" spans="1:8" x14ac:dyDescent="0.45">
      <c r="A290" s="4">
        <v>42370</v>
      </c>
      <c r="B290" s="2">
        <v>32.045238095238098</v>
      </c>
      <c r="D290" s="4">
        <v>42370</v>
      </c>
      <c r="E290" s="5">
        <f t="shared" si="8"/>
        <v>-0.18416442909714537</v>
      </c>
      <c r="G290" s="4">
        <v>42370</v>
      </c>
      <c r="H290" s="6">
        <f t="shared" si="9"/>
        <v>-0.4233071361925278</v>
      </c>
    </row>
    <row r="291" spans="1:8" x14ac:dyDescent="0.45">
      <c r="A291" s="4">
        <v>42401</v>
      </c>
      <c r="B291" s="2">
        <v>33.762380952380951</v>
      </c>
      <c r="D291" s="4">
        <v>42401</v>
      </c>
      <c r="E291" s="5">
        <f t="shared" si="8"/>
        <v>5.219859812529215E-2</v>
      </c>
      <c r="G291" s="4">
        <v>42401</v>
      </c>
      <c r="H291" s="6">
        <f t="shared" si="9"/>
        <v>-0.54546556653446832</v>
      </c>
    </row>
    <row r="292" spans="1:8" x14ac:dyDescent="0.45">
      <c r="A292" s="4">
        <v>42430</v>
      </c>
      <c r="B292" s="2">
        <v>39.792173913043477</v>
      </c>
      <c r="D292" s="4">
        <v>42430</v>
      </c>
      <c r="E292" s="5">
        <f t="shared" si="8"/>
        <v>0.16432306452286616</v>
      </c>
      <c r="G292" s="4">
        <v>42430</v>
      </c>
      <c r="H292" s="6">
        <f t="shared" si="9"/>
        <v>-0.35100471903313091</v>
      </c>
    </row>
    <row r="293" spans="1:8" x14ac:dyDescent="0.45">
      <c r="A293" s="4">
        <v>42461</v>
      </c>
      <c r="B293" s="2">
        <v>43.33047619047619</v>
      </c>
      <c r="D293" s="4">
        <v>42461</v>
      </c>
      <c r="E293" s="5">
        <f t="shared" si="8"/>
        <v>8.5185967943332219E-2</v>
      </c>
      <c r="G293" s="4">
        <v>42461</v>
      </c>
      <c r="H293" s="6">
        <f t="shared" si="9"/>
        <v>-0.32259020174138264</v>
      </c>
    </row>
    <row r="294" spans="1:8" x14ac:dyDescent="0.45">
      <c r="A294" s="4">
        <v>42491</v>
      </c>
      <c r="B294" s="2">
        <v>47.734999999999999</v>
      </c>
      <c r="D294" s="4">
        <v>42491</v>
      </c>
      <c r="E294" s="5">
        <f t="shared" si="8"/>
        <v>9.6808655902203888E-2</v>
      </c>
      <c r="G294" s="4">
        <v>42491</v>
      </c>
      <c r="H294" s="6">
        <f t="shared" si="9"/>
        <v>-0.31169963702111669</v>
      </c>
    </row>
    <row r="295" spans="1:8" x14ac:dyDescent="0.45">
      <c r="A295" s="4">
        <v>42522</v>
      </c>
      <c r="B295" s="2">
        <v>49.877272727272732</v>
      </c>
      <c r="D295" s="4">
        <v>42522</v>
      </c>
      <c r="E295" s="5">
        <f t="shared" si="8"/>
        <v>4.3900561188441323E-2</v>
      </c>
      <c r="G295" s="4">
        <v>42522</v>
      </c>
      <c r="H295" s="6">
        <f t="shared" si="9"/>
        <v>-0.22751927325982191</v>
      </c>
    </row>
    <row r="296" spans="1:8" x14ac:dyDescent="0.45">
      <c r="A296" s="4">
        <v>42552</v>
      </c>
      <c r="B296" s="2">
        <v>46.598571428571432</v>
      </c>
      <c r="D296" s="4">
        <v>42552</v>
      </c>
      <c r="E296" s="5">
        <f t="shared" si="8"/>
        <v>-6.7995558015983004E-2</v>
      </c>
      <c r="G296" s="4">
        <v>42552</v>
      </c>
      <c r="H296" s="6">
        <f t="shared" si="9"/>
        <v>-0.19848682007471785</v>
      </c>
    </row>
    <row r="297" spans="1:8" x14ac:dyDescent="0.45">
      <c r="A297" s="4">
        <v>42583</v>
      </c>
      <c r="B297" s="2">
        <v>47.052173913043482</v>
      </c>
      <c r="D297" s="4">
        <v>42583</v>
      </c>
      <c r="E297" s="5">
        <f t="shared" si="8"/>
        <v>9.6871846570305564E-3</v>
      </c>
      <c r="G297" s="4">
        <v>42583</v>
      </c>
      <c r="H297" s="6">
        <f t="shared" si="9"/>
        <v>-1.0184168014879091E-2</v>
      </c>
    </row>
    <row r="298" spans="1:8" x14ac:dyDescent="0.45">
      <c r="A298" s="4">
        <v>42614</v>
      </c>
      <c r="B298" s="2">
        <v>47.37681818181818</v>
      </c>
      <c r="D298" s="4">
        <v>42614</v>
      </c>
      <c r="E298" s="5">
        <f t="shared" si="8"/>
        <v>6.87597189470468E-3</v>
      </c>
      <c r="G298" s="4">
        <v>42614</v>
      </c>
      <c r="H298" s="6">
        <f t="shared" si="9"/>
        <v>-1.3702238239867714E-2</v>
      </c>
    </row>
    <row r="299" spans="1:8" x14ac:dyDescent="0.45">
      <c r="A299" s="4">
        <v>42644</v>
      </c>
      <c r="B299" s="2">
        <v>51.413809523809519</v>
      </c>
      <c r="D299" s="4">
        <v>42644</v>
      </c>
      <c r="E299" s="5">
        <f t="shared" si="8"/>
        <v>8.1773762980600129E-2</v>
      </c>
      <c r="G299" s="4">
        <v>42644</v>
      </c>
      <c r="H299" s="6">
        <f t="shared" si="9"/>
        <v>4.9999280427923232E-2</v>
      </c>
    </row>
    <row r="300" spans="1:8" x14ac:dyDescent="0.45">
      <c r="A300" s="4">
        <v>42675</v>
      </c>
      <c r="B300" s="2">
        <v>46.94227272727273</v>
      </c>
      <c r="D300" s="4">
        <v>42675</v>
      </c>
      <c r="E300" s="5">
        <f t="shared" si="8"/>
        <v>-9.0988197194750597E-2</v>
      </c>
      <c r="G300" s="4">
        <v>42675</v>
      </c>
      <c r="H300" s="6">
        <f t="shared" si="9"/>
        <v>4.0141951497384198E-2</v>
      </c>
    </row>
    <row r="301" spans="1:8" x14ac:dyDescent="0.45">
      <c r="A301" s="4">
        <v>42705</v>
      </c>
      <c r="B301" s="2">
        <v>55.022727272727273</v>
      </c>
      <c r="D301" s="4">
        <v>42705</v>
      </c>
      <c r="E301" s="5">
        <f t="shared" si="8"/>
        <v>0.15882771605975821</v>
      </c>
      <c r="G301" s="4">
        <v>42705</v>
      </c>
      <c r="H301" s="6">
        <f t="shared" si="9"/>
        <v>0.35643329896635034</v>
      </c>
    </row>
    <row r="302" spans="1:8" x14ac:dyDescent="0.45">
      <c r="A302" s="4">
        <v>42736</v>
      </c>
      <c r="B302" s="2">
        <v>55.710909090909091</v>
      </c>
      <c r="D302" s="4">
        <v>42736</v>
      </c>
      <c r="E302" s="5">
        <f t="shared" si="8"/>
        <v>1.2429659151353967E-2</v>
      </c>
      <c r="G302" s="4">
        <v>42736</v>
      </c>
      <c r="H302" s="6">
        <f t="shared" si="9"/>
        <v>0.55302738721484967</v>
      </c>
    </row>
    <row r="303" spans="1:8" x14ac:dyDescent="0.45">
      <c r="A303" s="4">
        <v>42767</v>
      </c>
      <c r="B303" s="2">
        <v>56.095999999999997</v>
      </c>
      <c r="D303" s="4">
        <v>42767</v>
      </c>
      <c r="E303" s="5">
        <f t="shared" si="8"/>
        <v>6.8885265676721374E-3</v>
      </c>
      <c r="G303" s="4">
        <v>42767</v>
      </c>
      <c r="H303" s="6">
        <f t="shared" si="9"/>
        <v>0.50771731565722966</v>
      </c>
    </row>
    <row r="304" spans="1:8" x14ac:dyDescent="0.45">
      <c r="A304" s="4">
        <v>42795</v>
      </c>
      <c r="B304" s="2">
        <v>52.655217391304348</v>
      </c>
      <c r="D304" s="4">
        <v>42795</v>
      </c>
      <c r="E304" s="5">
        <f t="shared" si="8"/>
        <v>-6.3299179317229282E-2</v>
      </c>
      <c r="G304" s="4">
        <v>42795</v>
      </c>
      <c r="H304" s="6">
        <f t="shared" si="9"/>
        <v>0.28009507181713422</v>
      </c>
    </row>
    <row r="305" spans="1:8" x14ac:dyDescent="0.45">
      <c r="A305" s="4">
        <v>42826</v>
      </c>
      <c r="B305" s="2">
        <v>53.978000000000002</v>
      </c>
      <c r="D305" s="4">
        <v>42826</v>
      </c>
      <c r="E305" s="5">
        <f t="shared" si="8"/>
        <v>2.4811226722327273E-2</v>
      </c>
      <c r="G305" s="4">
        <v>42826</v>
      </c>
      <c r="H305" s="6">
        <f t="shared" si="9"/>
        <v>0.21972033059612928</v>
      </c>
    </row>
    <row r="306" spans="1:8" x14ac:dyDescent="0.45">
      <c r="A306" s="4">
        <v>42856</v>
      </c>
      <c r="B306" s="2">
        <v>51.374347826086961</v>
      </c>
      <c r="D306" s="4">
        <v>42856</v>
      </c>
      <c r="E306" s="5">
        <f t="shared" si="8"/>
        <v>-4.9437577790833132E-2</v>
      </c>
      <c r="G306" s="4">
        <v>42856</v>
      </c>
      <c r="H306" s="6">
        <f t="shared" si="9"/>
        <v>7.3474096903092256E-2</v>
      </c>
    </row>
    <row r="307" spans="1:8" x14ac:dyDescent="0.45">
      <c r="A307" s="4">
        <v>42887</v>
      </c>
      <c r="B307" s="2">
        <v>47.652727272727269</v>
      </c>
      <c r="D307" s="4">
        <v>42887</v>
      </c>
      <c r="E307" s="5">
        <f t="shared" si="8"/>
        <v>-7.5199114366585551E-2</v>
      </c>
      <c r="G307" s="4">
        <v>42887</v>
      </c>
      <c r="H307" s="6">
        <f t="shared" si="9"/>
        <v>-4.5625578651934617E-2</v>
      </c>
    </row>
    <row r="308" spans="1:8" x14ac:dyDescent="0.45">
      <c r="A308" s="4">
        <v>42917</v>
      </c>
      <c r="B308" s="2">
        <v>49.25333333333333</v>
      </c>
      <c r="D308" s="4">
        <v>42917</v>
      </c>
      <c r="E308" s="5">
        <f t="shared" si="8"/>
        <v>3.3037183236371614E-2</v>
      </c>
      <c r="G308" s="4">
        <v>42917</v>
      </c>
      <c r="H308" s="6">
        <f t="shared" si="9"/>
        <v>5.5407162600420001E-2</v>
      </c>
    </row>
    <row r="309" spans="1:8" x14ac:dyDescent="0.45">
      <c r="A309" s="4">
        <v>42948</v>
      </c>
      <c r="B309" s="2">
        <v>51.927826086956522</v>
      </c>
      <c r="D309" s="4">
        <v>42948</v>
      </c>
      <c r="E309" s="5">
        <f t="shared" si="8"/>
        <v>5.2877747383837548E-2</v>
      </c>
      <c r="G309" s="4">
        <v>42948</v>
      </c>
      <c r="H309" s="6">
        <f t="shared" si="9"/>
        <v>9.8597725327226993E-2</v>
      </c>
    </row>
    <row r="310" spans="1:8" x14ac:dyDescent="0.45">
      <c r="A310" s="4">
        <v>42979</v>
      </c>
      <c r="B310" s="2">
        <v>55.557619047619049</v>
      </c>
      <c r="D310" s="4">
        <v>42979</v>
      </c>
      <c r="E310" s="5">
        <f t="shared" si="8"/>
        <v>6.7565868646624061E-2</v>
      </c>
      <c r="G310" s="4">
        <v>42979</v>
      </c>
      <c r="H310" s="6">
        <f t="shared" si="9"/>
        <v>0.15928762207914637</v>
      </c>
    </row>
    <row r="311" spans="1:8" x14ac:dyDescent="0.45">
      <c r="A311" s="4">
        <v>43009</v>
      </c>
      <c r="B311" s="2">
        <v>57.536363636363639</v>
      </c>
      <c r="D311" s="4">
        <v>43009</v>
      </c>
      <c r="E311" s="5">
        <f t="shared" si="8"/>
        <v>3.499649572955299E-2</v>
      </c>
      <c r="G311" s="4">
        <v>43009</v>
      </c>
      <c r="H311" s="6">
        <f t="shared" si="9"/>
        <v>0.11251035482809923</v>
      </c>
    </row>
    <row r="312" spans="1:8" x14ac:dyDescent="0.45">
      <c r="A312" s="4">
        <v>43040</v>
      </c>
      <c r="B312" s="2">
        <v>62.836363636363643</v>
      </c>
      <c r="D312" s="4">
        <v>43040</v>
      </c>
      <c r="E312" s="5">
        <f t="shared" si="8"/>
        <v>8.8116785708586498E-2</v>
      </c>
      <c r="G312" s="4">
        <v>43040</v>
      </c>
      <c r="H312" s="6">
        <f t="shared" si="9"/>
        <v>0.29161533773143633</v>
      </c>
    </row>
    <row r="313" spans="1:8" x14ac:dyDescent="0.45">
      <c r="A313" s="4">
        <v>43070</v>
      </c>
      <c r="B313" s="2">
        <v>64.064285714285717</v>
      </c>
      <c r="D313" s="4">
        <v>43070</v>
      </c>
      <c r="E313" s="5">
        <f t="shared" si="8"/>
        <v>1.9353098817223469E-2</v>
      </c>
      <c r="G313" s="4">
        <v>43070</v>
      </c>
      <c r="H313" s="6">
        <f t="shared" si="9"/>
        <v>0.15214072048890159</v>
      </c>
    </row>
    <row r="314" spans="1:8" x14ac:dyDescent="0.45">
      <c r="A314" s="4">
        <v>43101</v>
      </c>
      <c r="B314" s="2">
        <v>68.889130434782615</v>
      </c>
      <c r="D314" s="4">
        <v>43101</v>
      </c>
      <c r="E314" s="5">
        <f t="shared" si="8"/>
        <v>7.2611363499432535E-2</v>
      </c>
      <c r="G314" s="4">
        <v>43101</v>
      </c>
      <c r="H314" s="6">
        <f t="shared" si="9"/>
        <v>0.21232242483698016</v>
      </c>
    </row>
    <row r="315" spans="1:8" x14ac:dyDescent="0.45">
      <c r="A315" s="4">
        <v>43132</v>
      </c>
      <c r="B315" s="2">
        <v>65.6965</v>
      </c>
      <c r="D315" s="4">
        <v>43132</v>
      </c>
      <c r="E315" s="5">
        <f t="shared" si="8"/>
        <v>-4.7452755387126899E-2</v>
      </c>
      <c r="G315" s="4">
        <v>43132</v>
      </c>
      <c r="H315" s="6">
        <f t="shared" si="9"/>
        <v>0.15798114288218112</v>
      </c>
    </row>
    <row r="316" spans="1:8" x14ac:dyDescent="0.45">
      <c r="A316" s="4">
        <v>43160</v>
      </c>
      <c r="B316" s="2">
        <v>66.891818181818181</v>
      </c>
      <c r="D316" s="4">
        <v>43160</v>
      </c>
      <c r="E316" s="5">
        <f t="shared" si="8"/>
        <v>1.803100880857933E-2</v>
      </c>
      <c r="G316" s="4">
        <v>43160</v>
      </c>
      <c r="H316" s="6">
        <f t="shared" si="9"/>
        <v>0.23931133100798974</v>
      </c>
    </row>
    <row r="317" spans="1:8" x14ac:dyDescent="0.45">
      <c r="A317" s="4">
        <v>43191</v>
      </c>
      <c r="B317" s="2">
        <v>71.932857142857145</v>
      </c>
      <c r="D317" s="4">
        <v>43191</v>
      </c>
      <c r="E317" s="5">
        <f t="shared" si="8"/>
        <v>7.2656483818290596E-2</v>
      </c>
      <c r="G317" s="4">
        <v>43191</v>
      </c>
      <c r="H317" s="6">
        <f t="shared" si="9"/>
        <v>0.28715658810395306</v>
      </c>
    </row>
    <row r="318" spans="1:8" x14ac:dyDescent="0.45">
      <c r="A318" s="4">
        <v>43221</v>
      </c>
      <c r="B318" s="2">
        <v>76.934347826086963</v>
      </c>
      <c r="D318" s="4">
        <v>43221</v>
      </c>
      <c r="E318" s="5">
        <f t="shared" si="8"/>
        <v>6.7219288278594469E-2</v>
      </c>
      <c r="G318" s="4">
        <v>43221</v>
      </c>
      <c r="H318" s="6">
        <f t="shared" si="9"/>
        <v>0.40381345417338066</v>
      </c>
    </row>
    <row r="319" spans="1:8" x14ac:dyDescent="0.45">
      <c r="A319" s="4">
        <v>43252</v>
      </c>
      <c r="B319" s="2">
        <v>75.802857142857135</v>
      </c>
      <c r="D319" s="4">
        <v>43252</v>
      </c>
      <c r="E319" s="5">
        <f t="shared" si="8"/>
        <v>-1.4816447410978206E-2</v>
      </c>
      <c r="G319" s="4">
        <v>43252</v>
      </c>
      <c r="H319" s="6">
        <f t="shared" si="9"/>
        <v>0.464196121128988</v>
      </c>
    </row>
    <row r="320" spans="1:8" x14ac:dyDescent="0.45">
      <c r="A320" s="4">
        <v>43282</v>
      </c>
      <c r="B320" s="2">
        <v>75.229090909090914</v>
      </c>
      <c r="D320" s="4">
        <v>43282</v>
      </c>
      <c r="E320" s="5">
        <f t="shared" si="8"/>
        <v>-7.5979817704237007E-3</v>
      </c>
      <c r="G320" s="4">
        <v>43282</v>
      </c>
      <c r="H320" s="6">
        <f t="shared" si="9"/>
        <v>0.42356095612219269</v>
      </c>
    </row>
    <row r="321" spans="1:8" x14ac:dyDescent="0.45">
      <c r="A321" s="4">
        <v>43313</v>
      </c>
      <c r="B321" s="2">
        <v>73.851304347826087</v>
      </c>
      <c r="D321" s="4">
        <v>43313</v>
      </c>
      <c r="E321" s="5">
        <f t="shared" si="8"/>
        <v>-1.8484332400076298E-2</v>
      </c>
      <c r="G321" s="4">
        <v>43313</v>
      </c>
      <c r="H321" s="6">
        <f t="shared" si="9"/>
        <v>0.35219887633827884</v>
      </c>
    </row>
    <row r="322" spans="1:8" x14ac:dyDescent="0.45">
      <c r="A322" s="4">
        <v>43344</v>
      </c>
      <c r="B322" s="2">
        <v>79.162999999999997</v>
      </c>
      <c r="D322" s="4">
        <v>43344</v>
      </c>
      <c r="E322" s="5">
        <f t="shared" si="8"/>
        <v>6.945534699951228E-2</v>
      </c>
      <c r="G322" s="4">
        <v>43344</v>
      </c>
      <c r="H322" s="6">
        <f t="shared" si="9"/>
        <v>0.35408835469116706</v>
      </c>
    </row>
    <row r="323" spans="1:8" x14ac:dyDescent="0.45">
      <c r="A323" s="4">
        <v>43374</v>
      </c>
      <c r="B323" s="2">
        <v>80.783478260869572</v>
      </c>
      <c r="D323" s="4">
        <v>43374</v>
      </c>
      <c r="E323" s="5">
        <f t="shared" si="8"/>
        <v>2.0263449704844838E-2</v>
      </c>
      <c r="G323" s="4">
        <v>43374</v>
      </c>
      <c r="H323" s="6">
        <f t="shared" si="9"/>
        <v>0.33935530866645891</v>
      </c>
    </row>
    <row r="324" spans="1:8" x14ac:dyDescent="0.45">
      <c r="A324" s="4">
        <v>43405</v>
      </c>
      <c r="B324" s="2">
        <v>66.228636363636355</v>
      </c>
      <c r="D324" s="4">
        <v>43405</v>
      </c>
      <c r="E324" s="5">
        <f t="shared" ref="E324:E387" si="10">LN(B324)-LN(B323)</f>
        <v>-0.19865952477048943</v>
      </c>
      <c r="G324" s="4">
        <v>43405</v>
      </c>
      <c r="H324" s="6">
        <f t="shared" si="9"/>
        <v>5.2578998187382986E-2</v>
      </c>
    </row>
    <row r="325" spans="1:8" x14ac:dyDescent="0.45">
      <c r="A325" s="4">
        <v>43435</v>
      </c>
      <c r="B325" s="2">
        <v>57.948095238095242</v>
      </c>
      <c r="D325" s="4">
        <v>43435</v>
      </c>
      <c r="E325" s="5">
        <f t="shared" si="10"/>
        <v>-0.13356524269118797</v>
      </c>
      <c r="G325" s="4">
        <v>43435</v>
      </c>
      <c r="H325" s="6">
        <f t="shared" si="9"/>
        <v>-0.10033934332102845</v>
      </c>
    </row>
    <row r="326" spans="1:8" x14ac:dyDescent="0.45">
      <c r="A326" s="4">
        <v>43466</v>
      </c>
      <c r="B326" s="2">
        <v>59.944782608695647</v>
      </c>
      <c r="D326" s="4">
        <v>43466</v>
      </c>
      <c r="E326" s="5">
        <f t="shared" si="10"/>
        <v>3.387614845266107E-2</v>
      </c>
      <c r="G326" s="4">
        <v>43466</v>
      </c>
      <c r="H326" s="6">
        <f t="shared" si="9"/>
        <v>-0.13907455836779992</v>
      </c>
    </row>
    <row r="327" spans="1:8" x14ac:dyDescent="0.45">
      <c r="A327" s="4">
        <v>43497</v>
      </c>
      <c r="B327" s="2">
        <v>64.384</v>
      </c>
      <c r="D327" s="4">
        <v>43497</v>
      </c>
      <c r="E327" s="5">
        <f t="shared" si="10"/>
        <v>7.1441306396887505E-2</v>
      </c>
      <c r="G327" s="4">
        <v>43497</v>
      </c>
      <c r="H327" s="6">
        <f t="shared" si="9"/>
        <v>-2.0180496583785512E-2</v>
      </c>
    </row>
    <row r="328" spans="1:8" x14ac:dyDescent="0.45">
      <c r="A328" s="4">
        <v>43525</v>
      </c>
      <c r="B328" s="2">
        <v>66.941904761904766</v>
      </c>
      <c r="D328" s="4">
        <v>43525</v>
      </c>
      <c r="E328" s="5">
        <f t="shared" si="10"/>
        <v>3.8959995105170897E-2</v>
      </c>
      <c r="G328" s="4">
        <v>43525</v>
      </c>
      <c r="H328" s="6">
        <f t="shared" si="9"/>
        <v>7.4848971280605525E-4</v>
      </c>
    </row>
    <row r="329" spans="1:8" x14ac:dyDescent="0.45">
      <c r="A329" s="4">
        <v>43556</v>
      </c>
      <c r="B329" s="2">
        <v>71.475909090909084</v>
      </c>
      <c r="D329" s="4">
        <v>43556</v>
      </c>
      <c r="E329" s="5">
        <f t="shared" si="10"/>
        <v>6.5535306990472719E-2</v>
      </c>
      <c r="G329" s="4">
        <v>43556</v>
      </c>
      <c r="H329" s="6">
        <f t="shared" si="9"/>
        <v>-6.3726871150118214E-3</v>
      </c>
    </row>
    <row r="330" spans="1:8" x14ac:dyDescent="0.45">
      <c r="A330" s="4">
        <v>43586</v>
      </c>
      <c r="B330" s="2">
        <v>70.389130434782615</v>
      </c>
      <c r="D330" s="4">
        <v>43586</v>
      </c>
      <c r="E330" s="5">
        <f t="shared" si="10"/>
        <v>-1.53216031225476E-2</v>
      </c>
      <c r="G330" s="4">
        <v>43586</v>
      </c>
      <c r="H330" s="6">
        <f t="shared" si="9"/>
        <v>-8.8913578516153891E-2</v>
      </c>
    </row>
    <row r="331" spans="1:8" x14ac:dyDescent="0.45">
      <c r="A331" s="4">
        <v>43617</v>
      </c>
      <c r="B331" s="2">
        <v>63.208500000000001</v>
      </c>
      <c r="D331" s="4">
        <v>43617</v>
      </c>
      <c r="E331" s="5">
        <f t="shared" si="10"/>
        <v>-0.10760006823008084</v>
      </c>
      <c r="G331" s="4">
        <v>43617</v>
      </c>
      <c r="H331" s="6">
        <f t="shared" si="9"/>
        <v>-0.18169719933525652</v>
      </c>
    </row>
    <row r="332" spans="1:8" x14ac:dyDescent="0.45">
      <c r="A332" s="4">
        <v>43647</v>
      </c>
      <c r="B332" s="2">
        <v>64.322173913043486</v>
      </c>
      <c r="D332" s="4">
        <v>43647</v>
      </c>
      <c r="E332" s="5">
        <f t="shared" si="10"/>
        <v>1.7465636918631233E-2</v>
      </c>
      <c r="G332" s="4">
        <v>43647</v>
      </c>
      <c r="H332" s="6">
        <f t="shared" si="9"/>
        <v>-0.15663358064620159</v>
      </c>
    </row>
    <row r="333" spans="1:8" x14ac:dyDescent="0.45">
      <c r="A333" s="4">
        <v>43678</v>
      </c>
      <c r="B333" s="2">
        <v>59.618181818181817</v>
      </c>
      <c r="D333" s="4">
        <v>43678</v>
      </c>
      <c r="E333" s="5">
        <f t="shared" si="10"/>
        <v>-7.5943831086688007E-2</v>
      </c>
      <c r="G333" s="4">
        <v>43678</v>
      </c>
      <c r="H333" s="6">
        <f t="shared" si="9"/>
        <v>-0.2140930793328133</v>
      </c>
    </row>
    <row r="334" spans="1:8" x14ac:dyDescent="0.45">
      <c r="A334" s="4">
        <v>43709</v>
      </c>
      <c r="B334" s="2">
        <v>62.430952380952377</v>
      </c>
      <c r="D334" s="4">
        <v>43709</v>
      </c>
      <c r="E334" s="5">
        <f t="shared" si="10"/>
        <v>4.6100592526157058E-2</v>
      </c>
      <c r="G334" s="4">
        <v>43709</v>
      </c>
      <c r="H334" s="6">
        <f t="shared" si="9"/>
        <v>-0.23744783380616852</v>
      </c>
    </row>
    <row r="335" spans="1:8" x14ac:dyDescent="0.45">
      <c r="A335" s="4">
        <v>43739</v>
      </c>
      <c r="B335" s="2">
        <v>59.631304347826088</v>
      </c>
      <c r="D335" s="4">
        <v>43739</v>
      </c>
      <c r="E335" s="5">
        <f t="shared" si="10"/>
        <v>-4.5880507222326727E-2</v>
      </c>
      <c r="G335" s="4">
        <v>43739</v>
      </c>
      <c r="H335" s="6">
        <f t="shared" ref="H335:H398" si="11">LN(B335)-LN(B323)</f>
        <v>-0.30359179073334008</v>
      </c>
    </row>
    <row r="336" spans="1:8" x14ac:dyDescent="0.45">
      <c r="A336" s="4">
        <v>43770</v>
      </c>
      <c r="B336" s="2">
        <v>62.686666666666667</v>
      </c>
      <c r="D336" s="4">
        <v>43770</v>
      </c>
      <c r="E336" s="5">
        <f t="shared" si="10"/>
        <v>4.9968095264812717E-2</v>
      </c>
      <c r="G336" s="4">
        <v>43770</v>
      </c>
      <c r="H336" s="6">
        <f t="shared" si="11"/>
        <v>-5.496417069803794E-2</v>
      </c>
    </row>
    <row r="337" spans="1:8" x14ac:dyDescent="0.45">
      <c r="A337" s="4">
        <v>43800</v>
      </c>
      <c r="B337" s="2">
        <v>65.348181818181814</v>
      </c>
      <c r="D337" s="4">
        <v>43800</v>
      </c>
      <c r="E337" s="5">
        <f t="shared" si="10"/>
        <v>4.1580845286325996E-2</v>
      </c>
      <c r="G337" s="4">
        <v>43800</v>
      </c>
      <c r="H337" s="6">
        <f t="shared" si="11"/>
        <v>0.12018191727947602</v>
      </c>
    </row>
    <row r="338" spans="1:8" x14ac:dyDescent="0.45">
      <c r="A338" s="4">
        <v>43831</v>
      </c>
      <c r="B338" s="2">
        <v>63.898695652173913</v>
      </c>
      <c r="D338" s="4">
        <v>43831</v>
      </c>
      <c r="E338" s="5">
        <f t="shared" si="10"/>
        <v>-2.2430668621038485E-2</v>
      </c>
      <c r="G338" s="4">
        <v>43831</v>
      </c>
      <c r="H338" s="6">
        <f t="shared" si="11"/>
        <v>6.3875100205776469E-2</v>
      </c>
    </row>
    <row r="339" spans="1:8" x14ac:dyDescent="0.45">
      <c r="A339" s="4">
        <v>43862</v>
      </c>
      <c r="B339" s="2">
        <v>55.691000000000003</v>
      </c>
      <c r="D339" s="4">
        <v>43862</v>
      </c>
      <c r="E339" s="5">
        <f t="shared" si="10"/>
        <v>-0.13748039486058694</v>
      </c>
      <c r="G339" s="4">
        <v>43862</v>
      </c>
      <c r="H339" s="6">
        <f t="shared" si="11"/>
        <v>-0.14504660105169798</v>
      </c>
    </row>
    <row r="340" spans="1:8" x14ac:dyDescent="0.45">
      <c r="A340" s="4">
        <v>43891</v>
      </c>
      <c r="B340" s="2">
        <v>33.947272727272733</v>
      </c>
      <c r="D340" s="4">
        <v>43891</v>
      </c>
      <c r="E340" s="5">
        <f t="shared" si="10"/>
        <v>-0.49501003524670217</v>
      </c>
      <c r="G340" s="4">
        <v>43891</v>
      </c>
      <c r="H340" s="6">
        <f t="shared" si="11"/>
        <v>-0.67901663140357105</v>
      </c>
    </row>
    <row r="341" spans="1:8" x14ac:dyDescent="0.45">
      <c r="A341" s="4">
        <v>43922</v>
      </c>
      <c r="B341" s="2">
        <v>26.848636363636359</v>
      </c>
      <c r="D341" s="4">
        <v>43922</v>
      </c>
      <c r="E341" s="5">
        <f t="shared" si="10"/>
        <v>-0.23459348627528431</v>
      </c>
      <c r="G341" s="4">
        <v>43922</v>
      </c>
      <c r="H341" s="6">
        <f t="shared" si="11"/>
        <v>-0.97914542466932808</v>
      </c>
    </row>
    <row r="342" spans="1:8" x14ac:dyDescent="0.45">
      <c r="A342" s="4">
        <v>43952</v>
      </c>
      <c r="B342" s="2">
        <v>32.422380952380948</v>
      </c>
      <c r="D342" s="4">
        <v>43952</v>
      </c>
      <c r="E342" s="5">
        <f t="shared" si="10"/>
        <v>0.1886339219980866</v>
      </c>
      <c r="G342" s="4">
        <v>43952</v>
      </c>
      <c r="H342" s="6">
        <f t="shared" si="11"/>
        <v>-0.77518989954869388</v>
      </c>
    </row>
    <row r="343" spans="1:8" x14ac:dyDescent="0.45">
      <c r="A343" s="4">
        <v>43983</v>
      </c>
      <c r="B343" s="2">
        <v>40.860454545454552</v>
      </c>
      <c r="D343" s="4">
        <v>43983</v>
      </c>
      <c r="E343" s="5">
        <f t="shared" si="10"/>
        <v>0.23131375932644183</v>
      </c>
      <c r="G343" s="4">
        <v>43983</v>
      </c>
      <c r="H343" s="6">
        <f t="shared" si="11"/>
        <v>-0.43627607199217122</v>
      </c>
    </row>
    <row r="344" spans="1:8" x14ac:dyDescent="0.45">
      <c r="A344" s="4">
        <v>44013</v>
      </c>
      <c r="B344" s="2">
        <v>43.295652173913041</v>
      </c>
      <c r="D344" s="4">
        <v>44013</v>
      </c>
      <c r="E344" s="5">
        <f t="shared" si="10"/>
        <v>5.7889504490869381E-2</v>
      </c>
      <c r="G344" s="4">
        <v>44013</v>
      </c>
      <c r="H344" s="6">
        <f t="shared" si="11"/>
        <v>-0.39585220441993307</v>
      </c>
    </row>
    <row r="345" spans="1:8" x14ac:dyDescent="0.45">
      <c r="A345" s="4">
        <v>44044</v>
      </c>
      <c r="B345" s="2">
        <v>45.081428571428567</v>
      </c>
      <c r="D345" s="4">
        <v>44044</v>
      </c>
      <c r="E345" s="5">
        <f t="shared" si="10"/>
        <v>4.0418160085046395E-2</v>
      </c>
      <c r="G345" s="4">
        <v>44044</v>
      </c>
      <c r="H345" s="6">
        <f t="shared" si="11"/>
        <v>-0.27949021324819867</v>
      </c>
    </row>
    <row r="346" spans="1:8" x14ac:dyDescent="0.45">
      <c r="A346" s="4">
        <v>44075</v>
      </c>
      <c r="B346" s="2">
        <v>41.926818181818177</v>
      </c>
      <c r="D346" s="4">
        <v>44075</v>
      </c>
      <c r="E346" s="5">
        <f t="shared" si="10"/>
        <v>-7.2544704109820835E-2</v>
      </c>
      <c r="G346" s="4">
        <v>44075</v>
      </c>
      <c r="H346" s="6">
        <f t="shared" si="11"/>
        <v>-0.39813550988417656</v>
      </c>
    </row>
    <row r="347" spans="1:8" x14ac:dyDescent="0.45">
      <c r="A347" s="4">
        <v>44105</v>
      </c>
      <c r="B347" s="2">
        <v>41.606818181818177</v>
      </c>
      <c r="D347" s="4">
        <v>44105</v>
      </c>
      <c r="E347" s="5">
        <f t="shared" si="10"/>
        <v>-7.6616218154503812E-3</v>
      </c>
      <c r="G347" s="4">
        <v>44105</v>
      </c>
      <c r="H347" s="6">
        <f t="shared" si="11"/>
        <v>-0.35991662447730022</v>
      </c>
    </row>
    <row r="348" spans="1:8" x14ac:dyDescent="0.45">
      <c r="A348" s="4">
        <v>44136</v>
      </c>
      <c r="B348" s="2">
        <v>44.05</v>
      </c>
      <c r="D348" s="4">
        <v>44136</v>
      </c>
      <c r="E348" s="5">
        <f t="shared" si="10"/>
        <v>5.7061299943480748E-2</v>
      </c>
      <c r="G348" s="4">
        <v>44136</v>
      </c>
      <c r="H348" s="6">
        <f t="shared" si="11"/>
        <v>-0.35282341979863219</v>
      </c>
    </row>
    <row r="349" spans="1:8" x14ac:dyDescent="0.45">
      <c r="A349" s="4">
        <v>44166</v>
      </c>
      <c r="B349" s="2">
        <v>50.376956521739132</v>
      </c>
      <c r="D349" s="4">
        <v>44166</v>
      </c>
      <c r="E349" s="5">
        <f t="shared" si="10"/>
        <v>0.13420850627166203</v>
      </c>
      <c r="G349" s="4">
        <v>44166</v>
      </c>
      <c r="H349" s="6">
        <f t="shared" si="11"/>
        <v>-0.26019575881329615</v>
      </c>
    </row>
    <row r="350" spans="1:8" x14ac:dyDescent="0.45">
      <c r="A350" s="4">
        <v>44197</v>
      </c>
      <c r="B350" s="2">
        <v>55.224761904761898</v>
      </c>
      <c r="D350" s="4">
        <v>44197</v>
      </c>
      <c r="E350" s="5">
        <f t="shared" si="10"/>
        <v>9.1877579276117061E-2</v>
      </c>
      <c r="G350" s="4">
        <v>44197</v>
      </c>
      <c r="H350" s="6">
        <f t="shared" si="11"/>
        <v>-0.14588751091614061</v>
      </c>
    </row>
    <row r="351" spans="1:8" x14ac:dyDescent="0.45">
      <c r="A351" s="4">
        <v>44228</v>
      </c>
      <c r="B351" s="2">
        <v>62.362499999999997</v>
      </c>
      <c r="D351" s="4">
        <v>44228</v>
      </c>
      <c r="E351" s="5">
        <f t="shared" si="10"/>
        <v>0.12155269525718815</v>
      </c>
      <c r="G351" s="4">
        <v>44228</v>
      </c>
      <c r="H351" s="6">
        <f t="shared" si="11"/>
        <v>0.11314557920163448</v>
      </c>
    </row>
    <row r="352" spans="1:8" x14ac:dyDescent="0.45">
      <c r="A352" s="4">
        <v>44256</v>
      </c>
      <c r="B352" s="2">
        <v>65.796086956521734</v>
      </c>
      <c r="D352" s="4">
        <v>44256</v>
      </c>
      <c r="E352" s="5">
        <f t="shared" si="10"/>
        <v>5.3596234629909034E-2</v>
      </c>
      <c r="G352" s="4">
        <v>44256</v>
      </c>
      <c r="H352" s="6">
        <f t="shared" si="11"/>
        <v>0.66175184907824569</v>
      </c>
    </row>
    <row r="353" spans="1:8" x14ac:dyDescent="0.45">
      <c r="A353" s="4">
        <v>44287</v>
      </c>
      <c r="B353" s="2">
        <v>65.531818181818181</v>
      </c>
      <c r="D353" s="4">
        <v>44287</v>
      </c>
      <c r="E353" s="5">
        <f t="shared" si="10"/>
        <v>-4.0245693575222674E-3</v>
      </c>
      <c r="G353" s="4">
        <v>44287</v>
      </c>
      <c r="H353" s="6">
        <f t="shared" si="11"/>
        <v>0.89232076599600774</v>
      </c>
    </row>
    <row r="354" spans="1:8" x14ac:dyDescent="0.45">
      <c r="A354" s="4">
        <v>44317</v>
      </c>
      <c r="B354" s="2">
        <v>68.375238095238103</v>
      </c>
      <c r="D354" s="4">
        <v>44317</v>
      </c>
      <c r="E354" s="5">
        <f t="shared" si="10"/>
        <v>4.2474944473806175E-2</v>
      </c>
      <c r="G354" s="4">
        <v>44317</v>
      </c>
      <c r="H354" s="6">
        <f t="shared" si="11"/>
        <v>0.74616178847172732</v>
      </c>
    </row>
    <row r="355" spans="1:8" x14ac:dyDescent="0.45">
      <c r="A355" s="4">
        <v>44348</v>
      </c>
      <c r="B355" s="2">
        <v>73.512727272727275</v>
      </c>
      <c r="D355" s="4">
        <v>44348</v>
      </c>
      <c r="E355" s="5">
        <f t="shared" si="10"/>
        <v>7.244780846810972E-2</v>
      </c>
      <c r="G355" s="4">
        <v>44348</v>
      </c>
      <c r="H355" s="6">
        <f t="shared" si="11"/>
        <v>0.58729583761339521</v>
      </c>
    </row>
    <row r="356" spans="1:8" x14ac:dyDescent="0.45">
      <c r="A356" s="4">
        <v>44378</v>
      </c>
      <c r="B356" s="2">
        <v>74.403181818181821</v>
      </c>
      <c r="D356" s="4">
        <v>44378</v>
      </c>
      <c r="E356" s="5">
        <f t="shared" si="10"/>
        <v>1.2040155896544391E-2</v>
      </c>
      <c r="G356" s="4">
        <v>44378</v>
      </c>
      <c r="H356" s="6">
        <f t="shared" si="11"/>
        <v>0.54144648901907022</v>
      </c>
    </row>
    <row r="357" spans="1:8" x14ac:dyDescent="0.45">
      <c r="A357" s="4">
        <v>44409</v>
      </c>
      <c r="B357" s="2">
        <v>70.588181818181823</v>
      </c>
      <c r="D357" s="4">
        <v>44409</v>
      </c>
      <c r="E357" s="5">
        <f t="shared" si="10"/>
        <v>-5.26359731541719E-2</v>
      </c>
      <c r="G357" s="4">
        <v>44409</v>
      </c>
      <c r="H357" s="6">
        <f t="shared" si="11"/>
        <v>0.44839235577985193</v>
      </c>
    </row>
    <row r="358" spans="1:8" x14ac:dyDescent="0.45">
      <c r="A358" s="4">
        <v>44440</v>
      </c>
      <c r="B358" s="2">
        <v>74.749545454545455</v>
      </c>
      <c r="D358" s="4">
        <v>44440</v>
      </c>
      <c r="E358" s="5">
        <f t="shared" si="10"/>
        <v>5.7280397232830182E-2</v>
      </c>
      <c r="G358" s="4">
        <v>44440</v>
      </c>
      <c r="H358" s="6">
        <f t="shared" si="11"/>
        <v>0.57821745712250294</v>
      </c>
    </row>
    <row r="359" spans="1:8" x14ac:dyDescent="0.45">
      <c r="A359" s="4">
        <v>44470</v>
      </c>
      <c r="B359" s="2">
        <v>83.865238095238098</v>
      </c>
      <c r="D359" s="4">
        <v>44470</v>
      </c>
      <c r="E359" s="5">
        <f t="shared" si="10"/>
        <v>0.115068070795874</v>
      </c>
      <c r="G359" s="4">
        <v>44470</v>
      </c>
      <c r="H359" s="6">
        <f t="shared" si="11"/>
        <v>0.70094714973382732</v>
      </c>
    </row>
    <row r="360" spans="1:8" x14ac:dyDescent="0.45">
      <c r="A360" s="4">
        <v>44501</v>
      </c>
      <c r="B360" s="2">
        <v>80.890454545454546</v>
      </c>
      <c r="D360" s="4">
        <v>44501</v>
      </c>
      <c r="E360" s="5">
        <f t="shared" si="10"/>
        <v>-3.6115375855031218E-2</v>
      </c>
      <c r="G360" s="4">
        <v>44501</v>
      </c>
      <c r="H360" s="6">
        <f t="shared" si="11"/>
        <v>0.60777047393531536</v>
      </c>
    </row>
    <row r="361" spans="1:8" x14ac:dyDescent="0.45">
      <c r="A361" s="4">
        <v>44531</v>
      </c>
      <c r="B361" s="2">
        <v>74.678260869565221</v>
      </c>
      <c r="D361" s="4">
        <v>44531</v>
      </c>
      <c r="E361" s="5">
        <f t="shared" si="10"/>
        <v>-7.9906795682082254E-2</v>
      </c>
      <c r="G361" s="4">
        <v>44531</v>
      </c>
      <c r="H361" s="6">
        <f t="shared" si="11"/>
        <v>0.39365517198157107</v>
      </c>
    </row>
    <row r="362" spans="1:8" x14ac:dyDescent="0.45">
      <c r="A362" s="4">
        <v>44562</v>
      </c>
      <c r="B362" s="2">
        <v>85.622380952380951</v>
      </c>
      <c r="D362" s="4">
        <v>44562</v>
      </c>
      <c r="E362" s="5">
        <f t="shared" si="10"/>
        <v>0.13675767806171457</v>
      </c>
      <c r="G362" s="4">
        <v>44562</v>
      </c>
      <c r="H362" s="6">
        <f t="shared" si="11"/>
        <v>0.43853527076716858</v>
      </c>
    </row>
    <row r="363" spans="1:8" x14ac:dyDescent="0.45">
      <c r="A363" s="4">
        <v>44593</v>
      </c>
      <c r="B363" s="2">
        <v>94.266999999999996</v>
      </c>
      <c r="D363" s="4">
        <v>44593</v>
      </c>
      <c r="E363" s="5">
        <f t="shared" si="10"/>
        <v>9.6184472718812586E-2</v>
      </c>
      <c r="G363" s="4">
        <v>44593</v>
      </c>
      <c r="H363" s="6">
        <f t="shared" si="11"/>
        <v>0.41316704822879302</v>
      </c>
    </row>
    <row r="364" spans="1:8" x14ac:dyDescent="0.45">
      <c r="A364" s="4">
        <v>44621</v>
      </c>
      <c r="B364" s="2">
        <v>112.44</v>
      </c>
      <c r="D364" s="4">
        <v>44621</v>
      </c>
      <c r="E364" s="5">
        <f t="shared" si="10"/>
        <v>0.17628856462238218</v>
      </c>
      <c r="G364" s="4">
        <v>44621</v>
      </c>
      <c r="H364" s="6">
        <f t="shared" si="11"/>
        <v>0.53585937822126617</v>
      </c>
    </row>
    <row r="365" spans="1:8" x14ac:dyDescent="0.45">
      <c r="A365" s="4">
        <v>44652</v>
      </c>
      <c r="B365" s="2">
        <v>106.1557142857143</v>
      </c>
      <c r="D365" s="4">
        <v>44652</v>
      </c>
      <c r="E365" s="5">
        <f t="shared" si="10"/>
        <v>-5.7512727159781285E-2</v>
      </c>
      <c r="G365" s="4">
        <v>44652</v>
      </c>
      <c r="H365" s="6">
        <f t="shared" si="11"/>
        <v>0.48237122041900715</v>
      </c>
    </row>
    <row r="366" spans="1:8" x14ac:dyDescent="0.45">
      <c r="A366" s="4">
        <v>44682</v>
      </c>
      <c r="B366" s="2">
        <v>112.1136363636364</v>
      </c>
      <c r="D366" s="4">
        <v>44682</v>
      </c>
      <c r="E366" s="5">
        <f t="shared" si="10"/>
        <v>5.4605948436927676E-2</v>
      </c>
      <c r="G366" s="4">
        <v>44682</v>
      </c>
      <c r="H366" s="6">
        <f t="shared" si="11"/>
        <v>0.49450222438212865</v>
      </c>
    </row>
    <row r="367" spans="1:8" x14ac:dyDescent="0.45">
      <c r="A367" s="4">
        <v>44713</v>
      </c>
      <c r="B367" s="2">
        <v>117.6927272727273</v>
      </c>
      <c r="D367" s="4">
        <v>44713</v>
      </c>
      <c r="E367" s="5">
        <f t="shared" si="10"/>
        <v>4.8564254665500961E-2</v>
      </c>
      <c r="G367" s="4">
        <v>44713</v>
      </c>
      <c r="H367" s="6">
        <f t="shared" si="11"/>
        <v>0.47061867057951989</v>
      </c>
    </row>
    <row r="368" spans="1:8" x14ac:dyDescent="0.45">
      <c r="A368" s="4">
        <v>44743</v>
      </c>
      <c r="B368" s="2">
        <v>105.2528571428571</v>
      </c>
      <c r="D368" s="4">
        <v>44743</v>
      </c>
      <c r="E368" s="5">
        <f t="shared" si="10"/>
        <v>-0.11171160353651644</v>
      </c>
      <c r="G368" s="4">
        <v>44743</v>
      </c>
      <c r="H368" s="6">
        <f t="shared" si="11"/>
        <v>0.34686691114645907</v>
      </c>
    </row>
    <row r="369" spans="1:8" x14ac:dyDescent="0.45">
      <c r="A369" s="4">
        <v>44774</v>
      </c>
      <c r="B369" s="2">
        <v>97.643043478260878</v>
      </c>
      <c r="D369" s="4">
        <v>44774</v>
      </c>
      <c r="E369" s="5">
        <f t="shared" si="10"/>
        <v>-7.5047203001343377E-2</v>
      </c>
      <c r="G369" s="4">
        <v>44774</v>
      </c>
      <c r="H369" s="6">
        <f t="shared" si="11"/>
        <v>0.32445568129928759</v>
      </c>
    </row>
    <row r="370" spans="1:8" x14ac:dyDescent="0.45">
      <c r="A370" s="4">
        <v>44805</v>
      </c>
      <c r="B370" s="2">
        <v>90.608181818181819</v>
      </c>
      <c r="D370" s="4">
        <v>44805</v>
      </c>
      <c r="E370" s="5">
        <f t="shared" si="10"/>
        <v>-7.4773899427671431E-2</v>
      </c>
      <c r="G370" s="4">
        <v>44805</v>
      </c>
      <c r="H370" s="6">
        <f t="shared" si="11"/>
        <v>0.19240138463878598</v>
      </c>
    </row>
    <row r="371" spans="1:8" x14ac:dyDescent="0.45">
      <c r="A371" s="4">
        <v>44835</v>
      </c>
      <c r="B371" s="2">
        <v>93.718571428571437</v>
      </c>
      <c r="D371" s="4">
        <v>44835</v>
      </c>
      <c r="E371" s="5">
        <f t="shared" si="10"/>
        <v>3.3751854534982861E-2</v>
      </c>
      <c r="G371" s="4">
        <v>44835</v>
      </c>
      <c r="H371" s="6">
        <f t="shared" si="11"/>
        <v>0.11108516837789484</v>
      </c>
    </row>
    <row r="372" spans="1:8" x14ac:dyDescent="0.45">
      <c r="A372" s="4">
        <v>44866</v>
      </c>
      <c r="B372" s="2">
        <v>90.938636363636363</v>
      </c>
      <c r="D372" s="4">
        <v>44866</v>
      </c>
      <c r="E372" s="5">
        <f t="shared" si="10"/>
        <v>-3.0111417167723253E-2</v>
      </c>
      <c r="G372" s="4">
        <v>44866</v>
      </c>
      <c r="H372" s="6">
        <f t="shared" si="11"/>
        <v>0.1170891270652028</v>
      </c>
    </row>
    <row r="373" spans="1:8" x14ac:dyDescent="0.45">
      <c r="A373" s="4">
        <v>44896</v>
      </c>
      <c r="B373" s="2">
        <v>81.503181818181815</v>
      </c>
      <c r="D373" s="4">
        <v>44896</v>
      </c>
      <c r="E373" s="5">
        <f t="shared" si="10"/>
        <v>-0.10954289318407096</v>
      </c>
      <c r="G373" s="4">
        <v>44896</v>
      </c>
      <c r="H373" s="6">
        <f t="shared" si="11"/>
        <v>8.7453029563214102E-2</v>
      </c>
    </row>
    <row r="374" spans="1:8" x14ac:dyDescent="0.45">
      <c r="A374" s="4">
        <v>44927</v>
      </c>
      <c r="B374" s="2">
        <v>84.081818181818178</v>
      </c>
      <c r="D374" s="4">
        <v>44927</v>
      </c>
      <c r="E374" s="5">
        <f t="shared" si="10"/>
        <v>3.1148290563208114E-2</v>
      </c>
      <c r="G374" s="4">
        <v>44927</v>
      </c>
      <c r="H374" s="6">
        <f t="shared" si="11"/>
        <v>-1.8156357935292355E-2</v>
      </c>
    </row>
    <row r="375" spans="1:8" x14ac:dyDescent="0.45">
      <c r="A375" s="4">
        <v>44958</v>
      </c>
      <c r="B375" s="2">
        <v>83.632499999999993</v>
      </c>
      <c r="D375" s="4">
        <v>44958</v>
      </c>
      <c r="E375" s="5">
        <f t="shared" si="10"/>
        <v>-5.3581502363542199E-3</v>
      </c>
      <c r="G375" s="4">
        <v>44958</v>
      </c>
      <c r="H375" s="6">
        <f t="shared" si="11"/>
        <v>-0.11969898089045916</v>
      </c>
    </row>
    <row r="376" spans="1:8" x14ac:dyDescent="0.45">
      <c r="A376" s="4">
        <v>44986</v>
      </c>
      <c r="B376" s="2">
        <v>79.256521739130434</v>
      </c>
      <c r="D376" s="4">
        <v>44986</v>
      </c>
      <c r="E376" s="5">
        <f t="shared" si="10"/>
        <v>-5.3742497915763465E-2</v>
      </c>
      <c r="G376" s="4">
        <v>44986</v>
      </c>
      <c r="H376" s="6">
        <f t="shared" si="11"/>
        <v>-0.34973004342860481</v>
      </c>
    </row>
    <row r="377" spans="1:8" x14ac:dyDescent="0.45">
      <c r="A377" s="4">
        <v>45017</v>
      </c>
      <c r="B377" s="2">
        <v>83.536000000000001</v>
      </c>
      <c r="D377" s="4">
        <v>45017</v>
      </c>
      <c r="E377" s="5">
        <f t="shared" si="10"/>
        <v>5.2587974058470266E-2</v>
      </c>
      <c r="G377" s="4">
        <v>45017</v>
      </c>
      <c r="H377" s="6">
        <f t="shared" si="11"/>
        <v>-0.23962934221035326</v>
      </c>
    </row>
    <row r="378" spans="1:8" x14ac:dyDescent="0.45">
      <c r="A378" s="4">
        <v>45047</v>
      </c>
      <c r="B378" s="2">
        <v>75.747391304347829</v>
      </c>
      <c r="D378" s="4">
        <v>45047</v>
      </c>
      <c r="E378" s="5">
        <f t="shared" si="10"/>
        <v>-9.7873671098158255E-2</v>
      </c>
      <c r="G378" s="4">
        <v>45047</v>
      </c>
      <c r="H378" s="6">
        <f t="shared" si="11"/>
        <v>-0.39210896174543919</v>
      </c>
    </row>
    <row r="379" spans="1:8" x14ac:dyDescent="0.45">
      <c r="A379" s="4">
        <v>45078</v>
      </c>
      <c r="B379" s="2">
        <v>74.974999999999994</v>
      </c>
      <c r="D379" s="4">
        <v>45078</v>
      </c>
      <c r="E379" s="5">
        <f t="shared" si="10"/>
        <v>-1.024928093496591E-2</v>
      </c>
      <c r="G379" s="4">
        <v>45078</v>
      </c>
      <c r="H379" s="6">
        <f t="shared" si="11"/>
        <v>-0.45092249734590606</v>
      </c>
    </row>
    <row r="380" spans="1:8" x14ac:dyDescent="0.45">
      <c r="A380" s="4">
        <v>45108</v>
      </c>
      <c r="B380" s="2">
        <v>80.109047619047615</v>
      </c>
      <c r="D380" s="4">
        <v>45108</v>
      </c>
      <c r="E380" s="5">
        <f t="shared" si="10"/>
        <v>6.6234077105951528E-2</v>
      </c>
      <c r="G380" s="4">
        <v>45108</v>
      </c>
      <c r="H380" s="6">
        <f t="shared" si="11"/>
        <v>-0.2729768167034381</v>
      </c>
    </row>
    <row r="381" spans="1:8" x14ac:dyDescent="0.45">
      <c r="A381" s="4">
        <v>45139</v>
      </c>
      <c r="B381" s="2">
        <v>85.168260869565216</v>
      </c>
      <c r="D381" s="4">
        <v>45139</v>
      </c>
      <c r="E381" s="5">
        <f t="shared" si="10"/>
        <v>6.1240037684465953E-2</v>
      </c>
      <c r="G381" s="4">
        <v>45139</v>
      </c>
      <c r="H381" s="6">
        <f t="shared" si="11"/>
        <v>-0.13668957601762877</v>
      </c>
    </row>
    <row r="382" spans="1:8" x14ac:dyDescent="0.45">
      <c r="A382" s="4">
        <v>45170</v>
      </c>
      <c r="B382" s="2">
        <v>92.673333333333318</v>
      </c>
      <c r="D382" s="4">
        <v>45170</v>
      </c>
      <c r="E382" s="5">
        <f t="shared" si="10"/>
        <v>8.4451925455346633E-2</v>
      </c>
      <c r="G382" s="4">
        <v>45170</v>
      </c>
      <c r="H382" s="6">
        <f t="shared" si="11"/>
        <v>2.2536248865389297E-2</v>
      </c>
    </row>
    <row r="383" spans="1:8" x14ac:dyDescent="0.45">
      <c r="A383" s="4">
        <v>45200</v>
      </c>
      <c r="B383" s="2">
        <v>88.947727272727263</v>
      </c>
      <c r="D383" s="4">
        <v>45200</v>
      </c>
      <c r="E383" s="5">
        <f t="shared" si="10"/>
        <v>-4.1031901711185093E-2</v>
      </c>
      <c r="G383" s="4">
        <v>45200</v>
      </c>
      <c r="H383" s="6">
        <f t="shared" si="11"/>
        <v>-5.2247507380778657E-2</v>
      </c>
    </row>
    <row r="384" spans="1:8" x14ac:dyDescent="0.45">
      <c r="A384" s="4">
        <v>45231</v>
      </c>
      <c r="B384" s="2">
        <v>82.186363636363637</v>
      </c>
      <c r="D384" s="4">
        <v>45231</v>
      </c>
      <c r="E384" s="5">
        <f t="shared" si="10"/>
        <v>-7.9059467370859338E-2</v>
      </c>
      <c r="G384" s="4">
        <v>45231</v>
      </c>
      <c r="H384" s="6">
        <f t="shared" si="11"/>
        <v>-0.10119555758391474</v>
      </c>
    </row>
    <row r="385" spans="1:8" x14ac:dyDescent="0.45">
      <c r="A385" s="4">
        <v>45261</v>
      </c>
      <c r="B385" s="2">
        <v>77.540952380952376</v>
      </c>
      <c r="D385" s="4">
        <v>45261</v>
      </c>
      <c r="E385" s="5">
        <f t="shared" si="10"/>
        <v>-5.8183181184283228E-2</v>
      </c>
      <c r="G385" s="4">
        <v>45261</v>
      </c>
      <c r="H385" s="6">
        <f t="shared" si="11"/>
        <v>-4.9835845584127014E-2</v>
      </c>
    </row>
    <row r="386" spans="1:8" x14ac:dyDescent="0.45">
      <c r="A386" s="4">
        <v>45292</v>
      </c>
      <c r="B386" s="2">
        <v>79.11</v>
      </c>
      <c r="D386" s="4">
        <v>45292</v>
      </c>
      <c r="E386" s="5">
        <f t="shared" si="10"/>
        <v>2.0033074418796204E-2</v>
      </c>
      <c r="G386" s="4">
        <v>45292</v>
      </c>
      <c r="H386" s="6">
        <f t="shared" si="11"/>
        <v>-6.0951061728538924E-2</v>
      </c>
    </row>
    <row r="387" spans="1:8" x14ac:dyDescent="0.45">
      <c r="A387" s="4">
        <v>45323</v>
      </c>
      <c r="B387" s="2">
        <v>81.795714285714297</v>
      </c>
      <c r="D387" s="4">
        <v>45323</v>
      </c>
      <c r="E387" s="5">
        <f t="shared" si="10"/>
        <v>3.3385560607676723E-2</v>
      </c>
      <c r="G387" s="4">
        <v>45323</v>
      </c>
      <c r="H387" s="6">
        <f t="shared" si="11"/>
        <v>-2.2207350884507981E-2</v>
      </c>
    </row>
    <row r="388" spans="1:8" x14ac:dyDescent="0.45">
      <c r="A388" s="4">
        <v>45352</v>
      </c>
      <c r="B388" s="2">
        <v>84.96142857142857</v>
      </c>
      <c r="D388" s="4">
        <v>45352</v>
      </c>
      <c r="E388" s="5">
        <f t="shared" ref="E388:E411" si="12">LN(B388)-LN(B387)</f>
        <v>3.7972522346740867E-2</v>
      </c>
      <c r="G388" s="4">
        <v>45352</v>
      </c>
      <c r="H388" s="6">
        <f t="shared" si="11"/>
        <v>6.9507669377996351E-2</v>
      </c>
    </row>
    <row r="389" spans="1:8" x14ac:dyDescent="0.45">
      <c r="A389" s="4">
        <v>45383</v>
      </c>
      <c r="B389" s="2">
        <v>88.974545454545449</v>
      </c>
      <c r="D389" s="4">
        <v>45383</v>
      </c>
      <c r="E389" s="5">
        <f t="shared" si="12"/>
        <v>4.6152950708161278E-2</v>
      </c>
      <c r="G389" s="4">
        <v>45383</v>
      </c>
      <c r="H389" s="6">
        <f t="shared" si="11"/>
        <v>6.3072646027687362E-2</v>
      </c>
    </row>
    <row r="390" spans="1:8" x14ac:dyDescent="0.45">
      <c r="A390" s="4">
        <v>45413</v>
      </c>
      <c r="B390" s="2">
        <v>83.053913043478261</v>
      </c>
      <c r="D390" s="4">
        <v>45413</v>
      </c>
      <c r="E390" s="5">
        <f t="shared" si="12"/>
        <v>-6.8860371027954947E-2</v>
      </c>
      <c r="G390" s="4">
        <v>45413</v>
      </c>
      <c r="H390" s="6">
        <f t="shared" si="11"/>
        <v>9.208594609789067E-2</v>
      </c>
    </row>
    <row r="391" spans="1:8" x14ac:dyDescent="0.45">
      <c r="A391" s="4">
        <v>45444</v>
      </c>
      <c r="B391" s="2">
        <v>82.917500000000004</v>
      </c>
      <c r="D391" s="4">
        <v>45444</v>
      </c>
      <c r="E391" s="5">
        <f t="shared" si="12"/>
        <v>-1.6438140965835402E-3</v>
      </c>
      <c r="G391" s="4">
        <v>45444</v>
      </c>
      <c r="H391" s="6">
        <f t="shared" si="11"/>
        <v>0.10069141293627304</v>
      </c>
    </row>
    <row r="392" spans="1:8" x14ac:dyDescent="0.45">
      <c r="A392" s="4">
        <v>45474</v>
      </c>
      <c r="B392" s="2">
        <v>84.048695652173905</v>
      </c>
      <c r="D392" s="4">
        <v>45474</v>
      </c>
      <c r="E392" s="5">
        <f t="shared" si="12"/>
        <v>1.3550203449881337E-2</v>
      </c>
      <c r="G392" s="4">
        <v>45474</v>
      </c>
      <c r="H392" s="6">
        <f t="shared" si="11"/>
        <v>4.8007539280202849E-2</v>
      </c>
    </row>
    <row r="393" spans="1:8" x14ac:dyDescent="0.45">
      <c r="A393" s="4">
        <v>45505</v>
      </c>
      <c r="B393" s="2">
        <v>79.018636363636361</v>
      </c>
      <c r="D393" s="4">
        <v>45505</v>
      </c>
      <c r="E393" s="5">
        <f t="shared" si="12"/>
        <v>-6.1712613037853359E-2</v>
      </c>
      <c r="G393" s="4">
        <v>45505</v>
      </c>
      <c r="H393" s="6">
        <f t="shared" si="11"/>
        <v>-7.4945111442116463E-2</v>
      </c>
    </row>
    <row r="394" spans="1:8" x14ac:dyDescent="0.45">
      <c r="A394" s="4">
        <v>45536</v>
      </c>
      <c r="B394" s="2">
        <v>73.057619047619056</v>
      </c>
      <c r="D394" s="4">
        <v>45536</v>
      </c>
      <c r="E394" s="5">
        <f t="shared" si="12"/>
        <v>-7.8435296147830513E-2</v>
      </c>
      <c r="G394" s="4">
        <v>45536</v>
      </c>
      <c r="H394" s="6">
        <f t="shared" si="11"/>
        <v>-0.23783233304529361</v>
      </c>
    </row>
    <row r="395" spans="1:8" x14ac:dyDescent="0.45">
      <c r="A395" s="4">
        <v>45566</v>
      </c>
      <c r="B395" s="2">
        <v>75.266521739130425</v>
      </c>
      <c r="D395" s="4">
        <v>45566</v>
      </c>
      <c r="E395" s="5">
        <f t="shared" si="12"/>
        <v>2.9787005689201784E-2</v>
      </c>
      <c r="G395" s="4">
        <v>45566</v>
      </c>
      <c r="H395" s="6">
        <f t="shared" si="11"/>
        <v>-0.16701342564490673</v>
      </c>
    </row>
    <row r="396" spans="1:8" x14ac:dyDescent="0.45">
      <c r="A396" s="4">
        <v>45597</v>
      </c>
      <c r="B396" s="2">
        <v>73.508571428571429</v>
      </c>
      <c r="D396" s="4">
        <v>45597</v>
      </c>
      <c r="E396" s="5">
        <f t="shared" si="12"/>
        <v>-2.3633420029510965E-2</v>
      </c>
      <c r="G396" s="4">
        <v>45597</v>
      </c>
      <c r="H396" s="6">
        <f t="shared" si="11"/>
        <v>-0.11158737830355836</v>
      </c>
    </row>
    <row r="397" spans="1:8" x14ac:dyDescent="0.45">
      <c r="A397" s="4">
        <v>45627</v>
      </c>
      <c r="B397" s="2">
        <v>73.227727272727265</v>
      </c>
      <c r="D397" s="4">
        <v>45627</v>
      </c>
      <c r="E397" s="5">
        <f t="shared" si="12"/>
        <v>-3.8278803711975229E-3</v>
      </c>
      <c r="G397" s="4">
        <v>45627</v>
      </c>
      <c r="H397" s="6">
        <f t="shared" si="11"/>
        <v>-5.7232077490472655E-2</v>
      </c>
    </row>
    <row r="398" spans="1:8" x14ac:dyDescent="0.45">
      <c r="A398" s="4">
        <v>45658</v>
      </c>
      <c r="B398" s="2">
        <v>78.193913043478261</v>
      </c>
      <c r="D398" s="4">
        <v>45658</v>
      </c>
      <c r="E398" s="5">
        <f t="shared" si="12"/>
        <v>6.5617669078977592E-2</v>
      </c>
      <c r="G398" s="4">
        <v>45658</v>
      </c>
      <c r="H398" s="6">
        <f t="shared" si="11"/>
        <v>-1.1647482830291267E-2</v>
      </c>
    </row>
    <row r="399" spans="1:8" x14ac:dyDescent="0.45">
      <c r="A399" s="4">
        <v>45689</v>
      </c>
      <c r="B399" s="2">
        <v>75.192999999999998</v>
      </c>
      <c r="D399" s="4">
        <v>45689</v>
      </c>
      <c r="E399" s="5">
        <f t="shared" si="12"/>
        <v>-3.9133664686289649E-2</v>
      </c>
      <c r="G399" s="4">
        <v>45689</v>
      </c>
      <c r="H399" s="6">
        <f t="shared" ref="H399:H411" si="13">LN(B399)-LN(B387)</f>
        <v>-8.4166708124257639E-2</v>
      </c>
    </row>
    <row r="400" spans="1:8" x14ac:dyDescent="0.45">
      <c r="A400" s="4">
        <v>45717</v>
      </c>
      <c r="B400" s="2">
        <v>71.741428571428571</v>
      </c>
      <c r="D400" s="4">
        <v>45717</v>
      </c>
      <c r="E400" s="5">
        <f t="shared" si="12"/>
        <v>-4.6989756432310514E-2</v>
      </c>
      <c r="G400" s="4">
        <v>45717</v>
      </c>
      <c r="H400" s="6">
        <f t="shared" si="13"/>
        <v>-0.16912898690330902</v>
      </c>
    </row>
    <row r="401" spans="1:8" x14ac:dyDescent="0.45">
      <c r="A401" s="4">
        <v>45748</v>
      </c>
      <c r="B401" s="2">
        <v>66.927272727272737</v>
      </c>
      <c r="D401" s="4">
        <v>45748</v>
      </c>
      <c r="E401" s="5">
        <f t="shared" si="12"/>
        <v>-6.9461836937863453E-2</v>
      </c>
      <c r="G401" s="4">
        <v>45748</v>
      </c>
      <c r="H401" s="6">
        <f t="shared" si="13"/>
        <v>-0.28474377454933375</v>
      </c>
    </row>
    <row r="402" spans="1:8" x14ac:dyDescent="0.45">
      <c r="A402" s="4">
        <v>45778</v>
      </c>
      <c r="B402" s="2">
        <v>64.092727272727274</v>
      </c>
      <c r="D402" s="4">
        <v>45778</v>
      </c>
      <c r="E402" s="5">
        <f t="shared" si="12"/>
        <v>-4.3275649740712296E-2</v>
      </c>
      <c r="G402" s="4">
        <v>45778</v>
      </c>
      <c r="H402" s="6">
        <f t="shared" si="13"/>
        <v>-0.2591590532620911</v>
      </c>
    </row>
    <row r="403" spans="1:8" x14ac:dyDescent="0.45">
      <c r="A403" s="4">
        <v>45809</v>
      </c>
      <c r="B403" s="2">
        <v>69.846666666666664</v>
      </c>
      <c r="D403" s="4">
        <v>45809</v>
      </c>
      <c r="E403" s="5">
        <f t="shared" si="12"/>
        <v>8.5971464850871371E-2</v>
      </c>
      <c r="G403" s="4">
        <v>45809</v>
      </c>
      <c r="H403" s="6">
        <f t="shared" si="13"/>
        <v>-0.17154377431463619</v>
      </c>
    </row>
    <row r="404" spans="1:8" x14ac:dyDescent="0.45">
      <c r="A404" s="4">
        <v>45839</v>
      </c>
      <c r="B404" s="2">
        <v>69.564782608695651</v>
      </c>
      <c r="D404" s="4">
        <v>45839</v>
      </c>
      <c r="E404" s="5">
        <f t="shared" si="12"/>
        <v>-4.043920977517601E-3</v>
      </c>
      <c r="G404" s="4">
        <v>45839</v>
      </c>
      <c r="H404" s="6">
        <f t="shared" si="13"/>
        <v>-0.18913789874203513</v>
      </c>
    </row>
    <row r="405" spans="1:8" x14ac:dyDescent="0.45">
      <c r="A405" s="4">
        <v>45870</v>
      </c>
      <c r="B405" s="2">
        <v>67.244285714285709</v>
      </c>
      <c r="D405" s="4">
        <v>45870</v>
      </c>
      <c r="E405" s="5">
        <f t="shared" si="12"/>
        <v>-3.3926398198755869E-2</v>
      </c>
      <c r="G405" s="4">
        <v>45870</v>
      </c>
      <c r="H405" s="6">
        <f t="shared" si="13"/>
        <v>-0.16135168390293764</v>
      </c>
    </row>
    <row r="406" spans="1:8" x14ac:dyDescent="0.45">
      <c r="A406" s="4">
        <v>45901</v>
      </c>
      <c r="B406" s="2">
        <v>67.609090909090909</v>
      </c>
      <c r="D406" s="4">
        <v>45901</v>
      </c>
      <c r="E406" s="5">
        <f t="shared" si="12"/>
        <v>5.4104108304482423E-3</v>
      </c>
      <c r="G406" s="4">
        <v>45901</v>
      </c>
      <c r="H406" s="6">
        <f t="shared" si="13"/>
        <v>-7.7505976924658881E-2</v>
      </c>
    </row>
    <row r="407" spans="1:8" x14ac:dyDescent="0.45">
      <c r="A407" s="4">
        <v>45931</v>
      </c>
      <c r="B407" s="2">
        <v>63.981304347826089</v>
      </c>
      <c r="D407" s="4">
        <v>45931</v>
      </c>
      <c r="E407" s="5">
        <f t="shared" si="12"/>
        <v>-5.5151533791661045E-2</v>
      </c>
      <c r="G407" s="4">
        <v>45931</v>
      </c>
      <c r="H407" s="6">
        <f t="shared" si="13"/>
        <v>-0.16244451640552171</v>
      </c>
    </row>
    <row r="408" spans="1:8" x14ac:dyDescent="0.45">
      <c r="A408" s="4">
        <v>45962</v>
      </c>
      <c r="B408" s="2">
        <v>63.6935</v>
      </c>
      <c r="D408" s="4">
        <v>45962</v>
      </c>
      <c r="E408" s="5">
        <f t="shared" si="12"/>
        <v>-4.5084045639498527E-3</v>
      </c>
      <c r="G408" s="4">
        <v>45962</v>
      </c>
      <c r="H408" s="6">
        <f t="shared" si="13"/>
        <v>-0.1433195009399606</v>
      </c>
    </row>
    <row r="409" spans="1:8" x14ac:dyDescent="0.45">
      <c r="A409" s="4">
        <v>45992</v>
      </c>
      <c r="B409" s="2">
        <v>61.810909090909092</v>
      </c>
      <c r="D409" s="4">
        <v>45992</v>
      </c>
      <c r="E409" s="5">
        <f t="shared" si="12"/>
        <v>-3.0002645163272668E-2</v>
      </c>
      <c r="G409" s="4">
        <v>45992</v>
      </c>
      <c r="H409" s="6">
        <f t="shared" si="13"/>
        <v>-0.16949426573203574</v>
      </c>
    </row>
    <row r="410" spans="1:8" x14ac:dyDescent="0.45">
      <c r="A410" s="4">
        <v>46023</v>
      </c>
      <c r="B410" s="2">
        <v>64.594090909090909</v>
      </c>
      <c r="D410" s="4">
        <v>46023</v>
      </c>
      <c r="E410" s="5">
        <f t="shared" si="12"/>
        <v>4.4043063217240608E-2</v>
      </c>
      <c r="G410" s="4">
        <v>46023</v>
      </c>
      <c r="H410" s="6">
        <f t="shared" si="13"/>
        <v>-0.19106887159377273</v>
      </c>
    </row>
    <row r="411" spans="1:8" x14ac:dyDescent="0.45">
      <c r="A411" s="4">
        <v>46054</v>
      </c>
      <c r="B411" s="2">
        <v>69.409499999999994</v>
      </c>
      <c r="D411" s="4">
        <v>46054</v>
      </c>
      <c r="E411" s="5">
        <f t="shared" si="12"/>
        <v>7.1900811143333243E-2</v>
      </c>
      <c r="G411" s="4">
        <v>46054</v>
      </c>
      <c r="H411" s="6">
        <f t="shared" si="13"/>
        <v>-8.0034395764149835E-2</v>
      </c>
    </row>
    <row r="413" spans="1:8" x14ac:dyDescent="0.45">
      <c r="D413" t="s">
        <v>13</v>
      </c>
      <c r="E413" s="5">
        <f>AVERAGE(E3:E411)</f>
        <v>3.2787137533332408E-3</v>
      </c>
    </row>
    <row r="414" spans="1:8" x14ac:dyDescent="0.45">
      <c r="D414" t="s">
        <v>14</v>
      </c>
      <c r="E414">
        <f>STDEV(E3:E411)</f>
        <v>8.5942378911669601E-2</v>
      </c>
    </row>
    <row r="415" spans="1:8" x14ac:dyDescent="0.45">
      <c r="D415" t="s">
        <v>15</v>
      </c>
      <c r="E415">
        <f>SKEW(E3:E411)</f>
        <v>-0.9697630943807557</v>
      </c>
    </row>
    <row r="416" spans="1:8" x14ac:dyDescent="0.45">
      <c r="D416" t="s">
        <v>16</v>
      </c>
      <c r="E416">
        <f>KURT(E3:E411)</f>
        <v>3.3478433981772504</v>
      </c>
    </row>
    <row r="418" spans="4:5" x14ac:dyDescent="0.45">
      <c r="D418" t="s">
        <v>17</v>
      </c>
      <c r="E418">
        <v>410</v>
      </c>
    </row>
    <row r="420" spans="4:5" x14ac:dyDescent="0.45">
      <c r="D420" t="s">
        <v>18</v>
      </c>
      <c r="E420">
        <f>(n/6)*(Sk^2+(kt-3)^2/4)</f>
        <v>66.330429803515543</v>
      </c>
    </row>
    <row r="421" spans="4:5" x14ac:dyDescent="0.45">
      <c r="E421">
        <f>E420</f>
        <v>66.330429803515543</v>
      </c>
    </row>
    <row r="422" spans="4:5" x14ac:dyDescent="0.45">
      <c r="D422" t="s">
        <v>19</v>
      </c>
      <c r="E422">
        <f>_xlfn.CHISQ.DIST.RT(JB_value, 2)</f>
        <v>3.9493914081364137E-15</v>
      </c>
    </row>
    <row r="424" spans="4:5" x14ac:dyDescent="0.45">
      <c r="D424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README</vt:lpstr>
      <vt:lpstr>Monthly</vt:lpstr>
      <vt:lpstr>JB</vt:lpstr>
      <vt:lpstr>JB_value</vt:lpstr>
      <vt:lpstr>kt</vt:lpstr>
      <vt:lpstr>n</vt:lpstr>
      <vt:lpstr>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 McNelis</cp:lastModifiedBy>
  <dcterms:created xsi:type="dcterms:W3CDTF">2026-03-31T11:48:34Z</dcterms:created>
  <dcterms:modified xsi:type="dcterms:W3CDTF">2026-03-31T15:40:11Z</dcterms:modified>
</cp:coreProperties>
</file>