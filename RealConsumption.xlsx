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47CB0DC5-6122-4616-B165-B8323D67FA19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README" sheetId="1" r:id="rId1"/>
    <sheet name="Sheet1" sheetId="3" r:id="rId2"/>
    <sheet name="Sheet4" sheetId="6" r:id="rId3"/>
    <sheet name="Sheet2" sheetId="7" r:id="rId4"/>
    <sheet name="Sheet3" sheetId="8" r:id="rId5"/>
    <sheet name="Quarterly" sheetId="2" r:id="rId6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Sheet1!$U$20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3" i="6" l="1"/>
  <c r="C344" i="6"/>
  <c r="C342" i="6"/>
  <c r="C341" i="6"/>
  <c r="D4" i="2" l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2" i="2"/>
</calcChain>
</file>

<file path=xl/sharedStrings.xml><?xml version="1.0" encoding="utf-8"?>
<sst xmlns="http://schemas.openxmlformats.org/spreadsheetml/2006/main" count="136" uniqueCount="48">
  <si>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</si>
  <si>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</si>
  <si>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</si>
  <si>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</si>
  <si>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</si>
  <si>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2026-04-08 9:36 pm CDT</t>
  </si>
  <si>
    <t>A794RX0Q048SBEA</t>
  </si>
  <si>
    <t>Real personal consumption expenditures per capita, Chained 2017 Dollars, Quarterly, Seasonally Adjusted Annual Rate</t>
  </si>
  <si>
    <t>Data Updated: 2026-03-13</t>
  </si>
  <si>
    <t>observation_date</t>
  </si>
  <si>
    <t>Real Consumption</t>
  </si>
  <si>
    <t>log Con</t>
  </si>
  <si>
    <t>Trend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</si>
  <si>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</si>
  <si>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</si>
  <si>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</si>
  <si>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</si>
  <si>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</si>
  <si>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</si>
  <si>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</si>
  <si>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</si>
  <si>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</si>
  <si>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</si>
  <si>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</si>
  <si>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</si>
  <si>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</si>
  <si>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</si>
  <si>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</si>
  <si>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</si>
  <si>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</si>
  <si>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</si>
  <si>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</si>
  <si>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</si>
  <si>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</si>
  <si>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</si>
  <si>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</si>
  <si>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</si>
  <si>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</si>
  <si>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</si>
  <si>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</si>
  <si>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</si>
  <si>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</si>
  <si>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Std Deviation of Regression</t>
  </si>
  <si>
    <t>Variance of Deviation from Trend</t>
  </si>
  <si>
    <t xml:space="preserve">Sigma (CRRA):  </t>
  </si>
  <si>
    <t>Loss from a business cycle: Approximation</t>
  </si>
  <si>
    <t>Exact loss from a business cycle</t>
  </si>
  <si>
    <t>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</si>
</sst>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Quarterly!$D$2:$D$317</c:f>
              <c:numCache>
                <c:formatCode>General</c:formatCode>
                <c:ptCount val="3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</c:numCache>
            </c:numRef>
          </c:xVal>
          <c:yVal>
            <c:numRef>
              <c:f>Sheet4!$C$25:$C$340</c:f>
              <c:numCache>
                <c:formatCode>General</c:formatCode>
                <c:ptCount val="316"/>
                <c:pt idx="0">
                  <c:v>-1.2184868826690121E-3</c:v>
                </c:pt>
                <c:pt idx="1">
                  <c:v>5.3805033888885134E-3</c:v>
                </c:pt>
                <c:pt idx="2">
                  <c:v>-1.3846478797319151E-3</c:v>
                </c:pt>
                <c:pt idx="3">
                  <c:v>-1.1094379419333222E-2</c:v>
                </c:pt>
                <c:pt idx="4">
                  <c:v>-1.5551239756947055E-2</c:v>
                </c:pt>
                <c:pt idx="5">
                  <c:v>-1.3412458523616166E-2</c:v>
                </c:pt>
                <c:pt idx="6">
                  <c:v>-2.1637899962609453E-2</c:v>
                </c:pt>
                <c:pt idx="7">
                  <c:v>-2.3698144230284157E-2</c:v>
                </c:pt>
                <c:pt idx="8">
                  <c:v>-3.1922111932134456E-2</c:v>
                </c:pt>
                <c:pt idx="9">
                  <c:v>-2.6092056824507992E-2</c:v>
                </c:pt>
                <c:pt idx="10">
                  <c:v>-3.3462917297796935E-2</c:v>
                </c:pt>
                <c:pt idx="11">
                  <c:v>-2.8863936585027616E-2</c:v>
                </c:pt>
                <c:pt idx="12">
                  <c:v>-2.192870580161177E-2</c:v>
                </c:pt>
                <c:pt idx="13">
                  <c:v>-1.4543329424929752E-2</c:v>
                </c:pt>
                <c:pt idx="14">
                  <c:v>2.5913301381667253E-2</c:v>
                </c:pt>
                <c:pt idx="15">
                  <c:v>-1.460217964168109E-2</c:v>
                </c:pt>
                <c:pt idx="16">
                  <c:v>-3.041693949086266E-4</c:v>
                </c:pt>
                <c:pt idx="17">
                  <c:v>-3.8361799366828819E-2</c:v>
                </c:pt>
                <c:pt idx="18">
                  <c:v>-3.677034808592694E-2</c:v>
                </c:pt>
                <c:pt idx="19">
                  <c:v>-4.1079228945456236E-2</c:v>
                </c:pt>
                <c:pt idx="20">
                  <c:v>-4.8275024790738641E-2</c:v>
                </c:pt>
                <c:pt idx="21">
                  <c:v>-3.8154588879530493E-2</c:v>
                </c:pt>
                <c:pt idx="22">
                  <c:v>-4.3067808997548696E-2</c:v>
                </c:pt>
                <c:pt idx="23">
                  <c:v>-1.8428177226644138E-2</c:v>
                </c:pt>
                <c:pt idx="24">
                  <c:v>-1.5869730525585268E-2</c:v>
                </c:pt>
                <c:pt idx="25">
                  <c:v>-1.8915920359100724E-2</c:v>
                </c:pt>
                <c:pt idx="26">
                  <c:v>-3.1313958466023806E-2</c:v>
                </c:pt>
                <c:pt idx="27">
                  <c:v>-4.806893190859185E-2</c:v>
                </c:pt>
                <c:pt idx="28">
                  <c:v>-5.4144365399125149E-2</c:v>
                </c:pt>
                <c:pt idx="29">
                  <c:v>-5.065994818287578E-2</c:v>
                </c:pt>
                <c:pt idx="30">
                  <c:v>-4.725383379837389E-2</c:v>
                </c:pt>
                <c:pt idx="31">
                  <c:v>-3.675149050027926E-2</c:v>
                </c:pt>
                <c:pt idx="32">
                  <c:v>-2.4125062653437723E-2</c:v>
                </c:pt>
                <c:pt idx="33">
                  <c:v>-1.4508555043603266E-2</c:v>
                </c:pt>
                <c:pt idx="34">
                  <c:v>-1.2218513740505088E-2</c:v>
                </c:pt>
                <c:pt idx="35">
                  <c:v>-9.9872141404233616E-3</c:v>
                </c:pt>
                <c:pt idx="36">
                  <c:v>-1.7870308106052946E-2</c:v>
                </c:pt>
                <c:pt idx="37">
                  <c:v>-2.398352317419139E-2</c:v>
                </c:pt>
                <c:pt idx="38">
                  <c:v>-3.1785606060147131E-2</c:v>
                </c:pt>
                <c:pt idx="39">
                  <c:v>-2.8511290182894555E-2</c:v>
                </c:pt>
                <c:pt idx="40">
                  <c:v>-3.1449312682585884E-2</c:v>
                </c:pt>
                <c:pt idx="41">
                  <c:v>-3.9230487538423731E-2</c:v>
                </c:pt>
                <c:pt idx="42">
                  <c:v>-4.1201821604698097E-2</c:v>
                </c:pt>
                <c:pt idx="43">
                  <c:v>-5.0743378496438396E-2</c:v>
                </c:pt>
                <c:pt idx="44">
                  <c:v>-7.3859239534163734E-2</c:v>
                </c:pt>
                <c:pt idx="45">
                  <c:v>-7.4872428854435569E-2</c:v>
                </c:pt>
                <c:pt idx="46">
                  <c:v>-6.8101968852360528E-2</c:v>
                </c:pt>
                <c:pt idx="47">
                  <c:v>-6.4624518385317131E-2</c:v>
                </c:pt>
                <c:pt idx="48">
                  <c:v>-5.6204897003830467E-2</c:v>
                </c:pt>
                <c:pt idx="49">
                  <c:v>-5.0105317512239012E-2</c:v>
                </c:pt>
                <c:pt idx="50">
                  <c:v>-4.9382362272577751E-2</c:v>
                </c:pt>
                <c:pt idx="51">
                  <c:v>-5.809997723289051E-2</c:v>
                </c:pt>
                <c:pt idx="52">
                  <c:v>-5.9850453041645935E-2</c:v>
                </c:pt>
                <c:pt idx="53">
                  <c:v>-5.8745510084555974E-2</c:v>
                </c:pt>
                <c:pt idx="54">
                  <c:v>-7.312013785091942E-2</c:v>
                </c:pt>
                <c:pt idx="55">
                  <c:v>-8.1162679384320313E-2</c:v>
                </c:pt>
                <c:pt idx="56">
                  <c:v>-9.0323836721426076E-2</c:v>
                </c:pt>
                <c:pt idx="57">
                  <c:v>-8.483564661104559E-2</c:v>
                </c:pt>
                <c:pt idx="58">
                  <c:v>-8.9562508304576127E-2</c:v>
                </c:pt>
                <c:pt idx="59">
                  <c:v>-7.9274656608369298E-2</c:v>
                </c:pt>
                <c:pt idx="60">
                  <c:v>-7.7709089789031793E-2</c:v>
                </c:pt>
                <c:pt idx="61">
                  <c:v>-7.4386998928124726E-2</c:v>
                </c:pt>
                <c:pt idx="62">
                  <c:v>-7.5619406221093755E-2</c:v>
                </c:pt>
                <c:pt idx="63">
                  <c:v>-7.1033967407165832E-2</c:v>
                </c:pt>
                <c:pt idx="64">
                  <c:v>-7.2727367970163215E-2</c:v>
                </c:pt>
                <c:pt idx="65">
                  <c:v>-7.1951005695629178E-2</c:v>
                </c:pt>
                <c:pt idx="66">
                  <c:v>-6.7719703202046233E-2</c:v>
                </c:pt>
                <c:pt idx="67">
                  <c:v>-6.8695449065870662E-2</c:v>
                </c:pt>
                <c:pt idx="68">
                  <c:v>-5.7744447744465077E-2</c:v>
                </c:pt>
                <c:pt idx="69">
                  <c:v>-4.8814832247586537E-2</c:v>
                </c:pt>
                <c:pt idx="70">
                  <c:v>-3.9559837041801771E-2</c:v>
                </c:pt>
                <c:pt idx="71">
                  <c:v>-4.5642327558283569E-2</c:v>
                </c:pt>
                <c:pt idx="72">
                  <c:v>-3.1693216838666771E-2</c:v>
                </c:pt>
                <c:pt idx="73">
                  <c:v>-2.8842742015608991E-2</c:v>
                </c:pt>
                <c:pt idx="74">
                  <c:v>-2.0614983707469392E-2</c:v>
                </c:pt>
                <c:pt idx="75">
                  <c:v>-1.488525341653002E-3</c:v>
                </c:pt>
                <c:pt idx="76">
                  <c:v>5.2555401825955528E-3</c:v>
                </c:pt>
                <c:pt idx="77">
                  <c:v>-2.1793633487909858E-4</c:v>
                </c:pt>
                <c:pt idx="78">
                  <c:v>2.7192946308307597E-3</c:v>
                </c:pt>
                <c:pt idx="79">
                  <c:v>-1.6466468339544349E-3</c:v>
                </c:pt>
                <c:pt idx="80">
                  <c:v>-3.7367803609171801E-3</c:v>
                </c:pt>
                <c:pt idx="81">
                  <c:v>1.9623875867971208E-3</c:v>
                </c:pt>
                <c:pt idx="82">
                  <c:v>-1.1266348235814405E-3</c:v>
                </c:pt>
                <c:pt idx="83">
                  <c:v>-3.2038808730092683E-3</c:v>
                </c:pt>
                <c:pt idx="84">
                  <c:v>1.2914505466676829E-2</c:v>
                </c:pt>
                <c:pt idx="85">
                  <c:v>2.0362354362532642E-2</c:v>
                </c:pt>
                <c:pt idx="86">
                  <c:v>3.0810366621533802E-2</c:v>
                </c:pt>
                <c:pt idx="87">
                  <c:v>2.7209764551651361E-2</c:v>
                </c:pt>
                <c:pt idx="88">
                  <c:v>3.0773030532877499E-2</c:v>
                </c:pt>
                <c:pt idx="89">
                  <c:v>2.9505399791780462E-2</c:v>
                </c:pt>
                <c:pt idx="90">
                  <c:v>2.613166145771828E-2</c:v>
                </c:pt>
                <c:pt idx="91">
                  <c:v>2.5784881576393914E-2</c:v>
                </c:pt>
                <c:pt idx="92">
                  <c:v>2.4094349072390386E-2</c:v>
                </c:pt>
                <c:pt idx="93">
                  <c:v>2.0134440034823342E-2</c:v>
                </c:pt>
                <c:pt idx="94">
                  <c:v>2.0048423370230495E-2</c:v>
                </c:pt>
                <c:pt idx="95">
                  <c:v>8.4485094503872205E-3</c:v>
                </c:pt>
                <c:pt idx="96">
                  <c:v>1.8989361883638978E-2</c:v>
                </c:pt>
                <c:pt idx="97">
                  <c:v>1.9868424392834427E-2</c:v>
                </c:pt>
                <c:pt idx="98">
                  <c:v>1.9303808630738217E-2</c:v>
                </c:pt>
                <c:pt idx="99">
                  <c:v>2.7253892406310598E-2</c:v>
                </c:pt>
                <c:pt idx="100">
                  <c:v>3.258526939982076E-2</c:v>
                </c:pt>
                <c:pt idx="101">
                  <c:v>4.368742090979616E-2</c:v>
                </c:pt>
                <c:pt idx="102">
                  <c:v>5.0993799400949058E-2</c:v>
                </c:pt>
                <c:pt idx="103">
                  <c:v>6.6118362534588471E-2</c:v>
                </c:pt>
                <c:pt idx="104">
                  <c:v>7.6649255104543457E-2</c:v>
                </c:pt>
                <c:pt idx="105">
                  <c:v>6.8560708742667842E-2</c:v>
                </c:pt>
                <c:pt idx="106">
                  <c:v>6.4220649523440088E-2</c:v>
                </c:pt>
                <c:pt idx="107">
                  <c:v>5.337500754217217E-2</c:v>
                </c:pt>
                <c:pt idx="108">
                  <c:v>3.6940867435250269E-2</c:v>
                </c:pt>
                <c:pt idx="109">
                  <c:v>3.2958166343014739E-2</c:v>
                </c:pt>
                <c:pt idx="110">
                  <c:v>2.9313700722227054E-2</c:v>
                </c:pt>
                <c:pt idx="111">
                  <c:v>6.6386311006869647E-3</c:v>
                </c:pt>
                <c:pt idx="112">
                  <c:v>7.5604459321372275E-3</c:v>
                </c:pt>
                <c:pt idx="113">
                  <c:v>1.6046668084470639E-2</c:v>
                </c:pt>
                <c:pt idx="114">
                  <c:v>2.1830106925490256E-2</c:v>
                </c:pt>
                <c:pt idx="115">
                  <c:v>2.4499742007636272E-2</c:v>
                </c:pt>
                <c:pt idx="116">
                  <c:v>3.6740183009023042E-2</c:v>
                </c:pt>
                <c:pt idx="117">
                  <c:v>3.8394460949922049E-2</c:v>
                </c:pt>
                <c:pt idx="118">
                  <c:v>4.0912147309818181E-2</c:v>
                </c:pt>
                <c:pt idx="119">
                  <c:v>4.5708005037900179E-2</c:v>
                </c:pt>
                <c:pt idx="120">
                  <c:v>4.9716905097444197E-2</c:v>
                </c:pt>
                <c:pt idx="121">
                  <c:v>4.7308733406943304E-2</c:v>
                </c:pt>
                <c:pt idx="122">
                  <c:v>4.8495034744604482E-2</c:v>
                </c:pt>
                <c:pt idx="123">
                  <c:v>5.5215854932420427E-2</c:v>
                </c:pt>
                <c:pt idx="124">
                  <c:v>5.3051501464194573E-2</c:v>
                </c:pt>
                <c:pt idx="125">
                  <c:v>6.6261998071555084E-2</c:v>
                </c:pt>
                <c:pt idx="126">
                  <c:v>6.2117224332885357E-2</c:v>
                </c:pt>
                <c:pt idx="127">
                  <c:v>6.1833522721940426E-2</c:v>
                </c:pt>
                <c:pt idx="128">
                  <c:v>5.9079909854219181E-2</c:v>
                </c:pt>
                <c:pt idx="129">
                  <c:v>5.0425169727054353E-2</c:v>
                </c:pt>
                <c:pt idx="130">
                  <c:v>5.1662382268130358E-2</c:v>
                </c:pt>
                <c:pt idx="131">
                  <c:v>4.5661330014953094E-2</c:v>
                </c:pt>
                <c:pt idx="132">
                  <c:v>3.6016020190274389E-2</c:v>
                </c:pt>
                <c:pt idx="133">
                  <c:v>5.0342021983702523E-3</c:v>
                </c:pt>
                <c:pt idx="134">
                  <c:v>7.5510514508358995E-3</c:v>
                </c:pt>
                <c:pt idx="135">
                  <c:v>1.2829664487911785E-2</c:v>
                </c:pt>
                <c:pt idx="136">
                  <c:v>8.73442343863573E-3</c:v>
                </c:pt>
                <c:pt idx="137">
                  <c:v>1.1658583482461182E-3</c:v>
                </c:pt>
                <c:pt idx="138">
                  <c:v>-2.3747335885744292E-3</c:v>
                </c:pt>
                <c:pt idx="139">
                  <c:v>-1.7230328241653936E-2</c:v>
                </c:pt>
                <c:pt idx="140">
                  <c:v>-1.7416826000488328E-2</c:v>
                </c:pt>
                <c:pt idx="141">
                  <c:v>-2.2012507434828521E-2</c:v>
                </c:pt>
                <c:pt idx="142">
                  <c:v>-2.3285407963093974E-2</c:v>
                </c:pt>
                <c:pt idx="143">
                  <c:v>-1.3769768917649472E-2</c:v>
                </c:pt>
                <c:pt idx="144">
                  <c:v>-1.137863952413376E-2</c:v>
                </c:pt>
                <c:pt idx="145">
                  <c:v>1.3335879484603907E-3</c:v>
                </c:pt>
                <c:pt idx="146">
                  <c:v>1.1255143760388719E-2</c:v>
                </c:pt>
                <c:pt idx="147">
                  <c:v>1.9305533428903843E-2</c:v>
                </c:pt>
                <c:pt idx="148">
                  <c:v>2.0258796667551593E-2</c:v>
                </c:pt>
                <c:pt idx="149">
                  <c:v>2.6712596287024937E-2</c:v>
                </c:pt>
                <c:pt idx="150">
                  <c:v>2.6269425512914779E-2</c:v>
                </c:pt>
                <c:pt idx="151">
                  <c:v>3.1303158708618994E-2</c:v>
                </c:pt>
                <c:pt idx="152">
                  <c:v>4.0929911298778876E-2</c:v>
                </c:pt>
                <c:pt idx="153">
                  <c:v>4.2514130433458419E-2</c:v>
                </c:pt>
                <c:pt idx="154">
                  <c:v>5.338813968714895E-2</c:v>
                </c:pt>
                <c:pt idx="155">
                  <c:v>4.7635297002129207E-2</c:v>
                </c:pt>
                <c:pt idx="156">
                  <c:v>4.8975023582755739E-2</c:v>
                </c:pt>
                <c:pt idx="157">
                  <c:v>5.229182642653285E-2</c:v>
                </c:pt>
                <c:pt idx="158">
                  <c:v>6.1947193638710374E-2</c:v>
                </c:pt>
                <c:pt idx="159">
                  <c:v>6.0262560446629365E-2</c:v>
                </c:pt>
                <c:pt idx="160">
                  <c:v>5.3845965027784715E-2</c:v>
                </c:pt>
                <c:pt idx="161">
                  <c:v>5.9862342974037475E-2</c:v>
                </c:pt>
                <c:pt idx="162">
                  <c:v>6.335278186279325E-2</c:v>
                </c:pt>
                <c:pt idx="163">
                  <c:v>5.7576638589640794E-2</c:v>
                </c:pt>
                <c:pt idx="164">
                  <c:v>6.769815885876973E-2</c:v>
                </c:pt>
                <c:pt idx="165">
                  <c:v>6.7578613725791215E-2</c:v>
                </c:pt>
                <c:pt idx="166">
                  <c:v>6.8398684150700717E-2</c:v>
                </c:pt>
                <c:pt idx="167">
                  <c:v>7.1819415963632949E-2</c:v>
                </c:pt>
                <c:pt idx="168">
                  <c:v>6.904794547547155E-2</c:v>
                </c:pt>
                <c:pt idx="169">
                  <c:v>6.6031185618591337E-2</c:v>
                </c:pt>
                <c:pt idx="170">
                  <c:v>6.7517529829496326E-2</c:v>
                </c:pt>
                <c:pt idx="171">
                  <c:v>6.3730473133698951E-2</c:v>
                </c:pt>
                <c:pt idx="172">
                  <c:v>6.445407007791637E-2</c:v>
                </c:pt>
                <c:pt idx="173">
                  <c:v>5.8972071672524606E-2</c:v>
                </c:pt>
                <c:pt idx="174">
                  <c:v>5.3999062660897934E-2</c:v>
                </c:pt>
                <c:pt idx="175">
                  <c:v>3.741636378049229E-2</c:v>
                </c:pt>
                <c:pt idx="176">
                  <c:v>2.5141168772560007E-2</c:v>
                </c:pt>
                <c:pt idx="177">
                  <c:v>2.4826152974963378E-2</c:v>
                </c:pt>
                <c:pt idx="178">
                  <c:v>2.0849006070116971E-2</c:v>
                </c:pt>
                <c:pt idx="179">
                  <c:v>1.1517450326611112E-2</c:v>
                </c:pt>
                <c:pt idx="180">
                  <c:v>2.1733540540083141E-2</c:v>
                </c:pt>
                <c:pt idx="181">
                  <c:v>1.9729030932673197E-2</c:v>
                </c:pt>
                <c:pt idx="182">
                  <c:v>2.1321647456948867E-2</c:v>
                </c:pt>
                <c:pt idx="183">
                  <c:v>2.4287830316993109E-2</c:v>
                </c:pt>
                <c:pt idx="184">
                  <c:v>1.9767185812572308E-2</c:v>
                </c:pt>
                <c:pt idx="185">
                  <c:v>2.0408593758045157E-2</c:v>
                </c:pt>
                <c:pt idx="186">
                  <c:v>2.2642743997431936E-2</c:v>
                </c:pt>
                <c:pt idx="187">
                  <c:v>2.2788236699399889E-2</c:v>
                </c:pt>
                <c:pt idx="188">
                  <c:v>2.6080262996654113E-2</c:v>
                </c:pt>
                <c:pt idx="189">
                  <c:v>2.5479182722786931E-2</c:v>
                </c:pt>
                <c:pt idx="190">
                  <c:v>2.4448470776224696E-2</c:v>
                </c:pt>
                <c:pt idx="191">
                  <c:v>2.6743511251156704E-2</c:v>
                </c:pt>
                <c:pt idx="192">
                  <c:v>2.1156340975027277E-2</c:v>
                </c:pt>
                <c:pt idx="193">
                  <c:v>2.164417858089962E-2</c:v>
                </c:pt>
                <c:pt idx="194">
                  <c:v>2.2061236114410576E-2</c:v>
                </c:pt>
                <c:pt idx="195">
                  <c:v>2.05313542532366E-2</c:v>
                </c:pt>
                <c:pt idx="196">
                  <c:v>2.1826056450217735E-2</c:v>
                </c:pt>
                <c:pt idx="197">
                  <c:v>2.4252093475546133E-2</c:v>
                </c:pt>
                <c:pt idx="198">
                  <c:v>2.1657852943301137E-2</c:v>
                </c:pt>
                <c:pt idx="199">
                  <c:v>2.1001577207195865E-2</c:v>
                </c:pt>
                <c:pt idx="200">
                  <c:v>2.3413736915539829E-2</c:v>
                </c:pt>
                <c:pt idx="201">
                  <c:v>1.965695466748052E-2</c:v>
                </c:pt>
                <c:pt idx="202">
                  <c:v>2.7849936559547928E-2</c:v>
                </c:pt>
                <c:pt idx="203">
                  <c:v>3.1180836868081485E-2</c:v>
                </c:pt>
                <c:pt idx="204">
                  <c:v>3.3281369876128508E-2</c:v>
                </c:pt>
                <c:pt idx="205">
                  <c:v>4.2618810567823573E-2</c:v>
                </c:pt>
                <c:pt idx="206">
                  <c:v>4.7044774376633569E-2</c:v>
                </c:pt>
                <c:pt idx="207">
                  <c:v>5.2949962848932941E-2</c:v>
                </c:pt>
                <c:pt idx="208">
                  <c:v>5.5253701129762689E-2</c:v>
                </c:pt>
                <c:pt idx="209">
                  <c:v>6.2297441966530087E-2</c:v>
                </c:pt>
                <c:pt idx="210">
                  <c:v>6.4894316004270536E-2</c:v>
                </c:pt>
                <c:pt idx="211">
                  <c:v>7.1026177606489327E-2</c:v>
                </c:pt>
                <c:pt idx="212">
                  <c:v>7.8085083086692819E-2</c:v>
                </c:pt>
                <c:pt idx="213">
                  <c:v>7.9504192102373139E-2</c:v>
                </c:pt>
                <c:pt idx="214">
                  <c:v>8.090776385090237E-2</c:v>
                </c:pt>
                <c:pt idx="215">
                  <c:v>8.1563780376576744E-2</c:v>
                </c:pt>
                <c:pt idx="216">
                  <c:v>7.7501726935203408E-2</c:v>
                </c:pt>
                <c:pt idx="217">
                  <c:v>7.1732326402241142E-2</c:v>
                </c:pt>
                <c:pt idx="218">
                  <c:v>6.7212239884582914E-2</c:v>
                </c:pt>
                <c:pt idx="219">
                  <c:v>7.527015552435401E-2</c:v>
                </c:pt>
                <c:pt idx="220">
                  <c:v>6.9896522479542256E-2</c:v>
                </c:pt>
                <c:pt idx="221">
                  <c:v>6.7313294951162561E-2</c:v>
                </c:pt>
                <c:pt idx="222">
                  <c:v>6.6364097797107391E-2</c:v>
                </c:pt>
                <c:pt idx="223">
                  <c:v>6.4057870163198416E-2</c:v>
                </c:pt>
                <c:pt idx="224">
                  <c:v>6.1475233367618287E-2</c:v>
                </c:pt>
                <c:pt idx="225">
                  <c:v>6.5251480498792702E-2</c:v>
                </c:pt>
                <c:pt idx="226">
                  <c:v>7.1416052229682947E-2</c:v>
                </c:pt>
                <c:pt idx="227">
                  <c:v>7.0475241574280645E-2</c:v>
                </c:pt>
                <c:pt idx="228">
                  <c:v>7.2417862470381067E-2</c:v>
                </c:pt>
                <c:pt idx="229">
                  <c:v>7.0252424517486034E-2</c:v>
                </c:pt>
                <c:pt idx="230">
                  <c:v>7.4047549936928192E-2</c:v>
                </c:pt>
                <c:pt idx="231">
                  <c:v>7.7421673612397157E-2</c:v>
                </c:pt>
                <c:pt idx="232">
                  <c:v>7.6224274907270129E-2</c:v>
                </c:pt>
                <c:pt idx="233">
                  <c:v>7.9707560555876356E-2</c:v>
                </c:pt>
                <c:pt idx="234">
                  <c:v>8.0028690520469681E-2</c:v>
                </c:pt>
                <c:pt idx="235">
                  <c:v>7.3962940860468507E-2</c:v>
                </c:pt>
                <c:pt idx="236">
                  <c:v>7.7214230347081525E-2</c:v>
                </c:pt>
                <c:pt idx="237">
                  <c:v>7.4733529917512698E-2</c:v>
                </c:pt>
                <c:pt idx="238">
                  <c:v>7.3141452010540675E-2</c:v>
                </c:pt>
                <c:pt idx="239">
                  <c:v>7.4670208115884762E-2</c:v>
                </c:pt>
                <c:pt idx="240">
                  <c:v>7.3198768769813682E-2</c:v>
                </c:pt>
                <c:pt idx="241">
                  <c:v>6.8171341161010091E-2</c:v>
                </c:pt>
                <c:pt idx="242">
                  <c:v>6.6843607354263312E-2</c:v>
                </c:pt>
                <c:pt idx="243">
                  <c:v>6.2830524330101056E-2</c:v>
                </c:pt>
                <c:pt idx="244">
                  <c:v>5.3866263245341273E-2</c:v>
                </c:pt>
                <c:pt idx="245">
                  <c:v>4.9025623008175145E-2</c:v>
                </c:pt>
                <c:pt idx="246">
                  <c:v>3.3438390337730439E-2</c:v>
                </c:pt>
                <c:pt idx="247">
                  <c:v>1.6651454482623507E-2</c:v>
                </c:pt>
                <c:pt idx="248">
                  <c:v>6.690956791727487E-3</c:v>
                </c:pt>
                <c:pt idx="249">
                  <c:v>-5.6979398181429275E-3</c:v>
                </c:pt>
                <c:pt idx="250">
                  <c:v>-6.7060090154047458E-3</c:v>
                </c:pt>
                <c:pt idx="251">
                  <c:v>-1.5508374931787472E-2</c:v>
                </c:pt>
                <c:pt idx="252">
                  <c:v>-1.7127259316705334E-2</c:v>
                </c:pt>
                <c:pt idx="253">
                  <c:v>-1.552416561066039E-2</c:v>
                </c:pt>
                <c:pt idx="254">
                  <c:v>-1.5929542942176411E-2</c:v>
                </c:pt>
                <c:pt idx="255">
                  <c:v>-1.7390483334370543E-2</c:v>
                </c:pt>
                <c:pt idx="256">
                  <c:v>-2.0760899101832209E-2</c:v>
                </c:pt>
                <c:pt idx="257">
                  <c:v>-2.6950285389707673E-2</c:v>
                </c:pt>
                <c:pt idx="258">
                  <c:v>-3.1459935684702955E-2</c:v>
                </c:pt>
                <c:pt idx="259">
                  <c:v>-3.7215714729507354E-2</c:v>
                </c:pt>
                <c:pt idx="260">
                  <c:v>-3.7216167341425077E-2</c:v>
                </c:pt>
                <c:pt idx="261">
                  <c:v>-4.2646791659088024E-2</c:v>
                </c:pt>
                <c:pt idx="262">
                  <c:v>-4.8104361802092654E-2</c:v>
                </c:pt>
                <c:pt idx="263">
                  <c:v>-5.1596742341455837E-2</c:v>
                </c:pt>
                <c:pt idx="264">
                  <c:v>-5.2144416581530351E-2</c:v>
                </c:pt>
                <c:pt idx="265">
                  <c:v>-5.6397918579873973E-2</c:v>
                </c:pt>
                <c:pt idx="266">
                  <c:v>-5.9825314021962228E-2</c:v>
                </c:pt>
                <c:pt idx="267">
                  <c:v>-5.8581094869904149E-2</c:v>
                </c:pt>
                <c:pt idx="268">
                  <c:v>-6.2210622100487001E-2</c:v>
                </c:pt>
                <c:pt idx="269">
                  <c:v>-5.9866207611831257E-2</c:v>
                </c:pt>
                <c:pt idx="270">
                  <c:v>-5.7607416334070294E-2</c:v>
                </c:pt>
                <c:pt idx="271">
                  <c:v>-5.3727760964468629E-2</c:v>
                </c:pt>
                <c:pt idx="272">
                  <c:v>-5.3212437272826207E-2</c:v>
                </c:pt>
                <c:pt idx="273">
                  <c:v>-5.3548539530817507E-2</c:v>
                </c:pt>
                <c:pt idx="274">
                  <c:v>-5.4062608503441467E-2</c:v>
                </c:pt>
                <c:pt idx="275">
                  <c:v>-5.7512048230995205E-2</c:v>
                </c:pt>
                <c:pt idx="276">
                  <c:v>-5.7176650866272993E-2</c:v>
                </c:pt>
                <c:pt idx="277">
                  <c:v>-5.9434052244977664E-2</c:v>
                </c:pt>
                <c:pt idx="278">
                  <c:v>-5.9924210871393768E-2</c:v>
                </c:pt>
                <c:pt idx="279">
                  <c:v>-6.213204342066625E-2</c:v>
                </c:pt>
                <c:pt idx="280">
                  <c:v>-6.1397457573120207E-2</c:v>
                </c:pt>
                <c:pt idx="281">
                  <c:v>-6.3387996821536063E-2</c:v>
                </c:pt>
                <c:pt idx="282">
                  <c:v>-6.3841111367167969E-2</c:v>
                </c:pt>
                <c:pt idx="283">
                  <c:v>-6.0049324944367655E-2</c:v>
                </c:pt>
                <c:pt idx="284">
                  <c:v>-5.9458060291037285E-2</c:v>
                </c:pt>
                <c:pt idx="285">
                  <c:v>-6.085284842080263E-2</c:v>
                </c:pt>
                <c:pt idx="286">
                  <c:v>-6.3224327701595584E-2</c:v>
                </c:pt>
                <c:pt idx="287">
                  <c:v>-6.6971404989544681E-2</c:v>
                </c:pt>
                <c:pt idx="288">
                  <c:v>-7.1823493823806928E-2</c:v>
                </c:pt>
                <c:pt idx="289">
                  <c:v>-6.9893609229238152E-2</c:v>
                </c:pt>
                <c:pt idx="290">
                  <c:v>-6.546856085338959E-2</c:v>
                </c:pt>
                <c:pt idx="291">
                  <c:v>-6.5771089169762931E-2</c:v>
                </c:pt>
                <c:pt idx="292">
                  <c:v>-8.9203507144201666E-2</c:v>
                </c:pt>
                <c:pt idx="293">
                  <c:v>-0.1857813498293055</c:v>
                </c:pt>
                <c:pt idx="294">
                  <c:v>-0.10650183150306347</c:v>
                </c:pt>
                <c:pt idx="295">
                  <c:v>-9.8918006584703733E-2</c:v>
                </c:pt>
                <c:pt idx="296">
                  <c:v>-8.1690185364848844E-2</c:v>
                </c:pt>
                <c:pt idx="297">
                  <c:v>-5.3237920321642207E-2</c:v>
                </c:pt>
                <c:pt idx="298">
                  <c:v>-5.1605060281529447E-2</c:v>
                </c:pt>
                <c:pt idx="299">
                  <c:v>-4.8850497600826159E-2</c:v>
                </c:pt>
                <c:pt idx="300">
                  <c:v>-5.4408742896006501E-2</c:v>
                </c:pt>
                <c:pt idx="301">
                  <c:v>-5.3165687237404669E-2</c:v>
                </c:pt>
                <c:pt idx="302">
                  <c:v>-5.587486371986472E-2</c:v>
                </c:pt>
                <c:pt idx="303">
                  <c:v>-6.1453576115111375E-2</c:v>
                </c:pt>
                <c:pt idx="304">
                  <c:v>-5.773093967110654E-2</c:v>
                </c:pt>
                <c:pt idx="305">
                  <c:v>-6.1358267029977043E-2</c:v>
                </c:pt>
                <c:pt idx="306">
                  <c:v>-6.1580924518276348E-2</c:v>
                </c:pt>
                <c:pt idx="307">
                  <c:v>-6.200166998722878E-2</c:v>
                </c:pt>
                <c:pt idx="308">
                  <c:v>-6.530792672279162E-2</c:v>
                </c:pt>
                <c:pt idx="309">
                  <c:v>-6.3511201353223967E-2</c:v>
                </c:pt>
                <c:pt idx="310">
                  <c:v>-6.1218144727563484E-2</c:v>
                </c:pt>
                <c:pt idx="311">
                  <c:v>-5.852410555930021E-2</c:v>
                </c:pt>
                <c:pt idx="312">
                  <c:v>-6.3509996747638908E-2</c:v>
                </c:pt>
                <c:pt idx="313">
                  <c:v>-6.3996898413462233E-2</c:v>
                </c:pt>
                <c:pt idx="314">
                  <c:v>-6.2049812464424647E-2</c:v>
                </c:pt>
                <c:pt idx="315">
                  <c:v>-6.3335888700528642E-2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40-406A-A629-29DC368F8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030832"/>
        <c:axId val="739032752"/>
      </c:scatterChart>
      <c:valAx>
        <c:axId val="73903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9032752"/>
        <c:crosses val="autoZero"/>
        <c:crossBetween val="midCat"/>
      </c:valAx>
      <c:valAx>
        <c:axId val="739032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90308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Sheet4!$S$1</c:f>
              <c:strCache>
                <c:ptCount val="1"/>
                <c:pt idx="0">
                  <c:v>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Sheet4!$R$2:$R$317</c:f>
              <c:numCache>
                <c:formatCode>yyyy\-mm\-dd</c:formatCode>
                <c:ptCount val="316"/>
                <c:pt idx="0">
                  <c:v>17168</c:v>
                </c:pt>
                <c:pt idx="1">
                  <c:v>17258</c:v>
                </c:pt>
                <c:pt idx="2">
                  <c:v>17349</c:v>
                </c:pt>
                <c:pt idx="3">
                  <c:v>17441</c:v>
                </c:pt>
                <c:pt idx="4">
                  <c:v>17533</c:v>
                </c:pt>
                <c:pt idx="5">
                  <c:v>17624</c:v>
                </c:pt>
                <c:pt idx="6">
                  <c:v>17715</c:v>
                </c:pt>
                <c:pt idx="7">
                  <c:v>17807</c:v>
                </c:pt>
                <c:pt idx="8">
                  <c:v>17899</c:v>
                </c:pt>
                <c:pt idx="9">
                  <c:v>17989</c:v>
                </c:pt>
                <c:pt idx="10">
                  <c:v>18080</c:v>
                </c:pt>
                <c:pt idx="11">
                  <c:v>18172</c:v>
                </c:pt>
                <c:pt idx="12">
                  <c:v>18264</c:v>
                </c:pt>
                <c:pt idx="13">
                  <c:v>18354</c:v>
                </c:pt>
                <c:pt idx="14">
                  <c:v>18445</c:v>
                </c:pt>
                <c:pt idx="15">
                  <c:v>18537</c:v>
                </c:pt>
                <c:pt idx="16">
                  <c:v>18629</c:v>
                </c:pt>
                <c:pt idx="17">
                  <c:v>18719</c:v>
                </c:pt>
                <c:pt idx="18">
                  <c:v>18810</c:v>
                </c:pt>
                <c:pt idx="19">
                  <c:v>18902</c:v>
                </c:pt>
                <c:pt idx="20">
                  <c:v>18994</c:v>
                </c:pt>
                <c:pt idx="21">
                  <c:v>19085</c:v>
                </c:pt>
                <c:pt idx="22">
                  <c:v>19176</c:v>
                </c:pt>
                <c:pt idx="23">
                  <c:v>19268</c:v>
                </c:pt>
                <c:pt idx="24">
                  <c:v>19360</c:v>
                </c:pt>
                <c:pt idx="25">
                  <c:v>19450</c:v>
                </c:pt>
                <c:pt idx="26">
                  <c:v>19541</c:v>
                </c:pt>
                <c:pt idx="27">
                  <c:v>19633</c:v>
                </c:pt>
                <c:pt idx="28">
                  <c:v>19725</c:v>
                </c:pt>
                <c:pt idx="29">
                  <c:v>19815</c:v>
                </c:pt>
                <c:pt idx="30">
                  <c:v>19906</c:v>
                </c:pt>
                <c:pt idx="31">
                  <c:v>19998</c:v>
                </c:pt>
                <c:pt idx="32">
                  <c:v>20090</c:v>
                </c:pt>
                <c:pt idx="33">
                  <c:v>20180</c:v>
                </c:pt>
                <c:pt idx="34">
                  <c:v>20271</c:v>
                </c:pt>
                <c:pt idx="35">
                  <c:v>20363</c:v>
                </c:pt>
                <c:pt idx="36">
                  <c:v>20455</c:v>
                </c:pt>
                <c:pt idx="37">
                  <c:v>20546</c:v>
                </c:pt>
                <c:pt idx="38">
                  <c:v>20637</c:v>
                </c:pt>
                <c:pt idx="39">
                  <c:v>20729</c:v>
                </c:pt>
                <c:pt idx="40">
                  <c:v>20821</c:v>
                </c:pt>
                <c:pt idx="41">
                  <c:v>20911</c:v>
                </c:pt>
                <c:pt idx="42">
                  <c:v>21002</c:v>
                </c:pt>
                <c:pt idx="43">
                  <c:v>21094</c:v>
                </c:pt>
                <c:pt idx="44">
                  <c:v>21186</c:v>
                </c:pt>
                <c:pt idx="45">
                  <c:v>21276</c:v>
                </c:pt>
                <c:pt idx="46">
                  <c:v>21367</c:v>
                </c:pt>
                <c:pt idx="47">
                  <c:v>21459</c:v>
                </c:pt>
                <c:pt idx="48">
                  <c:v>21551</c:v>
                </c:pt>
                <c:pt idx="49">
                  <c:v>21641</c:v>
                </c:pt>
                <c:pt idx="50">
                  <c:v>21732</c:v>
                </c:pt>
                <c:pt idx="51">
                  <c:v>21824</c:v>
                </c:pt>
                <c:pt idx="52">
                  <c:v>21916</c:v>
                </c:pt>
                <c:pt idx="53">
                  <c:v>22007</c:v>
                </c:pt>
                <c:pt idx="54">
                  <c:v>22098</c:v>
                </c:pt>
                <c:pt idx="55">
                  <c:v>22190</c:v>
                </c:pt>
                <c:pt idx="56">
                  <c:v>22282</c:v>
                </c:pt>
                <c:pt idx="57">
                  <c:v>22372</c:v>
                </c:pt>
                <c:pt idx="58">
                  <c:v>22463</c:v>
                </c:pt>
                <c:pt idx="59">
                  <c:v>22555</c:v>
                </c:pt>
                <c:pt idx="60">
                  <c:v>22647</c:v>
                </c:pt>
                <c:pt idx="61">
                  <c:v>22737</c:v>
                </c:pt>
                <c:pt idx="62">
                  <c:v>22828</c:v>
                </c:pt>
                <c:pt idx="63">
                  <c:v>22920</c:v>
                </c:pt>
                <c:pt idx="64">
                  <c:v>23012</c:v>
                </c:pt>
                <c:pt idx="65">
                  <c:v>23102</c:v>
                </c:pt>
                <c:pt idx="66">
                  <c:v>23193</c:v>
                </c:pt>
                <c:pt idx="67">
                  <c:v>23285</c:v>
                </c:pt>
                <c:pt idx="68">
                  <c:v>23377</c:v>
                </c:pt>
                <c:pt idx="69">
                  <c:v>23468</c:v>
                </c:pt>
                <c:pt idx="70">
                  <c:v>23559</c:v>
                </c:pt>
                <c:pt idx="71">
                  <c:v>23651</c:v>
                </c:pt>
                <c:pt idx="72">
                  <c:v>23743</c:v>
                </c:pt>
                <c:pt idx="73">
                  <c:v>23833</c:v>
                </c:pt>
                <c:pt idx="74">
                  <c:v>23924</c:v>
                </c:pt>
                <c:pt idx="75">
                  <c:v>24016</c:v>
                </c:pt>
                <c:pt idx="76">
                  <c:v>24108</c:v>
                </c:pt>
                <c:pt idx="77">
                  <c:v>24198</c:v>
                </c:pt>
                <c:pt idx="78">
                  <c:v>24289</c:v>
                </c:pt>
                <c:pt idx="79">
                  <c:v>24381</c:v>
                </c:pt>
                <c:pt idx="80">
                  <c:v>24473</c:v>
                </c:pt>
                <c:pt idx="81">
                  <c:v>24563</c:v>
                </c:pt>
                <c:pt idx="82">
                  <c:v>24654</c:v>
                </c:pt>
                <c:pt idx="83">
                  <c:v>24746</c:v>
                </c:pt>
                <c:pt idx="84">
                  <c:v>24838</c:v>
                </c:pt>
                <c:pt idx="85">
                  <c:v>24929</c:v>
                </c:pt>
                <c:pt idx="86">
                  <c:v>25020</c:v>
                </c:pt>
                <c:pt idx="87">
                  <c:v>25112</c:v>
                </c:pt>
                <c:pt idx="88">
                  <c:v>25204</c:v>
                </c:pt>
                <c:pt idx="89">
                  <c:v>25294</c:v>
                </c:pt>
                <c:pt idx="90">
                  <c:v>25385</c:v>
                </c:pt>
                <c:pt idx="91">
                  <c:v>25477</c:v>
                </c:pt>
                <c:pt idx="92">
                  <c:v>25569</c:v>
                </c:pt>
                <c:pt idx="93">
                  <c:v>25659</c:v>
                </c:pt>
                <c:pt idx="94">
                  <c:v>25750</c:v>
                </c:pt>
                <c:pt idx="95">
                  <c:v>25842</c:v>
                </c:pt>
                <c:pt idx="96">
                  <c:v>25934</c:v>
                </c:pt>
                <c:pt idx="97">
                  <c:v>26024</c:v>
                </c:pt>
                <c:pt idx="98">
                  <c:v>26115</c:v>
                </c:pt>
                <c:pt idx="99">
                  <c:v>26207</c:v>
                </c:pt>
                <c:pt idx="100">
                  <c:v>26299</c:v>
                </c:pt>
                <c:pt idx="101">
                  <c:v>26390</c:v>
                </c:pt>
                <c:pt idx="102">
                  <c:v>26481</c:v>
                </c:pt>
                <c:pt idx="103">
                  <c:v>26573</c:v>
                </c:pt>
                <c:pt idx="104">
                  <c:v>26665</c:v>
                </c:pt>
                <c:pt idx="105">
                  <c:v>26755</c:v>
                </c:pt>
                <c:pt idx="106">
                  <c:v>26846</c:v>
                </c:pt>
                <c:pt idx="107">
                  <c:v>26938</c:v>
                </c:pt>
                <c:pt idx="108">
                  <c:v>27030</c:v>
                </c:pt>
                <c:pt idx="109">
                  <c:v>27120</c:v>
                </c:pt>
                <c:pt idx="110">
                  <c:v>27211</c:v>
                </c:pt>
                <c:pt idx="111">
                  <c:v>27303</c:v>
                </c:pt>
                <c:pt idx="112">
                  <c:v>27395</c:v>
                </c:pt>
                <c:pt idx="113">
                  <c:v>27485</c:v>
                </c:pt>
                <c:pt idx="114">
                  <c:v>27576</c:v>
                </c:pt>
                <c:pt idx="115">
                  <c:v>27668</c:v>
                </c:pt>
                <c:pt idx="116">
                  <c:v>27760</c:v>
                </c:pt>
                <c:pt idx="117">
                  <c:v>27851</c:v>
                </c:pt>
                <c:pt idx="118">
                  <c:v>27942</c:v>
                </c:pt>
                <c:pt idx="119">
                  <c:v>28034</c:v>
                </c:pt>
                <c:pt idx="120">
                  <c:v>28126</c:v>
                </c:pt>
                <c:pt idx="121">
                  <c:v>28216</c:v>
                </c:pt>
                <c:pt idx="122">
                  <c:v>28307</c:v>
                </c:pt>
                <c:pt idx="123">
                  <c:v>28399</c:v>
                </c:pt>
                <c:pt idx="124">
                  <c:v>28491</c:v>
                </c:pt>
                <c:pt idx="125">
                  <c:v>28581</c:v>
                </c:pt>
                <c:pt idx="126">
                  <c:v>28672</c:v>
                </c:pt>
                <c:pt idx="127">
                  <c:v>28764</c:v>
                </c:pt>
                <c:pt idx="128">
                  <c:v>28856</c:v>
                </c:pt>
                <c:pt idx="129">
                  <c:v>28946</c:v>
                </c:pt>
                <c:pt idx="130">
                  <c:v>29037</c:v>
                </c:pt>
                <c:pt idx="131">
                  <c:v>29129</c:v>
                </c:pt>
                <c:pt idx="132">
                  <c:v>29221</c:v>
                </c:pt>
                <c:pt idx="133">
                  <c:v>29312</c:v>
                </c:pt>
                <c:pt idx="134">
                  <c:v>29403</c:v>
                </c:pt>
                <c:pt idx="135">
                  <c:v>29495</c:v>
                </c:pt>
                <c:pt idx="136">
                  <c:v>29587</c:v>
                </c:pt>
                <c:pt idx="137">
                  <c:v>29677</c:v>
                </c:pt>
                <c:pt idx="138">
                  <c:v>29768</c:v>
                </c:pt>
                <c:pt idx="139">
                  <c:v>29860</c:v>
                </c:pt>
                <c:pt idx="140">
                  <c:v>29952</c:v>
                </c:pt>
                <c:pt idx="141">
                  <c:v>30042</c:v>
                </c:pt>
                <c:pt idx="142">
                  <c:v>30133</c:v>
                </c:pt>
                <c:pt idx="143">
                  <c:v>30225</c:v>
                </c:pt>
                <c:pt idx="144">
                  <c:v>30317</c:v>
                </c:pt>
                <c:pt idx="145">
                  <c:v>30407</c:v>
                </c:pt>
                <c:pt idx="146">
                  <c:v>30498</c:v>
                </c:pt>
                <c:pt idx="147">
                  <c:v>30590</c:v>
                </c:pt>
                <c:pt idx="148">
                  <c:v>30682</c:v>
                </c:pt>
                <c:pt idx="149">
                  <c:v>30773</c:v>
                </c:pt>
                <c:pt idx="150">
                  <c:v>30864</c:v>
                </c:pt>
                <c:pt idx="151">
                  <c:v>30956</c:v>
                </c:pt>
                <c:pt idx="152">
                  <c:v>31048</c:v>
                </c:pt>
                <c:pt idx="153">
                  <c:v>31138</c:v>
                </c:pt>
                <c:pt idx="154">
                  <c:v>31229</c:v>
                </c:pt>
                <c:pt idx="155">
                  <c:v>31321</c:v>
                </c:pt>
                <c:pt idx="156">
                  <c:v>31413</c:v>
                </c:pt>
                <c:pt idx="157">
                  <c:v>31503</c:v>
                </c:pt>
                <c:pt idx="158">
                  <c:v>31594</c:v>
                </c:pt>
                <c:pt idx="159">
                  <c:v>31686</c:v>
                </c:pt>
                <c:pt idx="160">
                  <c:v>31778</c:v>
                </c:pt>
                <c:pt idx="161">
                  <c:v>31868</c:v>
                </c:pt>
                <c:pt idx="162">
                  <c:v>31959</c:v>
                </c:pt>
                <c:pt idx="163">
                  <c:v>32051</c:v>
                </c:pt>
                <c:pt idx="164">
                  <c:v>32143</c:v>
                </c:pt>
                <c:pt idx="165">
                  <c:v>32234</c:v>
                </c:pt>
                <c:pt idx="166">
                  <c:v>32325</c:v>
                </c:pt>
                <c:pt idx="167">
                  <c:v>32417</c:v>
                </c:pt>
                <c:pt idx="168">
                  <c:v>32509</c:v>
                </c:pt>
                <c:pt idx="169">
                  <c:v>32599</c:v>
                </c:pt>
                <c:pt idx="170">
                  <c:v>32690</c:v>
                </c:pt>
                <c:pt idx="171">
                  <c:v>32782</c:v>
                </c:pt>
                <c:pt idx="172">
                  <c:v>32874</c:v>
                </c:pt>
                <c:pt idx="173">
                  <c:v>32964</c:v>
                </c:pt>
                <c:pt idx="174">
                  <c:v>33055</c:v>
                </c:pt>
                <c:pt idx="175">
                  <c:v>33147</c:v>
                </c:pt>
                <c:pt idx="176">
                  <c:v>33239</c:v>
                </c:pt>
                <c:pt idx="177">
                  <c:v>33329</c:v>
                </c:pt>
                <c:pt idx="178">
                  <c:v>33420</c:v>
                </c:pt>
                <c:pt idx="179">
                  <c:v>33512</c:v>
                </c:pt>
                <c:pt idx="180">
                  <c:v>33604</c:v>
                </c:pt>
                <c:pt idx="181">
                  <c:v>33695</c:v>
                </c:pt>
                <c:pt idx="182">
                  <c:v>33786</c:v>
                </c:pt>
                <c:pt idx="183">
                  <c:v>33878</c:v>
                </c:pt>
                <c:pt idx="184">
                  <c:v>33970</c:v>
                </c:pt>
                <c:pt idx="185">
                  <c:v>34060</c:v>
                </c:pt>
                <c:pt idx="186">
                  <c:v>34151</c:v>
                </c:pt>
                <c:pt idx="187">
                  <c:v>34243</c:v>
                </c:pt>
                <c:pt idx="188">
                  <c:v>34335</c:v>
                </c:pt>
                <c:pt idx="189">
                  <c:v>34425</c:v>
                </c:pt>
                <c:pt idx="190">
                  <c:v>34516</c:v>
                </c:pt>
                <c:pt idx="191">
                  <c:v>34608</c:v>
                </c:pt>
                <c:pt idx="192">
                  <c:v>34700</c:v>
                </c:pt>
                <c:pt idx="193">
                  <c:v>34790</c:v>
                </c:pt>
                <c:pt idx="194">
                  <c:v>34881</c:v>
                </c:pt>
                <c:pt idx="195">
                  <c:v>34973</c:v>
                </c:pt>
                <c:pt idx="196">
                  <c:v>35065</c:v>
                </c:pt>
                <c:pt idx="197">
                  <c:v>35156</c:v>
                </c:pt>
                <c:pt idx="198">
                  <c:v>35247</c:v>
                </c:pt>
                <c:pt idx="199">
                  <c:v>35339</c:v>
                </c:pt>
                <c:pt idx="200">
                  <c:v>35431</c:v>
                </c:pt>
                <c:pt idx="201">
                  <c:v>35521</c:v>
                </c:pt>
                <c:pt idx="202">
                  <c:v>35612</c:v>
                </c:pt>
                <c:pt idx="203">
                  <c:v>35704</c:v>
                </c:pt>
                <c:pt idx="204">
                  <c:v>35796</c:v>
                </c:pt>
                <c:pt idx="205">
                  <c:v>35886</c:v>
                </c:pt>
                <c:pt idx="206">
                  <c:v>35977</c:v>
                </c:pt>
                <c:pt idx="207">
                  <c:v>36069</c:v>
                </c:pt>
                <c:pt idx="208">
                  <c:v>36161</c:v>
                </c:pt>
                <c:pt idx="209">
                  <c:v>36251</c:v>
                </c:pt>
                <c:pt idx="210">
                  <c:v>36342</c:v>
                </c:pt>
                <c:pt idx="211">
                  <c:v>36434</c:v>
                </c:pt>
                <c:pt idx="212">
                  <c:v>36526</c:v>
                </c:pt>
                <c:pt idx="213">
                  <c:v>36617</c:v>
                </c:pt>
                <c:pt idx="214">
                  <c:v>36708</c:v>
                </c:pt>
                <c:pt idx="215">
                  <c:v>36800</c:v>
                </c:pt>
                <c:pt idx="216">
                  <c:v>36892</c:v>
                </c:pt>
                <c:pt idx="217">
                  <c:v>36982</c:v>
                </c:pt>
                <c:pt idx="218">
                  <c:v>37073</c:v>
                </c:pt>
                <c:pt idx="219">
                  <c:v>37165</c:v>
                </c:pt>
                <c:pt idx="220">
                  <c:v>37257</c:v>
                </c:pt>
                <c:pt idx="221">
                  <c:v>37347</c:v>
                </c:pt>
                <c:pt idx="222">
                  <c:v>37438</c:v>
                </c:pt>
                <c:pt idx="223">
                  <c:v>37530</c:v>
                </c:pt>
                <c:pt idx="224">
                  <c:v>37622</c:v>
                </c:pt>
                <c:pt idx="225">
                  <c:v>37712</c:v>
                </c:pt>
                <c:pt idx="226">
                  <c:v>37803</c:v>
                </c:pt>
                <c:pt idx="227">
                  <c:v>37895</c:v>
                </c:pt>
                <c:pt idx="228">
                  <c:v>37987</c:v>
                </c:pt>
                <c:pt idx="229">
                  <c:v>38078</c:v>
                </c:pt>
                <c:pt idx="230">
                  <c:v>38169</c:v>
                </c:pt>
                <c:pt idx="231">
                  <c:v>38261</c:v>
                </c:pt>
                <c:pt idx="232">
                  <c:v>38353</c:v>
                </c:pt>
                <c:pt idx="233">
                  <c:v>38443</c:v>
                </c:pt>
                <c:pt idx="234">
                  <c:v>38534</c:v>
                </c:pt>
                <c:pt idx="235">
                  <c:v>38626</c:v>
                </c:pt>
                <c:pt idx="236">
                  <c:v>38718</c:v>
                </c:pt>
                <c:pt idx="237">
                  <c:v>38808</c:v>
                </c:pt>
                <c:pt idx="238">
                  <c:v>38899</c:v>
                </c:pt>
                <c:pt idx="239">
                  <c:v>38991</c:v>
                </c:pt>
                <c:pt idx="240">
                  <c:v>39083</c:v>
                </c:pt>
                <c:pt idx="241">
                  <c:v>39173</c:v>
                </c:pt>
                <c:pt idx="242">
                  <c:v>39264</c:v>
                </c:pt>
                <c:pt idx="243">
                  <c:v>39356</c:v>
                </c:pt>
                <c:pt idx="244">
                  <c:v>39448</c:v>
                </c:pt>
                <c:pt idx="245">
                  <c:v>39539</c:v>
                </c:pt>
                <c:pt idx="246">
                  <c:v>39630</c:v>
                </c:pt>
                <c:pt idx="247">
                  <c:v>39722</c:v>
                </c:pt>
                <c:pt idx="248">
                  <c:v>39814</c:v>
                </c:pt>
                <c:pt idx="249">
                  <c:v>39904</c:v>
                </c:pt>
                <c:pt idx="250">
                  <c:v>39995</c:v>
                </c:pt>
                <c:pt idx="251">
                  <c:v>40087</c:v>
                </c:pt>
                <c:pt idx="252">
                  <c:v>40179</c:v>
                </c:pt>
                <c:pt idx="253">
                  <c:v>40269</c:v>
                </c:pt>
                <c:pt idx="254">
                  <c:v>40360</c:v>
                </c:pt>
                <c:pt idx="255">
                  <c:v>40452</c:v>
                </c:pt>
                <c:pt idx="256">
                  <c:v>40544</c:v>
                </c:pt>
                <c:pt idx="257">
                  <c:v>40634</c:v>
                </c:pt>
                <c:pt idx="258">
                  <c:v>40725</c:v>
                </c:pt>
                <c:pt idx="259">
                  <c:v>40817</c:v>
                </c:pt>
                <c:pt idx="260">
                  <c:v>40909</c:v>
                </c:pt>
                <c:pt idx="261">
                  <c:v>41000</c:v>
                </c:pt>
                <c:pt idx="262">
                  <c:v>41091</c:v>
                </c:pt>
                <c:pt idx="263">
                  <c:v>41183</c:v>
                </c:pt>
                <c:pt idx="264">
                  <c:v>41275</c:v>
                </c:pt>
                <c:pt idx="265">
                  <c:v>41365</c:v>
                </c:pt>
                <c:pt idx="266">
                  <c:v>41456</c:v>
                </c:pt>
                <c:pt idx="267">
                  <c:v>41548</c:v>
                </c:pt>
                <c:pt idx="268">
                  <c:v>41640</c:v>
                </c:pt>
                <c:pt idx="269">
                  <c:v>41730</c:v>
                </c:pt>
                <c:pt idx="270">
                  <c:v>41821</c:v>
                </c:pt>
                <c:pt idx="271">
                  <c:v>41913</c:v>
                </c:pt>
                <c:pt idx="272">
                  <c:v>42005</c:v>
                </c:pt>
                <c:pt idx="273">
                  <c:v>42095</c:v>
                </c:pt>
                <c:pt idx="274">
                  <c:v>42186</c:v>
                </c:pt>
                <c:pt idx="275">
                  <c:v>42278</c:v>
                </c:pt>
                <c:pt idx="276">
                  <c:v>42370</c:v>
                </c:pt>
                <c:pt idx="277">
                  <c:v>42461</c:v>
                </c:pt>
                <c:pt idx="278">
                  <c:v>42552</c:v>
                </c:pt>
                <c:pt idx="279">
                  <c:v>42644</c:v>
                </c:pt>
                <c:pt idx="280">
                  <c:v>42736</c:v>
                </c:pt>
                <c:pt idx="281">
                  <c:v>42826</c:v>
                </c:pt>
                <c:pt idx="282">
                  <c:v>42917</c:v>
                </c:pt>
                <c:pt idx="283">
                  <c:v>43009</c:v>
                </c:pt>
                <c:pt idx="284">
                  <c:v>43101</c:v>
                </c:pt>
                <c:pt idx="285">
                  <c:v>43191</c:v>
                </c:pt>
                <c:pt idx="286">
                  <c:v>43282</c:v>
                </c:pt>
                <c:pt idx="287">
                  <c:v>43374</c:v>
                </c:pt>
                <c:pt idx="288">
                  <c:v>43466</c:v>
                </c:pt>
                <c:pt idx="289">
                  <c:v>43556</c:v>
                </c:pt>
                <c:pt idx="290">
                  <c:v>43647</c:v>
                </c:pt>
                <c:pt idx="291">
                  <c:v>43739</c:v>
                </c:pt>
                <c:pt idx="292">
                  <c:v>43831</c:v>
                </c:pt>
                <c:pt idx="293">
                  <c:v>43922</c:v>
                </c:pt>
                <c:pt idx="294">
                  <c:v>44013</c:v>
                </c:pt>
                <c:pt idx="295">
                  <c:v>44105</c:v>
                </c:pt>
                <c:pt idx="296">
                  <c:v>44197</c:v>
                </c:pt>
                <c:pt idx="297">
                  <c:v>44287</c:v>
                </c:pt>
                <c:pt idx="298">
                  <c:v>44378</c:v>
                </c:pt>
                <c:pt idx="299">
                  <c:v>44470</c:v>
                </c:pt>
                <c:pt idx="300">
                  <c:v>44562</c:v>
                </c:pt>
                <c:pt idx="301">
                  <c:v>44652</c:v>
                </c:pt>
                <c:pt idx="302">
                  <c:v>44743</c:v>
                </c:pt>
                <c:pt idx="303">
                  <c:v>44835</c:v>
                </c:pt>
                <c:pt idx="304">
                  <c:v>44927</c:v>
                </c:pt>
                <c:pt idx="305">
                  <c:v>45017</c:v>
                </c:pt>
                <c:pt idx="306">
                  <c:v>45108</c:v>
                </c:pt>
                <c:pt idx="307">
                  <c:v>45200</c:v>
                </c:pt>
                <c:pt idx="308">
                  <c:v>45292</c:v>
                </c:pt>
                <c:pt idx="309">
                  <c:v>45383</c:v>
                </c:pt>
                <c:pt idx="310">
                  <c:v>45474</c:v>
                </c:pt>
                <c:pt idx="311">
                  <c:v>45566</c:v>
                </c:pt>
                <c:pt idx="312">
                  <c:v>45658</c:v>
                </c:pt>
                <c:pt idx="313">
                  <c:v>45748</c:v>
                </c:pt>
                <c:pt idx="314">
                  <c:v>45839</c:v>
                </c:pt>
                <c:pt idx="315">
                  <c:v>45931</c:v>
                </c:pt>
              </c:numCache>
            </c:numRef>
          </c:cat>
          <c:val>
            <c:numRef>
              <c:f>Sheet4!$S$2:$S$317</c:f>
              <c:numCache>
                <c:formatCode>General</c:formatCode>
                <c:ptCount val="316"/>
                <c:pt idx="0">
                  <c:v>-1.2184868826690121E-3</c:v>
                </c:pt>
                <c:pt idx="1">
                  <c:v>5.3805033888885134E-3</c:v>
                </c:pt>
                <c:pt idx="2">
                  <c:v>-1.3846478797319151E-3</c:v>
                </c:pt>
                <c:pt idx="3">
                  <c:v>-1.1094379419333222E-2</c:v>
                </c:pt>
                <c:pt idx="4">
                  <c:v>-1.5551239756947055E-2</c:v>
                </c:pt>
                <c:pt idx="5">
                  <c:v>-1.3412458523616166E-2</c:v>
                </c:pt>
                <c:pt idx="6">
                  <c:v>-2.1637899962609453E-2</c:v>
                </c:pt>
                <c:pt idx="7">
                  <c:v>-2.3698144230284157E-2</c:v>
                </c:pt>
                <c:pt idx="8">
                  <c:v>-3.1922111932134456E-2</c:v>
                </c:pt>
                <c:pt idx="9">
                  <c:v>-2.6092056824507992E-2</c:v>
                </c:pt>
                <c:pt idx="10">
                  <c:v>-3.3462917297796935E-2</c:v>
                </c:pt>
                <c:pt idx="11">
                  <c:v>-2.8863936585027616E-2</c:v>
                </c:pt>
                <c:pt idx="12">
                  <c:v>-2.192870580161177E-2</c:v>
                </c:pt>
                <c:pt idx="13">
                  <c:v>-1.4543329424929752E-2</c:v>
                </c:pt>
                <c:pt idx="14">
                  <c:v>2.5913301381667253E-2</c:v>
                </c:pt>
                <c:pt idx="15">
                  <c:v>-1.460217964168109E-2</c:v>
                </c:pt>
                <c:pt idx="16">
                  <c:v>-3.041693949086266E-4</c:v>
                </c:pt>
                <c:pt idx="17">
                  <c:v>-3.8361799366828819E-2</c:v>
                </c:pt>
                <c:pt idx="18">
                  <c:v>-3.677034808592694E-2</c:v>
                </c:pt>
                <c:pt idx="19">
                  <c:v>-4.1079228945456236E-2</c:v>
                </c:pt>
                <c:pt idx="20">
                  <c:v>-4.8275024790738641E-2</c:v>
                </c:pt>
                <c:pt idx="21">
                  <c:v>-3.8154588879530493E-2</c:v>
                </c:pt>
                <c:pt idx="22">
                  <c:v>-4.3067808997548696E-2</c:v>
                </c:pt>
                <c:pt idx="23">
                  <c:v>-1.8428177226644138E-2</c:v>
                </c:pt>
                <c:pt idx="24">
                  <c:v>-1.5869730525585268E-2</c:v>
                </c:pt>
                <c:pt idx="25">
                  <c:v>-1.8915920359100724E-2</c:v>
                </c:pt>
                <c:pt idx="26">
                  <c:v>-3.1313958466023806E-2</c:v>
                </c:pt>
                <c:pt idx="27">
                  <c:v>-4.806893190859185E-2</c:v>
                </c:pt>
                <c:pt idx="28">
                  <c:v>-5.4144365399125149E-2</c:v>
                </c:pt>
                <c:pt idx="29">
                  <c:v>-5.065994818287578E-2</c:v>
                </c:pt>
                <c:pt idx="30">
                  <c:v>-4.725383379837389E-2</c:v>
                </c:pt>
                <c:pt idx="31">
                  <c:v>-3.675149050027926E-2</c:v>
                </c:pt>
                <c:pt idx="32">
                  <c:v>-2.4125062653437723E-2</c:v>
                </c:pt>
                <c:pt idx="33">
                  <c:v>-1.4508555043603266E-2</c:v>
                </c:pt>
                <c:pt idx="34">
                  <c:v>-1.2218513740505088E-2</c:v>
                </c:pt>
                <c:pt idx="35">
                  <c:v>-9.9872141404233616E-3</c:v>
                </c:pt>
                <c:pt idx="36">
                  <c:v>-1.7870308106052946E-2</c:v>
                </c:pt>
                <c:pt idx="37">
                  <c:v>-2.398352317419139E-2</c:v>
                </c:pt>
                <c:pt idx="38">
                  <c:v>-3.1785606060147131E-2</c:v>
                </c:pt>
                <c:pt idx="39">
                  <c:v>-2.8511290182894555E-2</c:v>
                </c:pt>
                <c:pt idx="40">
                  <c:v>-3.1449312682585884E-2</c:v>
                </c:pt>
                <c:pt idx="41">
                  <c:v>-3.9230487538423731E-2</c:v>
                </c:pt>
                <c:pt idx="42">
                  <c:v>-4.1201821604698097E-2</c:v>
                </c:pt>
                <c:pt idx="43">
                  <c:v>-5.0743378496438396E-2</c:v>
                </c:pt>
                <c:pt idx="44">
                  <c:v>-7.3859239534163734E-2</c:v>
                </c:pt>
                <c:pt idx="45">
                  <c:v>-7.4872428854435569E-2</c:v>
                </c:pt>
                <c:pt idx="46">
                  <c:v>-6.8101968852360528E-2</c:v>
                </c:pt>
                <c:pt idx="47">
                  <c:v>-6.4624518385317131E-2</c:v>
                </c:pt>
                <c:pt idx="48">
                  <c:v>-5.6204897003830467E-2</c:v>
                </c:pt>
                <c:pt idx="49">
                  <c:v>-5.0105317512239012E-2</c:v>
                </c:pt>
                <c:pt idx="50">
                  <c:v>-4.9382362272577751E-2</c:v>
                </c:pt>
                <c:pt idx="51">
                  <c:v>-5.809997723289051E-2</c:v>
                </c:pt>
                <c:pt idx="52">
                  <c:v>-5.9850453041645935E-2</c:v>
                </c:pt>
                <c:pt idx="53">
                  <c:v>-5.8745510084555974E-2</c:v>
                </c:pt>
                <c:pt idx="54">
                  <c:v>-7.312013785091942E-2</c:v>
                </c:pt>
                <c:pt idx="55">
                  <c:v>-8.1162679384320313E-2</c:v>
                </c:pt>
                <c:pt idx="56">
                  <c:v>-9.0323836721426076E-2</c:v>
                </c:pt>
                <c:pt idx="57">
                  <c:v>-8.483564661104559E-2</c:v>
                </c:pt>
                <c:pt idx="58">
                  <c:v>-8.9562508304576127E-2</c:v>
                </c:pt>
                <c:pt idx="59">
                  <c:v>-7.9274656608369298E-2</c:v>
                </c:pt>
                <c:pt idx="60">
                  <c:v>-7.7709089789031793E-2</c:v>
                </c:pt>
                <c:pt idx="61">
                  <c:v>-7.4386998928124726E-2</c:v>
                </c:pt>
                <c:pt idx="62">
                  <c:v>-7.5619406221093755E-2</c:v>
                </c:pt>
                <c:pt idx="63">
                  <c:v>-7.1033967407165832E-2</c:v>
                </c:pt>
                <c:pt idx="64">
                  <c:v>-7.2727367970163215E-2</c:v>
                </c:pt>
                <c:pt idx="65">
                  <c:v>-7.1951005695629178E-2</c:v>
                </c:pt>
                <c:pt idx="66">
                  <c:v>-6.7719703202046233E-2</c:v>
                </c:pt>
                <c:pt idx="67">
                  <c:v>-6.8695449065870662E-2</c:v>
                </c:pt>
                <c:pt idx="68">
                  <c:v>-5.7744447744465077E-2</c:v>
                </c:pt>
                <c:pt idx="69">
                  <c:v>-4.8814832247586537E-2</c:v>
                </c:pt>
                <c:pt idx="70">
                  <c:v>-3.9559837041801771E-2</c:v>
                </c:pt>
                <c:pt idx="71">
                  <c:v>-4.5642327558283569E-2</c:v>
                </c:pt>
                <c:pt idx="72">
                  <c:v>-3.1693216838666771E-2</c:v>
                </c:pt>
                <c:pt idx="73">
                  <c:v>-2.8842742015608991E-2</c:v>
                </c:pt>
                <c:pt idx="74">
                  <c:v>-2.0614983707469392E-2</c:v>
                </c:pt>
                <c:pt idx="75">
                  <c:v>-1.488525341653002E-3</c:v>
                </c:pt>
                <c:pt idx="76">
                  <c:v>5.2555401825955528E-3</c:v>
                </c:pt>
                <c:pt idx="77">
                  <c:v>-2.1793633487909858E-4</c:v>
                </c:pt>
                <c:pt idx="78">
                  <c:v>2.7192946308307597E-3</c:v>
                </c:pt>
                <c:pt idx="79">
                  <c:v>-1.6466468339544349E-3</c:v>
                </c:pt>
                <c:pt idx="80">
                  <c:v>-3.7367803609171801E-3</c:v>
                </c:pt>
                <c:pt idx="81">
                  <c:v>1.9623875867971208E-3</c:v>
                </c:pt>
                <c:pt idx="82">
                  <c:v>-1.1266348235814405E-3</c:v>
                </c:pt>
                <c:pt idx="83">
                  <c:v>-3.2038808730092683E-3</c:v>
                </c:pt>
                <c:pt idx="84">
                  <c:v>1.2914505466676829E-2</c:v>
                </c:pt>
                <c:pt idx="85">
                  <c:v>2.0362354362532642E-2</c:v>
                </c:pt>
                <c:pt idx="86">
                  <c:v>3.0810366621533802E-2</c:v>
                </c:pt>
                <c:pt idx="87">
                  <c:v>2.7209764551651361E-2</c:v>
                </c:pt>
                <c:pt idx="88">
                  <c:v>3.0773030532877499E-2</c:v>
                </c:pt>
                <c:pt idx="89">
                  <c:v>2.9505399791780462E-2</c:v>
                </c:pt>
                <c:pt idx="90">
                  <c:v>2.613166145771828E-2</c:v>
                </c:pt>
                <c:pt idx="91">
                  <c:v>2.5784881576393914E-2</c:v>
                </c:pt>
                <c:pt idx="92">
                  <c:v>2.4094349072390386E-2</c:v>
                </c:pt>
                <c:pt idx="93">
                  <c:v>2.0134440034823342E-2</c:v>
                </c:pt>
                <c:pt idx="94">
                  <c:v>2.0048423370230495E-2</c:v>
                </c:pt>
                <c:pt idx="95">
                  <c:v>8.4485094503872205E-3</c:v>
                </c:pt>
                <c:pt idx="96">
                  <c:v>1.8989361883638978E-2</c:v>
                </c:pt>
                <c:pt idx="97">
                  <c:v>1.9868424392834427E-2</c:v>
                </c:pt>
                <c:pt idx="98">
                  <c:v>1.9303808630738217E-2</c:v>
                </c:pt>
                <c:pt idx="99">
                  <c:v>2.7253892406310598E-2</c:v>
                </c:pt>
                <c:pt idx="100">
                  <c:v>3.258526939982076E-2</c:v>
                </c:pt>
                <c:pt idx="101">
                  <c:v>4.368742090979616E-2</c:v>
                </c:pt>
                <c:pt idx="102">
                  <c:v>5.0993799400949058E-2</c:v>
                </c:pt>
                <c:pt idx="103">
                  <c:v>6.6118362534588471E-2</c:v>
                </c:pt>
                <c:pt idx="104">
                  <c:v>7.6649255104543457E-2</c:v>
                </c:pt>
                <c:pt idx="105">
                  <c:v>6.8560708742667842E-2</c:v>
                </c:pt>
                <c:pt idx="106">
                  <c:v>6.4220649523440088E-2</c:v>
                </c:pt>
                <c:pt idx="107">
                  <c:v>5.337500754217217E-2</c:v>
                </c:pt>
                <c:pt idx="108">
                  <c:v>3.6940867435250269E-2</c:v>
                </c:pt>
                <c:pt idx="109">
                  <c:v>3.2958166343014739E-2</c:v>
                </c:pt>
                <c:pt idx="110">
                  <c:v>2.9313700722227054E-2</c:v>
                </c:pt>
                <c:pt idx="111">
                  <c:v>6.6386311006869647E-3</c:v>
                </c:pt>
                <c:pt idx="112">
                  <c:v>7.5604459321372275E-3</c:v>
                </c:pt>
                <c:pt idx="113">
                  <c:v>1.6046668084470639E-2</c:v>
                </c:pt>
                <c:pt idx="114">
                  <c:v>2.1830106925490256E-2</c:v>
                </c:pt>
                <c:pt idx="115">
                  <c:v>2.4499742007636272E-2</c:v>
                </c:pt>
                <c:pt idx="116">
                  <c:v>3.6740183009023042E-2</c:v>
                </c:pt>
                <c:pt idx="117">
                  <c:v>3.8394460949922049E-2</c:v>
                </c:pt>
                <c:pt idx="118">
                  <c:v>4.0912147309818181E-2</c:v>
                </c:pt>
                <c:pt idx="119">
                  <c:v>4.5708005037900179E-2</c:v>
                </c:pt>
                <c:pt idx="120">
                  <c:v>4.9716905097444197E-2</c:v>
                </c:pt>
                <c:pt idx="121">
                  <c:v>4.7308733406943304E-2</c:v>
                </c:pt>
                <c:pt idx="122">
                  <c:v>4.8495034744604482E-2</c:v>
                </c:pt>
                <c:pt idx="123">
                  <c:v>5.5215854932420427E-2</c:v>
                </c:pt>
                <c:pt idx="124">
                  <c:v>5.3051501464194573E-2</c:v>
                </c:pt>
                <c:pt idx="125">
                  <c:v>6.6261998071555084E-2</c:v>
                </c:pt>
                <c:pt idx="126">
                  <c:v>6.2117224332885357E-2</c:v>
                </c:pt>
                <c:pt idx="127">
                  <c:v>6.1833522721940426E-2</c:v>
                </c:pt>
                <c:pt idx="128">
                  <c:v>5.9079909854219181E-2</c:v>
                </c:pt>
                <c:pt idx="129">
                  <c:v>5.0425169727054353E-2</c:v>
                </c:pt>
                <c:pt idx="130">
                  <c:v>5.1662382268130358E-2</c:v>
                </c:pt>
                <c:pt idx="131">
                  <c:v>4.5661330014953094E-2</c:v>
                </c:pt>
                <c:pt idx="132">
                  <c:v>3.6016020190274389E-2</c:v>
                </c:pt>
                <c:pt idx="133">
                  <c:v>5.0342021983702523E-3</c:v>
                </c:pt>
                <c:pt idx="134">
                  <c:v>7.5510514508358995E-3</c:v>
                </c:pt>
                <c:pt idx="135">
                  <c:v>1.2829664487911785E-2</c:v>
                </c:pt>
                <c:pt idx="136">
                  <c:v>8.73442343863573E-3</c:v>
                </c:pt>
                <c:pt idx="137">
                  <c:v>1.1658583482461182E-3</c:v>
                </c:pt>
                <c:pt idx="138">
                  <c:v>-2.3747335885744292E-3</c:v>
                </c:pt>
                <c:pt idx="139">
                  <c:v>-1.7230328241653936E-2</c:v>
                </c:pt>
                <c:pt idx="140">
                  <c:v>-1.7416826000488328E-2</c:v>
                </c:pt>
                <c:pt idx="141">
                  <c:v>-2.2012507434828521E-2</c:v>
                </c:pt>
                <c:pt idx="142">
                  <c:v>-2.3285407963093974E-2</c:v>
                </c:pt>
                <c:pt idx="143">
                  <c:v>-1.3769768917649472E-2</c:v>
                </c:pt>
                <c:pt idx="144">
                  <c:v>-1.137863952413376E-2</c:v>
                </c:pt>
                <c:pt idx="145">
                  <c:v>1.3335879484603907E-3</c:v>
                </c:pt>
                <c:pt idx="146">
                  <c:v>1.1255143760388719E-2</c:v>
                </c:pt>
                <c:pt idx="147">
                  <c:v>1.9305533428903843E-2</c:v>
                </c:pt>
                <c:pt idx="148">
                  <c:v>2.0258796667551593E-2</c:v>
                </c:pt>
                <c:pt idx="149">
                  <c:v>2.6712596287024937E-2</c:v>
                </c:pt>
                <c:pt idx="150">
                  <c:v>2.6269425512914779E-2</c:v>
                </c:pt>
                <c:pt idx="151">
                  <c:v>3.1303158708618994E-2</c:v>
                </c:pt>
                <c:pt idx="152">
                  <c:v>4.0929911298778876E-2</c:v>
                </c:pt>
                <c:pt idx="153">
                  <c:v>4.2514130433458419E-2</c:v>
                </c:pt>
                <c:pt idx="154">
                  <c:v>5.338813968714895E-2</c:v>
                </c:pt>
                <c:pt idx="155">
                  <c:v>4.7635297002129207E-2</c:v>
                </c:pt>
                <c:pt idx="156">
                  <c:v>4.8975023582755739E-2</c:v>
                </c:pt>
                <c:pt idx="157">
                  <c:v>5.229182642653285E-2</c:v>
                </c:pt>
                <c:pt idx="158">
                  <c:v>6.1947193638710374E-2</c:v>
                </c:pt>
                <c:pt idx="159">
                  <c:v>6.0262560446629365E-2</c:v>
                </c:pt>
                <c:pt idx="160">
                  <c:v>5.3845965027784715E-2</c:v>
                </c:pt>
                <c:pt idx="161">
                  <c:v>5.9862342974037475E-2</c:v>
                </c:pt>
                <c:pt idx="162">
                  <c:v>6.335278186279325E-2</c:v>
                </c:pt>
                <c:pt idx="163">
                  <c:v>5.7576638589640794E-2</c:v>
                </c:pt>
                <c:pt idx="164">
                  <c:v>6.769815885876973E-2</c:v>
                </c:pt>
                <c:pt idx="165">
                  <c:v>6.7578613725791215E-2</c:v>
                </c:pt>
                <c:pt idx="166">
                  <c:v>6.8398684150700717E-2</c:v>
                </c:pt>
                <c:pt idx="167">
                  <c:v>7.1819415963632949E-2</c:v>
                </c:pt>
                <c:pt idx="168">
                  <c:v>6.904794547547155E-2</c:v>
                </c:pt>
                <c:pt idx="169">
                  <c:v>6.6031185618591337E-2</c:v>
                </c:pt>
                <c:pt idx="170">
                  <c:v>6.7517529829496326E-2</c:v>
                </c:pt>
                <c:pt idx="171">
                  <c:v>6.3730473133698951E-2</c:v>
                </c:pt>
                <c:pt idx="172">
                  <c:v>6.445407007791637E-2</c:v>
                </c:pt>
                <c:pt idx="173">
                  <c:v>5.8972071672524606E-2</c:v>
                </c:pt>
                <c:pt idx="174">
                  <c:v>5.3999062660897934E-2</c:v>
                </c:pt>
                <c:pt idx="175">
                  <c:v>3.741636378049229E-2</c:v>
                </c:pt>
                <c:pt idx="176">
                  <c:v>2.5141168772560007E-2</c:v>
                </c:pt>
                <c:pt idx="177">
                  <c:v>2.4826152974963378E-2</c:v>
                </c:pt>
                <c:pt idx="178">
                  <c:v>2.0849006070116971E-2</c:v>
                </c:pt>
                <c:pt idx="179">
                  <c:v>1.1517450326611112E-2</c:v>
                </c:pt>
                <c:pt idx="180">
                  <c:v>2.1733540540083141E-2</c:v>
                </c:pt>
                <c:pt idx="181">
                  <c:v>1.9729030932673197E-2</c:v>
                </c:pt>
                <c:pt idx="182">
                  <c:v>2.1321647456948867E-2</c:v>
                </c:pt>
                <c:pt idx="183">
                  <c:v>2.4287830316993109E-2</c:v>
                </c:pt>
                <c:pt idx="184">
                  <c:v>1.9767185812572308E-2</c:v>
                </c:pt>
                <c:pt idx="185">
                  <c:v>2.0408593758045157E-2</c:v>
                </c:pt>
                <c:pt idx="186">
                  <c:v>2.2642743997431936E-2</c:v>
                </c:pt>
                <c:pt idx="187">
                  <c:v>2.2788236699399889E-2</c:v>
                </c:pt>
                <c:pt idx="188">
                  <c:v>2.6080262996654113E-2</c:v>
                </c:pt>
                <c:pt idx="189">
                  <c:v>2.5479182722786931E-2</c:v>
                </c:pt>
                <c:pt idx="190">
                  <c:v>2.4448470776224696E-2</c:v>
                </c:pt>
                <c:pt idx="191">
                  <c:v>2.6743511251156704E-2</c:v>
                </c:pt>
                <c:pt idx="192">
                  <c:v>2.1156340975027277E-2</c:v>
                </c:pt>
                <c:pt idx="193">
                  <c:v>2.164417858089962E-2</c:v>
                </c:pt>
                <c:pt idx="194">
                  <c:v>2.2061236114410576E-2</c:v>
                </c:pt>
                <c:pt idx="195">
                  <c:v>2.05313542532366E-2</c:v>
                </c:pt>
                <c:pt idx="196">
                  <c:v>2.1826056450217735E-2</c:v>
                </c:pt>
                <c:pt idx="197">
                  <c:v>2.4252093475546133E-2</c:v>
                </c:pt>
                <c:pt idx="198">
                  <c:v>2.1657852943301137E-2</c:v>
                </c:pt>
                <c:pt idx="199">
                  <c:v>2.1001577207195865E-2</c:v>
                </c:pt>
                <c:pt idx="200">
                  <c:v>2.3413736915539829E-2</c:v>
                </c:pt>
                <c:pt idx="201">
                  <c:v>1.965695466748052E-2</c:v>
                </c:pt>
                <c:pt idx="202">
                  <c:v>2.7849936559547928E-2</c:v>
                </c:pt>
                <c:pt idx="203">
                  <c:v>3.1180836868081485E-2</c:v>
                </c:pt>
                <c:pt idx="204">
                  <c:v>3.3281369876128508E-2</c:v>
                </c:pt>
                <c:pt idx="205">
                  <c:v>4.2618810567823573E-2</c:v>
                </c:pt>
                <c:pt idx="206">
                  <c:v>4.7044774376633569E-2</c:v>
                </c:pt>
                <c:pt idx="207">
                  <c:v>5.2949962848932941E-2</c:v>
                </c:pt>
                <c:pt idx="208">
                  <c:v>5.5253701129762689E-2</c:v>
                </c:pt>
                <c:pt idx="209">
                  <c:v>6.2297441966530087E-2</c:v>
                </c:pt>
                <c:pt idx="210">
                  <c:v>6.4894316004270536E-2</c:v>
                </c:pt>
                <c:pt idx="211">
                  <c:v>7.1026177606489327E-2</c:v>
                </c:pt>
                <c:pt idx="212">
                  <c:v>7.8085083086692819E-2</c:v>
                </c:pt>
                <c:pt idx="213">
                  <c:v>7.9504192102373139E-2</c:v>
                </c:pt>
                <c:pt idx="214">
                  <c:v>8.090776385090237E-2</c:v>
                </c:pt>
                <c:pt idx="215">
                  <c:v>8.1563780376576744E-2</c:v>
                </c:pt>
                <c:pt idx="216">
                  <c:v>7.7501726935203408E-2</c:v>
                </c:pt>
                <c:pt idx="217">
                  <c:v>7.1732326402241142E-2</c:v>
                </c:pt>
                <c:pt idx="218">
                  <c:v>6.7212239884582914E-2</c:v>
                </c:pt>
                <c:pt idx="219">
                  <c:v>7.527015552435401E-2</c:v>
                </c:pt>
                <c:pt idx="220">
                  <c:v>6.9896522479542256E-2</c:v>
                </c:pt>
                <c:pt idx="221">
                  <c:v>6.7313294951162561E-2</c:v>
                </c:pt>
                <c:pt idx="222">
                  <c:v>6.6364097797107391E-2</c:v>
                </c:pt>
                <c:pt idx="223">
                  <c:v>6.4057870163198416E-2</c:v>
                </c:pt>
                <c:pt idx="224">
                  <c:v>6.1475233367618287E-2</c:v>
                </c:pt>
                <c:pt idx="225">
                  <c:v>6.5251480498792702E-2</c:v>
                </c:pt>
                <c:pt idx="226">
                  <c:v>7.1416052229682947E-2</c:v>
                </c:pt>
                <c:pt idx="227">
                  <c:v>7.0475241574280645E-2</c:v>
                </c:pt>
                <c:pt idx="228">
                  <c:v>7.2417862470381067E-2</c:v>
                </c:pt>
                <c:pt idx="229">
                  <c:v>7.0252424517486034E-2</c:v>
                </c:pt>
                <c:pt idx="230">
                  <c:v>7.4047549936928192E-2</c:v>
                </c:pt>
                <c:pt idx="231">
                  <c:v>7.7421673612397157E-2</c:v>
                </c:pt>
                <c:pt idx="232">
                  <c:v>7.6224274907270129E-2</c:v>
                </c:pt>
                <c:pt idx="233">
                  <c:v>7.9707560555876356E-2</c:v>
                </c:pt>
                <c:pt idx="234">
                  <c:v>8.0028690520469681E-2</c:v>
                </c:pt>
                <c:pt idx="235">
                  <c:v>7.3962940860468507E-2</c:v>
                </c:pt>
                <c:pt idx="236">
                  <c:v>7.7214230347081525E-2</c:v>
                </c:pt>
                <c:pt idx="237">
                  <c:v>7.4733529917512698E-2</c:v>
                </c:pt>
                <c:pt idx="238">
                  <c:v>7.3141452010540675E-2</c:v>
                </c:pt>
                <c:pt idx="239">
                  <c:v>7.4670208115884762E-2</c:v>
                </c:pt>
                <c:pt idx="240">
                  <c:v>7.3198768769813682E-2</c:v>
                </c:pt>
                <c:pt idx="241">
                  <c:v>6.8171341161010091E-2</c:v>
                </c:pt>
                <c:pt idx="242">
                  <c:v>6.6843607354263312E-2</c:v>
                </c:pt>
                <c:pt idx="243">
                  <c:v>6.2830524330101056E-2</c:v>
                </c:pt>
                <c:pt idx="244">
                  <c:v>5.3866263245341273E-2</c:v>
                </c:pt>
                <c:pt idx="245">
                  <c:v>4.9025623008175145E-2</c:v>
                </c:pt>
                <c:pt idx="246">
                  <c:v>3.3438390337730439E-2</c:v>
                </c:pt>
                <c:pt idx="247">
                  <c:v>1.6651454482623507E-2</c:v>
                </c:pt>
                <c:pt idx="248">
                  <c:v>6.690956791727487E-3</c:v>
                </c:pt>
                <c:pt idx="249">
                  <c:v>-5.6979398181429275E-3</c:v>
                </c:pt>
                <c:pt idx="250">
                  <c:v>-6.7060090154047458E-3</c:v>
                </c:pt>
                <c:pt idx="251">
                  <c:v>-1.5508374931787472E-2</c:v>
                </c:pt>
                <c:pt idx="252">
                  <c:v>-1.7127259316705334E-2</c:v>
                </c:pt>
                <c:pt idx="253">
                  <c:v>-1.552416561066039E-2</c:v>
                </c:pt>
                <c:pt idx="254">
                  <c:v>-1.5929542942176411E-2</c:v>
                </c:pt>
                <c:pt idx="255">
                  <c:v>-1.7390483334370543E-2</c:v>
                </c:pt>
                <c:pt idx="256">
                  <c:v>-2.0760899101832209E-2</c:v>
                </c:pt>
                <c:pt idx="257">
                  <c:v>-2.6950285389707673E-2</c:v>
                </c:pt>
                <c:pt idx="258">
                  <c:v>-3.1459935684702955E-2</c:v>
                </c:pt>
                <c:pt idx="259">
                  <c:v>-3.7215714729507354E-2</c:v>
                </c:pt>
                <c:pt idx="260">
                  <c:v>-3.7216167341425077E-2</c:v>
                </c:pt>
                <c:pt idx="261">
                  <c:v>-4.2646791659088024E-2</c:v>
                </c:pt>
                <c:pt idx="262">
                  <c:v>-4.8104361802092654E-2</c:v>
                </c:pt>
                <c:pt idx="263">
                  <c:v>-5.1596742341455837E-2</c:v>
                </c:pt>
                <c:pt idx="264">
                  <c:v>-5.2144416581530351E-2</c:v>
                </c:pt>
                <c:pt idx="265">
                  <c:v>-5.6397918579873973E-2</c:v>
                </c:pt>
                <c:pt idx="266">
                  <c:v>-5.9825314021962228E-2</c:v>
                </c:pt>
                <c:pt idx="267">
                  <c:v>-5.8581094869904149E-2</c:v>
                </c:pt>
                <c:pt idx="268">
                  <c:v>-6.2210622100487001E-2</c:v>
                </c:pt>
                <c:pt idx="269">
                  <c:v>-5.9866207611831257E-2</c:v>
                </c:pt>
                <c:pt idx="270">
                  <c:v>-5.7607416334070294E-2</c:v>
                </c:pt>
                <c:pt idx="271">
                  <c:v>-5.3727760964468629E-2</c:v>
                </c:pt>
                <c:pt idx="272">
                  <c:v>-5.3212437272826207E-2</c:v>
                </c:pt>
                <c:pt idx="273">
                  <c:v>-5.3548539530817507E-2</c:v>
                </c:pt>
                <c:pt idx="274">
                  <c:v>-5.4062608503441467E-2</c:v>
                </c:pt>
                <c:pt idx="275">
                  <c:v>-5.7512048230995205E-2</c:v>
                </c:pt>
                <c:pt idx="276">
                  <c:v>-5.7176650866272993E-2</c:v>
                </c:pt>
                <c:pt idx="277">
                  <c:v>-5.9434052244977664E-2</c:v>
                </c:pt>
                <c:pt idx="278">
                  <c:v>-5.9924210871393768E-2</c:v>
                </c:pt>
                <c:pt idx="279">
                  <c:v>-6.213204342066625E-2</c:v>
                </c:pt>
                <c:pt idx="280">
                  <c:v>-6.1397457573120207E-2</c:v>
                </c:pt>
                <c:pt idx="281">
                  <c:v>-6.3387996821536063E-2</c:v>
                </c:pt>
                <c:pt idx="282">
                  <c:v>-6.3841111367167969E-2</c:v>
                </c:pt>
                <c:pt idx="283">
                  <c:v>-6.0049324944367655E-2</c:v>
                </c:pt>
                <c:pt idx="284">
                  <c:v>-5.9458060291037285E-2</c:v>
                </c:pt>
                <c:pt idx="285">
                  <c:v>-6.085284842080263E-2</c:v>
                </c:pt>
                <c:pt idx="286">
                  <c:v>-6.3224327701595584E-2</c:v>
                </c:pt>
                <c:pt idx="287">
                  <c:v>-6.6971404989544681E-2</c:v>
                </c:pt>
                <c:pt idx="288">
                  <c:v>-7.1823493823806928E-2</c:v>
                </c:pt>
                <c:pt idx="289">
                  <c:v>-6.9893609229238152E-2</c:v>
                </c:pt>
                <c:pt idx="290">
                  <c:v>-6.546856085338959E-2</c:v>
                </c:pt>
                <c:pt idx="291">
                  <c:v>-6.5771089169762931E-2</c:v>
                </c:pt>
                <c:pt idx="292">
                  <c:v>-8.9203507144201666E-2</c:v>
                </c:pt>
                <c:pt idx="293">
                  <c:v>-0.1857813498293055</c:v>
                </c:pt>
                <c:pt idx="294">
                  <c:v>-0.10650183150306347</c:v>
                </c:pt>
                <c:pt idx="295">
                  <c:v>-9.8918006584703733E-2</c:v>
                </c:pt>
                <c:pt idx="296">
                  <c:v>-8.1690185364848844E-2</c:v>
                </c:pt>
                <c:pt idx="297">
                  <c:v>-5.3237920321642207E-2</c:v>
                </c:pt>
                <c:pt idx="298">
                  <c:v>-5.1605060281529447E-2</c:v>
                </c:pt>
                <c:pt idx="299">
                  <c:v>-4.8850497600826159E-2</c:v>
                </c:pt>
                <c:pt idx="300">
                  <c:v>-5.4408742896006501E-2</c:v>
                </c:pt>
                <c:pt idx="301">
                  <c:v>-5.3165687237404669E-2</c:v>
                </c:pt>
                <c:pt idx="302">
                  <c:v>-5.587486371986472E-2</c:v>
                </c:pt>
                <c:pt idx="303">
                  <c:v>-6.1453576115111375E-2</c:v>
                </c:pt>
                <c:pt idx="304">
                  <c:v>-5.773093967110654E-2</c:v>
                </c:pt>
                <c:pt idx="305">
                  <c:v>-6.1358267029977043E-2</c:v>
                </c:pt>
                <c:pt idx="306">
                  <c:v>-6.1580924518276348E-2</c:v>
                </c:pt>
                <c:pt idx="307">
                  <c:v>-6.200166998722878E-2</c:v>
                </c:pt>
                <c:pt idx="308">
                  <c:v>-6.530792672279162E-2</c:v>
                </c:pt>
                <c:pt idx="309">
                  <c:v>-6.3511201353223967E-2</c:v>
                </c:pt>
                <c:pt idx="310">
                  <c:v>-6.1218144727563484E-2</c:v>
                </c:pt>
                <c:pt idx="311">
                  <c:v>-5.852410555930021E-2</c:v>
                </c:pt>
                <c:pt idx="312">
                  <c:v>-6.3509996747638908E-2</c:v>
                </c:pt>
                <c:pt idx="313">
                  <c:v>-6.3996898413462233E-2</c:v>
                </c:pt>
                <c:pt idx="314">
                  <c:v>-6.2049812464424647E-2</c:v>
                </c:pt>
                <c:pt idx="315">
                  <c:v>-6.3335888700528642E-2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C-43A6-A94F-188E2F099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888512"/>
        <c:axId val="535888992"/>
      </c:lineChart>
      <c:dateAx>
        <c:axId val="5358885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888992"/>
        <c:crosses val="autoZero"/>
        <c:auto val="1"/>
        <c:lblOffset val="100"/>
        <c:baseTimeUnit val="months"/>
      </c:dateAx>
      <c:valAx>
        <c:axId val="5358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88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Quarterly!$D$2:$D$317</c:f>
              <c:numCache>
                <c:formatCode>General</c:formatCode>
                <c:ptCount val="3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</c:numCache>
            </c:numRef>
          </c:xVal>
          <c:yVal>
            <c:numRef>
              <c:f>Sheet2!$C$25:$C$340</c:f>
              <c:numCache>
                <c:formatCode>General</c:formatCode>
                <c:ptCount val="316"/>
                <c:pt idx="0">
                  <c:v>-1.2184868826690121E-3</c:v>
                </c:pt>
                <c:pt idx="1">
                  <c:v>5.3805033888885134E-3</c:v>
                </c:pt>
                <c:pt idx="2">
                  <c:v>-1.3846478797319151E-3</c:v>
                </c:pt>
                <c:pt idx="3">
                  <c:v>-1.1094379419333222E-2</c:v>
                </c:pt>
                <c:pt idx="4">
                  <c:v>-1.5551239756947055E-2</c:v>
                </c:pt>
                <c:pt idx="5">
                  <c:v>-1.3412458523616166E-2</c:v>
                </c:pt>
                <c:pt idx="6">
                  <c:v>-2.1637899962609453E-2</c:v>
                </c:pt>
                <c:pt idx="7">
                  <c:v>-2.3698144230284157E-2</c:v>
                </c:pt>
                <c:pt idx="8">
                  <c:v>-3.1922111932134456E-2</c:v>
                </c:pt>
                <c:pt idx="9">
                  <c:v>-2.6092056824507992E-2</c:v>
                </c:pt>
                <c:pt idx="10">
                  <c:v>-3.3462917297796935E-2</c:v>
                </c:pt>
                <c:pt idx="11">
                  <c:v>-2.8863936585027616E-2</c:v>
                </c:pt>
                <c:pt idx="12">
                  <c:v>-2.192870580161177E-2</c:v>
                </c:pt>
                <c:pt idx="13">
                  <c:v>-1.4543329424929752E-2</c:v>
                </c:pt>
                <c:pt idx="14">
                  <c:v>2.5913301381667253E-2</c:v>
                </c:pt>
                <c:pt idx="15">
                  <c:v>-1.460217964168109E-2</c:v>
                </c:pt>
                <c:pt idx="16">
                  <c:v>-3.041693949086266E-4</c:v>
                </c:pt>
                <c:pt idx="17">
                  <c:v>-3.8361799366828819E-2</c:v>
                </c:pt>
                <c:pt idx="18">
                  <c:v>-3.677034808592694E-2</c:v>
                </c:pt>
                <c:pt idx="19">
                  <c:v>-4.1079228945456236E-2</c:v>
                </c:pt>
                <c:pt idx="20">
                  <c:v>-4.8275024790738641E-2</c:v>
                </c:pt>
                <c:pt idx="21">
                  <c:v>-3.8154588879530493E-2</c:v>
                </c:pt>
                <c:pt idx="22">
                  <c:v>-4.3067808997548696E-2</c:v>
                </c:pt>
                <c:pt idx="23">
                  <c:v>-1.8428177226644138E-2</c:v>
                </c:pt>
                <c:pt idx="24">
                  <c:v>-1.5869730525585268E-2</c:v>
                </c:pt>
                <c:pt idx="25">
                  <c:v>-1.8915920359100724E-2</c:v>
                </c:pt>
                <c:pt idx="26">
                  <c:v>-3.1313958466023806E-2</c:v>
                </c:pt>
                <c:pt idx="27">
                  <c:v>-4.806893190859185E-2</c:v>
                </c:pt>
                <c:pt idx="28">
                  <c:v>-5.4144365399125149E-2</c:v>
                </c:pt>
                <c:pt idx="29">
                  <c:v>-5.065994818287578E-2</c:v>
                </c:pt>
                <c:pt idx="30">
                  <c:v>-4.725383379837389E-2</c:v>
                </c:pt>
                <c:pt idx="31">
                  <c:v>-3.675149050027926E-2</c:v>
                </c:pt>
                <c:pt idx="32">
                  <c:v>-2.4125062653437723E-2</c:v>
                </c:pt>
                <c:pt idx="33">
                  <c:v>-1.4508555043603266E-2</c:v>
                </c:pt>
                <c:pt idx="34">
                  <c:v>-1.2218513740505088E-2</c:v>
                </c:pt>
                <c:pt idx="35">
                  <c:v>-9.9872141404233616E-3</c:v>
                </c:pt>
                <c:pt idx="36">
                  <c:v>-1.7870308106052946E-2</c:v>
                </c:pt>
                <c:pt idx="37">
                  <c:v>-2.398352317419139E-2</c:v>
                </c:pt>
                <c:pt idx="38">
                  <c:v>-3.1785606060147131E-2</c:v>
                </c:pt>
                <c:pt idx="39">
                  <c:v>-2.8511290182894555E-2</c:v>
                </c:pt>
                <c:pt idx="40">
                  <c:v>-3.1449312682585884E-2</c:v>
                </c:pt>
                <c:pt idx="41">
                  <c:v>-3.9230487538423731E-2</c:v>
                </c:pt>
                <c:pt idx="42">
                  <c:v>-4.1201821604698097E-2</c:v>
                </c:pt>
                <c:pt idx="43">
                  <c:v>-5.0743378496438396E-2</c:v>
                </c:pt>
                <c:pt idx="44">
                  <c:v>-7.3859239534163734E-2</c:v>
                </c:pt>
                <c:pt idx="45">
                  <c:v>-7.4872428854435569E-2</c:v>
                </c:pt>
                <c:pt idx="46">
                  <c:v>-6.8101968852360528E-2</c:v>
                </c:pt>
                <c:pt idx="47">
                  <c:v>-6.4624518385317131E-2</c:v>
                </c:pt>
                <c:pt idx="48">
                  <c:v>-5.6204897003830467E-2</c:v>
                </c:pt>
                <c:pt idx="49">
                  <c:v>-5.0105317512239012E-2</c:v>
                </c:pt>
                <c:pt idx="50">
                  <c:v>-4.9382362272577751E-2</c:v>
                </c:pt>
                <c:pt idx="51">
                  <c:v>-5.809997723289051E-2</c:v>
                </c:pt>
                <c:pt idx="52">
                  <c:v>-5.9850453041645935E-2</c:v>
                </c:pt>
                <c:pt idx="53">
                  <c:v>-5.8745510084555974E-2</c:v>
                </c:pt>
                <c:pt idx="54">
                  <c:v>-7.312013785091942E-2</c:v>
                </c:pt>
                <c:pt idx="55">
                  <c:v>-8.1162679384320313E-2</c:v>
                </c:pt>
                <c:pt idx="56">
                  <c:v>-9.0323836721426076E-2</c:v>
                </c:pt>
                <c:pt idx="57">
                  <c:v>-8.483564661104559E-2</c:v>
                </c:pt>
                <c:pt idx="58">
                  <c:v>-8.9562508304576127E-2</c:v>
                </c:pt>
                <c:pt idx="59">
                  <c:v>-7.9274656608369298E-2</c:v>
                </c:pt>
                <c:pt idx="60">
                  <c:v>-7.7709089789031793E-2</c:v>
                </c:pt>
                <c:pt idx="61">
                  <c:v>-7.4386998928124726E-2</c:v>
                </c:pt>
                <c:pt idx="62">
                  <c:v>-7.5619406221093755E-2</c:v>
                </c:pt>
                <c:pt idx="63">
                  <c:v>-7.1033967407165832E-2</c:v>
                </c:pt>
                <c:pt idx="64">
                  <c:v>-7.2727367970163215E-2</c:v>
                </c:pt>
                <c:pt idx="65">
                  <c:v>-7.1951005695629178E-2</c:v>
                </c:pt>
                <c:pt idx="66">
                  <c:v>-6.7719703202046233E-2</c:v>
                </c:pt>
                <c:pt idx="67">
                  <c:v>-6.8695449065870662E-2</c:v>
                </c:pt>
                <c:pt idx="68">
                  <c:v>-5.7744447744465077E-2</c:v>
                </c:pt>
                <c:pt idx="69">
                  <c:v>-4.8814832247586537E-2</c:v>
                </c:pt>
                <c:pt idx="70">
                  <c:v>-3.9559837041801771E-2</c:v>
                </c:pt>
                <c:pt idx="71">
                  <c:v>-4.5642327558283569E-2</c:v>
                </c:pt>
                <c:pt idx="72">
                  <c:v>-3.1693216838666771E-2</c:v>
                </c:pt>
                <c:pt idx="73">
                  <c:v>-2.8842742015608991E-2</c:v>
                </c:pt>
                <c:pt idx="74">
                  <c:v>-2.0614983707469392E-2</c:v>
                </c:pt>
                <c:pt idx="75">
                  <c:v>-1.488525341653002E-3</c:v>
                </c:pt>
                <c:pt idx="76">
                  <c:v>5.2555401825955528E-3</c:v>
                </c:pt>
                <c:pt idx="77">
                  <c:v>-2.1793633487909858E-4</c:v>
                </c:pt>
                <c:pt idx="78">
                  <c:v>2.7192946308307597E-3</c:v>
                </c:pt>
                <c:pt idx="79">
                  <c:v>-1.6466468339544349E-3</c:v>
                </c:pt>
                <c:pt idx="80">
                  <c:v>-3.7367803609171801E-3</c:v>
                </c:pt>
                <c:pt idx="81">
                  <c:v>1.9623875867971208E-3</c:v>
                </c:pt>
                <c:pt idx="82">
                  <c:v>-1.1266348235814405E-3</c:v>
                </c:pt>
                <c:pt idx="83">
                  <c:v>-3.2038808730092683E-3</c:v>
                </c:pt>
                <c:pt idx="84">
                  <c:v>1.2914505466676829E-2</c:v>
                </c:pt>
                <c:pt idx="85">
                  <c:v>2.0362354362532642E-2</c:v>
                </c:pt>
                <c:pt idx="86">
                  <c:v>3.0810366621533802E-2</c:v>
                </c:pt>
                <c:pt idx="87">
                  <c:v>2.7209764551651361E-2</c:v>
                </c:pt>
                <c:pt idx="88">
                  <c:v>3.0773030532877499E-2</c:v>
                </c:pt>
                <c:pt idx="89">
                  <c:v>2.9505399791780462E-2</c:v>
                </c:pt>
                <c:pt idx="90">
                  <c:v>2.613166145771828E-2</c:v>
                </c:pt>
                <c:pt idx="91">
                  <c:v>2.5784881576393914E-2</c:v>
                </c:pt>
                <c:pt idx="92">
                  <c:v>2.4094349072390386E-2</c:v>
                </c:pt>
                <c:pt idx="93">
                  <c:v>2.0134440034823342E-2</c:v>
                </c:pt>
                <c:pt idx="94">
                  <c:v>2.0048423370230495E-2</c:v>
                </c:pt>
                <c:pt idx="95">
                  <c:v>8.4485094503872205E-3</c:v>
                </c:pt>
                <c:pt idx="96">
                  <c:v>1.8989361883638978E-2</c:v>
                </c:pt>
                <c:pt idx="97">
                  <c:v>1.9868424392834427E-2</c:v>
                </c:pt>
                <c:pt idx="98">
                  <c:v>1.9303808630738217E-2</c:v>
                </c:pt>
                <c:pt idx="99">
                  <c:v>2.7253892406310598E-2</c:v>
                </c:pt>
                <c:pt idx="100">
                  <c:v>3.258526939982076E-2</c:v>
                </c:pt>
                <c:pt idx="101">
                  <c:v>4.368742090979616E-2</c:v>
                </c:pt>
                <c:pt idx="102">
                  <c:v>5.0993799400949058E-2</c:v>
                </c:pt>
                <c:pt idx="103">
                  <c:v>6.6118362534588471E-2</c:v>
                </c:pt>
                <c:pt idx="104">
                  <c:v>7.6649255104543457E-2</c:v>
                </c:pt>
                <c:pt idx="105">
                  <c:v>6.8560708742667842E-2</c:v>
                </c:pt>
                <c:pt idx="106">
                  <c:v>6.4220649523440088E-2</c:v>
                </c:pt>
                <c:pt idx="107">
                  <c:v>5.337500754217217E-2</c:v>
                </c:pt>
                <c:pt idx="108">
                  <c:v>3.6940867435250269E-2</c:v>
                </c:pt>
                <c:pt idx="109">
                  <c:v>3.2958166343014739E-2</c:v>
                </c:pt>
                <c:pt idx="110">
                  <c:v>2.9313700722227054E-2</c:v>
                </c:pt>
                <c:pt idx="111">
                  <c:v>6.6386311006869647E-3</c:v>
                </c:pt>
                <c:pt idx="112">
                  <c:v>7.5604459321372275E-3</c:v>
                </c:pt>
                <c:pt idx="113">
                  <c:v>1.6046668084470639E-2</c:v>
                </c:pt>
                <c:pt idx="114">
                  <c:v>2.1830106925490256E-2</c:v>
                </c:pt>
                <c:pt idx="115">
                  <c:v>2.4499742007636272E-2</c:v>
                </c:pt>
                <c:pt idx="116">
                  <c:v>3.6740183009023042E-2</c:v>
                </c:pt>
                <c:pt idx="117">
                  <c:v>3.8394460949922049E-2</c:v>
                </c:pt>
                <c:pt idx="118">
                  <c:v>4.0912147309818181E-2</c:v>
                </c:pt>
                <c:pt idx="119">
                  <c:v>4.5708005037900179E-2</c:v>
                </c:pt>
                <c:pt idx="120">
                  <c:v>4.9716905097444197E-2</c:v>
                </c:pt>
                <c:pt idx="121">
                  <c:v>4.7308733406943304E-2</c:v>
                </c:pt>
                <c:pt idx="122">
                  <c:v>4.8495034744604482E-2</c:v>
                </c:pt>
                <c:pt idx="123">
                  <c:v>5.5215854932420427E-2</c:v>
                </c:pt>
                <c:pt idx="124">
                  <c:v>5.3051501464194573E-2</c:v>
                </c:pt>
                <c:pt idx="125">
                  <c:v>6.6261998071555084E-2</c:v>
                </c:pt>
                <c:pt idx="126">
                  <c:v>6.2117224332885357E-2</c:v>
                </c:pt>
                <c:pt idx="127">
                  <c:v>6.1833522721940426E-2</c:v>
                </c:pt>
                <c:pt idx="128">
                  <c:v>5.9079909854219181E-2</c:v>
                </c:pt>
                <c:pt idx="129">
                  <c:v>5.0425169727054353E-2</c:v>
                </c:pt>
                <c:pt idx="130">
                  <c:v>5.1662382268130358E-2</c:v>
                </c:pt>
                <c:pt idx="131">
                  <c:v>4.5661330014953094E-2</c:v>
                </c:pt>
                <c:pt idx="132">
                  <c:v>3.6016020190274389E-2</c:v>
                </c:pt>
                <c:pt idx="133">
                  <c:v>5.0342021983702523E-3</c:v>
                </c:pt>
                <c:pt idx="134">
                  <c:v>7.5510514508358995E-3</c:v>
                </c:pt>
                <c:pt idx="135">
                  <c:v>1.2829664487911785E-2</c:v>
                </c:pt>
                <c:pt idx="136">
                  <c:v>8.73442343863573E-3</c:v>
                </c:pt>
                <c:pt idx="137">
                  <c:v>1.1658583482461182E-3</c:v>
                </c:pt>
                <c:pt idx="138">
                  <c:v>-2.3747335885744292E-3</c:v>
                </c:pt>
                <c:pt idx="139">
                  <c:v>-1.7230328241653936E-2</c:v>
                </c:pt>
                <c:pt idx="140">
                  <c:v>-1.7416826000488328E-2</c:v>
                </c:pt>
                <c:pt idx="141">
                  <c:v>-2.2012507434828521E-2</c:v>
                </c:pt>
                <c:pt idx="142">
                  <c:v>-2.3285407963093974E-2</c:v>
                </c:pt>
                <c:pt idx="143">
                  <c:v>-1.3769768917649472E-2</c:v>
                </c:pt>
                <c:pt idx="144">
                  <c:v>-1.137863952413376E-2</c:v>
                </c:pt>
                <c:pt idx="145">
                  <c:v>1.3335879484603907E-3</c:v>
                </c:pt>
                <c:pt idx="146">
                  <c:v>1.1255143760388719E-2</c:v>
                </c:pt>
                <c:pt idx="147">
                  <c:v>1.9305533428903843E-2</c:v>
                </c:pt>
                <c:pt idx="148">
                  <c:v>2.0258796667551593E-2</c:v>
                </c:pt>
                <c:pt idx="149">
                  <c:v>2.6712596287024937E-2</c:v>
                </c:pt>
                <c:pt idx="150">
                  <c:v>2.6269425512914779E-2</c:v>
                </c:pt>
                <c:pt idx="151">
                  <c:v>3.1303158708618994E-2</c:v>
                </c:pt>
                <c:pt idx="152">
                  <c:v>4.0929911298778876E-2</c:v>
                </c:pt>
                <c:pt idx="153">
                  <c:v>4.2514130433458419E-2</c:v>
                </c:pt>
                <c:pt idx="154">
                  <c:v>5.338813968714895E-2</c:v>
                </c:pt>
                <c:pt idx="155">
                  <c:v>4.7635297002129207E-2</c:v>
                </c:pt>
                <c:pt idx="156">
                  <c:v>4.8975023582755739E-2</c:v>
                </c:pt>
                <c:pt idx="157">
                  <c:v>5.229182642653285E-2</c:v>
                </c:pt>
                <c:pt idx="158">
                  <c:v>6.1947193638710374E-2</c:v>
                </c:pt>
                <c:pt idx="159">
                  <c:v>6.0262560446629365E-2</c:v>
                </c:pt>
                <c:pt idx="160">
                  <c:v>5.3845965027784715E-2</c:v>
                </c:pt>
                <c:pt idx="161">
                  <c:v>5.9862342974037475E-2</c:v>
                </c:pt>
                <c:pt idx="162">
                  <c:v>6.335278186279325E-2</c:v>
                </c:pt>
                <c:pt idx="163">
                  <c:v>5.7576638589640794E-2</c:v>
                </c:pt>
                <c:pt idx="164">
                  <c:v>6.769815885876973E-2</c:v>
                </c:pt>
                <c:pt idx="165">
                  <c:v>6.7578613725791215E-2</c:v>
                </c:pt>
                <c:pt idx="166">
                  <c:v>6.8398684150700717E-2</c:v>
                </c:pt>
                <c:pt idx="167">
                  <c:v>7.1819415963632949E-2</c:v>
                </c:pt>
                <c:pt idx="168">
                  <c:v>6.904794547547155E-2</c:v>
                </c:pt>
                <c:pt idx="169">
                  <c:v>6.6031185618591337E-2</c:v>
                </c:pt>
                <c:pt idx="170">
                  <c:v>6.7517529829496326E-2</c:v>
                </c:pt>
                <c:pt idx="171">
                  <c:v>6.3730473133698951E-2</c:v>
                </c:pt>
                <c:pt idx="172">
                  <c:v>6.445407007791637E-2</c:v>
                </c:pt>
                <c:pt idx="173">
                  <c:v>5.8972071672524606E-2</c:v>
                </c:pt>
                <c:pt idx="174">
                  <c:v>5.3999062660897934E-2</c:v>
                </c:pt>
                <c:pt idx="175">
                  <c:v>3.741636378049229E-2</c:v>
                </c:pt>
                <c:pt idx="176">
                  <c:v>2.5141168772560007E-2</c:v>
                </c:pt>
                <c:pt idx="177">
                  <c:v>2.4826152974963378E-2</c:v>
                </c:pt>
                <c:pt idx="178">
                  <c:v>2.0849006070116971E-2</c:v>
                </c:pt>
                <c:pt idx="179">
                  <c:v>1.1517450326611112E-2</c:v>
                </c:pt>
                <c:pt idx="180">
                  <c:v>2.1733540540083141E-2</c:v>
                </c:pt>
                <c:pt idx="181">
                  <c:v>1.9729030932673197E-2</c:v>
                </c:pt>
                <c:pt idx="182">
                  <c:v>2.1321647456948867E-2</c:v>
                </c:pt>
                <c:pt idx="183">
                  <c:v>2.4287830316993109E-2</c:v>
                </c:pt>
                <c:pt idx="184">
                  <c:v>1.9767185812572308E-2</c:v>
                </c:pt>
                <c:pt idx="185">
                  <c:v>2.0408593758045157E-2</c:v>
                </c:pt>
                <c:pt idx="186">
                  <c:v>2.2642743997431936E-2</c:v>
                </c:pt>
                <c:pt idx="187">
                  <c:v>2.2788236699399889E-2</c:v>
                </c:pt>
                <c:pt idx="188">
                  <c:v>2.6080262996654113E-2</c:v>
                </c:pt>
                <c:pt idx="189">
                  <c:v>2.5479182722786931E-2</c:v>
                </c:pt>
                <c:pt idx="190">
                  <c:v>2.4448470776224696E-2</c:v>
                </c:pt>
                <c:pt idx="191">
                  <c:v>2.6743511251156704E-2</c:v>
                </c:pt>
                <c:pt idx="192">
                  <c:v>2.1156340975027277E-2</c:v>
                </c:pt>
                <c:pt idx="193">
                  <c:v>2.164417858089962E-2</c:v>
                </c:pt>
                <c:pt idx="194">
                  <c:v>2.2061236114410576E-2</c:v>
                </c:pt>
                <c:pt idx="195">
                  <c:v>2.05313542532366E-2</c:v>
                </c:pt>
                <c:pt idx="196">
                  <c:v>2.1826056450217735E-2</c:v>
                </c:pt>
                <c:pt idx="197">
                  <c:v>2.4252093475546133E-2</c:v>
                </c:pt>
                <c:pt idx="198">
                  <c:v>2.1657852943301137E-2</c:v>
                </c:pt>
                <c:pt idx="199">
                  <c:v>2.1001577207195865E-2</c:v>
                </c:pt>
                <c:pt idx="200">
                  <c:v>2.3413736915539829E-2</c:v>
                </c:pt>
                <c:pt idx="201">
                  <c:v>1.965695466748052E-2</c:v>
                </c:pt>
                <c:pt idx="202">
                  <c:v>2.7849936559547928E-2</c:v>
                </c:pt>
                <c:pt idx="203">
                  <c:v>3.1180836868081485E-2</c:v>
                </c:pt>
                <c:pt idx="204">
                  <c:v>3.3281369876128508E-2</c:v>
                </c:pt>
                <c:pt idx="205">
                  <c:v>4.2618810567823573E-2</c:v>
                </c:pt>
                <c:pt idx="206">
                  <c:v>4.7044774376633569E-2</c:v>
                </c:pt>
                <c:pt idx="207">
                  <c:v>5.2949962848932941E-2</c:v>
                </c:pt>
                <c:pt idx="208">
                  <c:v>5.5253701129762689E-2</c:v>
                </c:pt>
                <c:pt idx="209">
                  <c:v>6.2297441966530087E-2</c:v>
                </c:pt>
                <c:pt idx="210">
                  <c:v>6.4894316004270536E-2</c:v>
                </c:pt>
                <c:pt idx="211">
                  <c:v>7.1026177606489327E-2</c:v>
                </c:pt>
                <c:pt idx="212">
                  <c:v>7.8085083086692819E-2</c:v>
                </c:pt>
                <c:pt idx="213">
                  <c:v>7.9504192102373139E-2</c:v>
                </c:pt>
                <c:pt idx="214">
                  <c:v>8.090776385090237E-2</c:v>
                </c:pt>
                <c:pt idx="215">
                  <c:v>8.1563780376576744E-2</c:v>
                </c:pt>
                <c:pt idx="216">
                  <c:v>7.7501726935203408E-2</c:v>
                </c:pt>
                <c:pt idx="217">
                  <c:v>7.1732326402241142E-2</c:v>
                </c:pt>
                <c:pt idx="218">
                  <c:v>6.7212239884582914E-2</c:v>
                </c:pt>
                <c:pt idx="219">
                  <c:v>7.527015552435401E-2</c:v>
                </c:pt>
                <c:pt idx="220">
                  <c:v>6.9896522479542256E-2</c:v>
                </c:pt>
                <c:pt idx="221">
                  <c:v>6.7313294951162561E-2</c:v>
                </c:pt>
                <c:pt idx="222">
                  <c:v>6.6364097797107391E-2</c:v>
                </c:pt>
                <c:pt idx="223">
                  <c:v>6.4057870163198416E-2</c:v>
                </c:pt>
                <c:pt idx="224">
                  <c:v>6.1475233367618287E-2</c:v>
                </c:pt>
                <c:pt idx="225">
                  <c:v>6.5251480498792702E-2</c:v>
                </c:pt>
                <c:pt idx="226">
                  <c:v>7.1416052229682947E-2</c:v>
                </c:pt>
                <c:pt idx="227">
                  <c:v>7.0475241574280645E-2</c:v>
                </c:pt>
                <c:pt idx="228">
                  <c:v>7.2417862470381067E-2</c:v>
                </c:pt>
                <c:pt idx="229">
                  <c:v>7.0252424517486034E-2</c:v>
                </c:pt>
                <c:pt idx="230">
                  <c:v>7.4047549936928192E-2</c:v>
                </c:pt>
                <c:pt idx="231">
                  <c:v>7.7421673612397157E-2</c:v>
                </c:pt>
                <c:pt idx="232">
                  <c:v>7.6224274907270129E-2</c:v>
                </c:pt>
                <c:pt idx="233">
                  <c:v>7.9707560555876356E-2</c:v>
                </c:pt>
                <c:pt idx="234">
                  <c:v>8.0028690520469681E-2</c:v>
                </c:pt>
                <c:pt idx="235">
                  <c:v>7.3962940860468507E-2</c:v>
                </c:pt>
                <c:pt idx="236">
                  <c:v>7.7214230347081525E-2</c:v>
                </c:pt>
                <c:pt idx="237">
                  <c:v>7.4733529917512698E-2</c:v>
                </c:pt>
                <c:pt idx="238">
                  <c:v>7.3141452010540675E-2</c:v>
                </c:pt>
                <c:pt idx="239">
                  <c:v>7.4670208115884762E-2</c:v>
                </c:pt>
                <c:pt idx="240">
                  <c:v>7.3198768769813682E-2</c:v>
                </c:pt>
                <c:pt idx="241">
                  <c:v>6.8171341161010091E-2</c:v>
                </c:pt>
                <c:pt idx="242">
                  <c:v>6.6843607354263312E-2</c:v>
                </c:pt>
                <c:pt idx="243">
                  <c:v>6.2830524330101056E-2</c:v>
                </c:pt>
                <c:pt idx="244">
                  <c:v>5.3866263245341273E-2</c:v>
                </c:pt>
                <c:pt idx="245">
                  <c:v>4.9025623008175145E-2</c:v>
                </c:pt>
                <c:pt idx="246">
                  <c:v>3.3438390337730439E-2</c:v>
                </c:pt>
                <c:pt idx="247">
                  <c:v>1.6651454482623507E-2</c:v>
                </c:pt>
                <c:pt idx="248">
                  <c:v>6.690956791727487E-3</c:v>
                </c:pt>
                <c:pt idx="249">
                  <c:v>-5.6979398181429275E-3</c:v>
                </c:pt>
                <c:pt idx="250">
                  <c:v>-6.7060090154047458E-3</c:v>
                </c:pt>
                <c:pt idx="251">
                  <c:v>-1.5508374931787472E-2</c:v>
                </c:pt>
                <c:pt idx="252">
                  <c:v>-1.7127259316705334E-2</c:v>
                </c:pt>
                <c:pt idx="253">
                  <c:v>-1.552416561066039E-2</c:v>
                </c:pt>
                <c:pt idx="254">
                  <c:v>-1.5929542942176411E-2</c:v>
                </c:pt>
                <c:pt idx="255">
                  <c:v>-1.7390483334370543E-2</c:v>
                </c:pt>
                <c:pt idx="256">
                  <c:v>-2.0760899101832209E-2</c:v>
                </c:pt>
                <c:pt idx="257">
                  <c:v>-2.6950285389707673E-2</c:v>
                </c:pt>
                <c:pt idx="258">
                  <c:v>-3.1459935684702955E-2</c:v>
                </c:pt>
                <c:pt idx="259">
                  <c:v>-3.7215714729507354E-2</c:v>
                </c:pt>
                <c:pt idx="260">
                  <c:v>-3.7216167341425077E-2</c:v>
                </c:pt>
                <c:pt idx="261">
                  <c:v>-4.2646791659088024E-2</c:v>
                </c:pt>
                <c:pt idx="262">
                  <c:v>-4.8104361802092654E-2</c:v>
                </c:pt>
                <c:pt idx="263">
                  <c:v>-5.1596742341455837E-2</c:v>
                </c:pt>
                <c:pt idx="264">
                  <c:v>-5.2144416581530351E-2</c:v>
                </c:pt>
                <c:pt idx="265">
                  <c:v>-5.6397918579873973E-2</c:v>
                </c:pt>
                <c:pt idx="266">
                  <c:v>-5.9825314021962228E-2</c:v>
                </c:pt>
                <c:pt idx="267">
                  <c:v>-5.8581094869904149E-2</c:v>
                </c:pt>
                <c:pt idx="268">
                  <c:v>-6.2210622100487001E-2</c:v>
                </c:pt>
                <c:pt idx="269">
                  <c:v>-5.9866207611831257E-2</c:v>
                </c:pt>
                <c:pt idx="270">
                  <c:v>-5.7607416334070294E-2</c:v>
                </c:pt>
                <c:pt idx="271">
                  <c:v>-5.3727760964468629E-2</c:v>
                </c:pt>
                <c:pt idx="272">
                  <c:v>-5.3212437272826207E-2</c:v>
                </c:pt>
                <c:pt idx="273">
                  <c:v>-5.3548539530817507E-2</c:v>
                </c:pt>
                <c:pt idx="274">
                  <c:v>-5.4062608503441467E-2</c:v>
                </c:pt>
                <c:pt idx="275">
                  <c:v>-5.7512048230995205E-2</c:v>
                </c:pt>
                <c:pt idx="276">
                  <c:v>-5.7176650866272993E-2</c:v>
                </c:pt>
                <c:pt idx="277">
                  <c:v>-5.9434052244977664E-2</c:v>
                </c:pt>
                <c:pt idx="278">
                  <c:v>-5.9924210871393768E-2</c:v>
                </c:pt>
                <c:pt idx="279">
                  <c:v>-6.213204342066625E-2</c:v>
                </c:pt>
                <c:pt idx="280">
                  <c:v>-6.1397457573120207E-2</c:v>
                </c:pt>
                <c:pt idx="281">
                  <c:v>-6.3387996821536063E-2</c:v>
                </c:pt>
                <c:pt idx="282">
                  <c:v>-6.3841111367167969E-2</c:v>
                </c:pt>
                <c:pt idx="283">
                  <c:v>-6.0049324944367655E-2</c:v>
                </c:pt>
                <c:pt idx="284">
                  <c:v>-5.9458060291037285E-2</c:v>
                </c:pt>
                <c:pt idx="285">
                  <c:v>-6.085284842080263E-2</c:v>
                </c:pt>
                <c:pt idx="286">
                  <c:v>-6.3224327701595584E-2</c:v>
                </c:pt>
                <c:pt idx="287">
                  <c:v>-6.6971404989544681E-2</c:v>
                </c:pt>
                <c:pt idx="288">
                  <c:v>-7.1823493823806928E-2</c:v>
                </c:pt>
                <c:pt idx="289">
                  <c:v>-6.9893609229238152E-2</c:v>
                </c:pt>
                <c:pt idx="290">
                  <c:v>-6.546856085338959E-2</c:v>
                </c:pt>
                <c:pt idx="291">
                  <c:v>-6.5771089169762931E-2</c:v>
                </c:pt>
                <c:pt idx="292">
                  <c:v>-8.9203507144201666E-2</c:v>
                </c:pt>
                <c:pt idx="293">
                  <c:v>-0.1857813498293055</c:v>
                </c:pt>
                <c:pt idx="294">
                  <c:v>-0.10650183150306347</c:v>
                </c:pt>
                <c:pt idx="295">
                  <c:v>-9.8918006584703733E-2</c:v>
                </c:pt>
                <c:pt idx="296">
                  <c:v>-8.1690185364848844E-2</c:v>
                </c:pt>
                <c:pt idx="297">
                  <c:v>-5.3237920321642207E-2</c:v>
                </c:pt>
                <c:pt idx="298">
                  <c:v>-5.1605060281529447E-2</c:v>
                </c:pt>
                <c:pt idx="299">
                  <c:v>-4.8850497600826159E-2</c:v>
                </c:pt>
                <c:pt idx="300">
                  <c:v>-5.4408742896006501E-2</c:v>
                </c:pt>
                <c:pt idx="301">
                  <c:v>-5.3165687237404669E-2</c:v>
                </c:pt>
                <c:pt idx="302">
                  <c:v>-5.587486371986472E-2</c:v>
                </c:pt>
                <c:pt idx="303">
                  <c:v>-6.1453576115111375E-2</c:v>
                </c:pt>
                <c:pt idx="304">
                  <c:v>-5.773093967110654E-2</c:v>
                </c:pt>
                <c:pt idx="305">
                  <c:v>-6.1358267029977043E-2</c:v>
                </c:pt>
                <c:pt idx="306">
                  <c:v>-6.1580924518276348E-2</c:v>
                </c:pt>
                <c:pt idx="307">
                  <c:v>-6.200166998722878E-2</c:v>
                </c:pt>
                <c:pt idx="308">
                  <c:v>-6.530792672279162E-2</c:v>
                </c:pt>
                <c:pt idx="309">
                  <c:v>-6.3511201353223967E-2</c:v>
                </c:pt>
                <c:pt idx="310">
                  <c:v>-6.1218144727563484E-2</c:v>
                </c:pt>
                <c:pt idx="311">
                  <c:v>-5.852410555930021E-2</c:v>
                </c:pt>
                <c:pt idx="312">
                  <c:v>-6.3509996747638908E-2</c:v>
                </c:pt>
                <c:pt idx="313">
                  <c:v>-6.3996898413462233E-2</c:v>
                </c:pt>
                <c:pt idx="314">
                  <c:v>-6.2049812464424647E-2</c:v>
                </c:pt>
                <c:pt idx="315">
                  <c:v>-6.3335888700528642E-2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92-4939-922A-F4D6F2FB5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008799"/>
        <c:axId val="1595010719"/>
      </c:scatterChart>
      <c:valAx>
        <c:axId val="159500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010719"/>
        <c:crosses val="autoZero"/>
        <c:crossBetween val="midCat"/>
      </c:valAx>
      <c:valAx>
        <c:axId val="1595010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0087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Quarterly!$D$2:$D$317</c:f>
              <c:numCache>
                <c:formatCode>General</c:formatCode>
                <c:ptCount val="3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</c:numCache>
            </c:numRef>
          </c:xVal>
          <c:yVal>
            <c:numRef>
              <c:f>Sheet3!$C$25:$C$340</c:f>
              <c:numCache>
                <c:formatCode>General</c:formatCode>
                <c:ptCount val="316"/>
                <c:pt idx="0">
                  <c:v>-1.2184868826690121E-3</c:v>
                </c:pt>
                <c:pt idx="1">
                  <c:v>5.3805033888885134E-3</c:v>
                </c:pt>
                <c:pt idx="2">
                  <c:v>-1.3846478797319151E-3</c:v>
                </c:pt>
                <c:pt idx="3">
                  <c:v>-1.1094379419333222E-2</c:v>
                </c:pt>
                <c:pt idx="4">
                  <c:v>-1.5551239756947055E-2</c:v>
                </c:pt>
                <c:pt idx="5">
                  <c:v>-1.3412458523616166E-2</c:v>
                </c:pt>
                <c:pt idx="6">
                  <c:v>-2.1637899962609453E-2</c:v>
                </c:pt>
                <c:pt idx="7">
                  <c:v>-2.3698144230284157E-2</c:v>
                </c:pt>
                <c:pt idx="8">
                  <c:v>-3.1922111932134456E-2</c:v>
                </c:pt>
                <c:pt idx="9">
                  <c:v>-2.6092056824507992E-2</c:v>
                </c:pt>
                <c:pt idx="10">
                  <c:v>-3.3462917297796935E-2</c:v>
                </c:pt>
                <c:pt idx="11">
                  <c:v>-2.8863936585027616E-2</c:v>
                </c:pt>
                <c:pt idx="12">
                  <c:v>-2.192870580161177E-2</c:v>
                </c:pt>
                <c:pt idx="13">
                  <c:v>-1.4543329424929752E-2</c:v>
                </c:pt>
                <c:pt idx="14">
                  <c:v>2.5913301381667253E-2</c:v>
                </c:pt>
                <c:pt idx="15">
                  <c:v>-1.460217964168109E-2</c:v>
                </c:pt>
                <c:pt idx="16">
                  <c:v>-3.041693949086266E-4</c:v>
                </c:pt>
                <c:pt idx="17">
                  <c:v>-3.8361799366828819E-2</c:v>
                </c:pt>
                <c:pt idx="18">
                  <c:v>-3.677034808592694E-2</c:v>
                </c:pt>
                <c:pt idx="19">
                  <c:v>-4.1079228945456236E-2</c:v>
                </c:pt>
                <c:pt idx="20">
                  <c:v>-4.8275024790738641E-2</c:v>
                </c:pt>
                <c:pt idx="21">
                  <c:v>-3.8154588879530493E-2</c:v>
                </c:pt>
                <c:pt idx="22">
                  <c:v>-4.3067808997548696E-2</c:v>
                </c:pt>
                <c:pt idx="23">
                  <c:v>-1.8428177226644138E-2</c:v>
                </c:pt>
                <c:pt idx="24">
                  <c:v>-1.5869730525585268E-2</c:v>
                </c:pt>
                <c:pt idx="25">
                  <c:v>-1.8915920359100724E-2</c:v>
                </c:pt>
                <c:pt idx="26">
                  <c:v>-3.1313958466023806E-2</c:v>
                </c:pt>
                <c:pt idx="27">
                  <c:v>-4.806893190859185E-2</c:v>
                </c:pt>
                <c:pt idx="28">
                  <c:v>-5.4144365399125149E-2</c:v>
                </c:pt>
                <c:pt idx="29">
                  <c:v>-5.065994818287578E-2</c:v>
                </c:pt>
                <c:pt idx="30">
                  <c:v>-4.725383379837389E-2</c:v>
                </c:pt>
                <c:pt idx="31">
                  <c:v>-3.675149050027926E-2</c:v>
                </c:pt>
                <c:pt idx="32">
                  <c:v>-2.4125062653437723E-2</c:v>
                </c:pt>
                <c:pt idx="33">
                  <c:v>-1.4508555043603266E-2</c:v>
                </c:pt>
                <c:pt idx="34">
                  <c:v>-1.2218513740505088E-2</c:v>
                </c:pt>
                <c:pt idx="35">
                  <c:v>-9.9872141404233616E-3</c:v>
                </c:pt>
                <c:pt idx="36">
                  <c:v>-1.7870308106052946E-2</c:v>
                </c:pt>
                <c:pt idx="37">
                  <c:v>-2.398352317419139E-2</c:v>
                </c:pt>
                <c:pt idx="38">
                  <c:v>-3.1785606060147131E-2</c:v>
                </c:pt>
                <c:pt idx="39">
                  <c:v>-2.8511290182894555E-2</c:v>
                </c:pt>
                <c:pt idx="40">
                  <c:v>-3.1449312682585884E-2</c:v>
                </c:pt>
                <c:pt idx="41">
                  <c:v>-3.9230487538423731E-2</c:v>
                </c:pt>
                <c:pt idx="42">
                  <c:v>-4.1201821604698097E-2</c:v>
                </c:pt>
                <c:pt idx="43">
                  <c:v>-5.0743378496438396E-2</c:v>
                </c:pt>
                <c:pt idx="44">
                  <c:v>-7.3859239534163734E-2</c:v>
                </c:pt>
                <c:pt idx="45">
                  <c:v>-7.4872428854435569E-2</c:v>
                </c:pt>
                <c:pt idx="46">
                  <c:v>-6.8101968852360528E-2</c:v>
                </c:pt>
                <c:pt idx="47">
                  <c:v>-6.4624518385317131E-2</c:v>
                </c:pt>
                <c:pt idx="48">
                  <c:v>-5.6204897003830467E-2</c:v>
                </c:pt>
                <c:pt idx="49">
                  <c:v>-5.0105317512239012E-2</c:v>
                </c:pt>
                <c:pt idx="50">
                  <c:v>-4.9382362272577751E-2</c:v>
                </c:pt>
                <c:pt idx="51">
                  <c:v>-5.809997723289051E-2</c:v>
                </c:pt>
                <c:pt idx="52">
                  <c:v>-5.9850453041645935E-2</c:v>
                </c:pt>
                <c:pt idx="53">
                  <c:v>-5.8745510084555974E-2</c:v>
                </c:pt>
                <c:pt idx="54">
                  <c:v>-7.312013785091942E-2</c:v>
                </c:pt>
                <c:pt idx="55">
                  <c:v>-8.1162679384320313E-2</c:v>
                </c:pt>
                <c:pt idx="56">
                  <c:v>-9.0323836721426076E-2</c:v>
                </c:pt>
                <c:pt idx="57">
                  <c:v>-8.483564661104559E-2</c:v>
                </c:pt>
                <c:pt idx="58">
                  <c:v>-8.9562508304576127E-2</c:v>
                </c:pt>
                <c:pt idx="59">
                  <c:v>-7.9274656608369298E-2</c:v>
                </c:pt>
                <c:pt idx="60">
                  <c:v>-7.7709089789031793E-2</c:v>
                </c:pt>
                <c:pt idx="61">
                  <c:v>-7.4386998928124726E-2</c:v>
                </c:pt>
                <c:pt idx="62">
                  <c:v>-7.5619406221093755E-2</c:v>
                </c:pt>
                <c:pt idx="63">
                  <c:v>-7.1033967407165832E-2</c:v>
                </c:pt>
                <c:pt idx="64">
                  <c:v>-7.2727367970163215E-2</c:v>
                </c:pt>
                <c:pt idx="65">
                  <c:v>-7.1951005695629178E-2</c:v>
                </c:pt>
                <c:pt idx="66">
                  <c:v>-6.7719703202046233E-2</c:v>
                </c:pt>
                <c:pt idx="67">
                  <c:v>-6.8695449065870662E-2</c:v>
                </c:pt>
                <c:pt idx="68">
                  <c:v>-5.7744447744465077E-2</c:v>
                </c:pt>
                <c:pt idx="69">
                  <c:v>-4.8814832247586537E-2</c:v>
                </c:pt>
                <c:pt idx="70">
                  <c:v>-3.9559837041801771E-2</c:v>
                </c:pt>
                <c:pt idx="71">
                  <c:v>-4.5642327558283569E-2</c:v>
                </c:pt>
                <c:pt idx="72">
                  <c:v>-3.1693216838666771E-2</c:v>
                </c:pt>
                <c:pt idx="73">
                  <c:v>-2.8842742015608991E-2</c:v>
                </c:pt>
                <c:pt idx="74">
                  <c:v>-2.0614983707469392E-2</c:v>
                </c:pt>
                <c:pt idx="75">
                  <c:v>-1.488525341653002E-3</c:v>
                </c:pt>
                <c:pt idx="76">
                  <c:v>5.2555401825955528E-3</c:v>
                </c:pt>
                <c:pt idx="77">
                  <c:v>-2.1793633487909858E-4</c:v>
                </c:pt>
                <c:pt idx="78">
                  <c:v>2.7192946308307597E-3</c:v>
                </c:pt>
                <c:pt idx="79">
                  <c:v>-1.6466468339544349E-3</c:v>
                </c:pt>
                <c:pt idx="80">
                  <c:v>-3.7367803609171801E-3</c:v>
                </c:pt>
                <c:pt idx="81">
                  <c:v>1.9623875867971208E-3</c:v>
                </c:pt>
                <c:pt idx="82">
                  <c:v>-1.1266348235814405E-3</c:v>
                </c:pt>
                <c:pt idx="83">
                  <c:v>-3.2038808730092683E-3</c:v>
                </c:pt>
                <c:pt idx="84">
                  <c:v>1.2914505466676829E-2</c:v>
                </c:pt>
                <c:pt idx="85">
                  <c:v>2.0362354362532642E-2</c:v>
                </c:pt>
                <c:pt idx="86">
                  <c:v>3.0810366621533802E-2</c:v>
                </c:pt>
                <c:pt idx="87">
                  <c:v>2.7209764551651361E-2</c:v>
                </c:pt>
                <c:pt idx="88">
                  <c:v>3.0773030532877499E-2</c:v>
                </c:pt>
                <c:pt idx="89">
                  <c:v>2.9505399791780462E-2</c:v>
                </c:pt>
                <c:pt idx="90">
                  <c:v>2.613166145771828E-2</c:v>
                </c:pt>
                <c:pt idx="91">
                  <c:v>2.5784881576393914E-2</c:v>
                </c:pt>
                <c:pt idx="92">
                  <c:v>2.4094349072390386E-2</c:v>
                </c:pt>
                <c:pt idx="93">
                  <c:v>2.0134440034823342E-2</c:v>
                </c:pt>
                <c:pt idx="94">
                  <c:v>2.0048423370230495E-2</c:v>
                </c:pt>
                <c:pt idx="95">
                  <c:v>8.4485094503872205E-3</c:v>
                </c:pt>
                <c:pt idx="96">
                  <c:v>1.8989361883638978E-2</c:v>
                </c:pt>
                <c:pt idx="97">
                  <c:v>1.9868424392834427E-2</c:v>
                </c:pt>
                <c:pt idx="98">
                  <c:v>1.9303808630738217E-2</c:v>
                </c:pt>
                <c:pt idx="99">
                  <c:v>2.7253892406310598E-2</c:v>
                </c:pt>
                <c:pt idx="100">
                  <c:v>3.258526939982076E-2</c:v>
                </c:pt>
                <c:pt idx="101">
                  <c:v>4.368742090979616E-2</c:v>
                </c:pt>
                <c:pt idx="102">
                  <c:v>5.0993799400949058E-2</c:v>
                </c:pt>
                <c:pt idx="103">
                  <c:v>6.6118362534588471E-2</c:v>
                </c:pt>
                <c:pt idx="104">
                  <c:v>7.6649255104543457E-2</c:v>
                </c:pt>
                <c:pt idx="105">
                  <c:v>6.8560708742667842E-2</c:v>
                </c:pt>
                <c:pt idx="106">
                  <c:v>6.4220649523440088E-2</c:v>
                </c:pt>
                <c:pt idx="107">
                  <c:v>5.337500754217217E-2</c:v>
                </c:pt>
                <c:pt idx="108">
                  <c:v>3.6940867435250269E-2</c:v>
                </c:pt>
                <c:pt idx="109">
                  <c:v>3.2958166343014739E-2</c:v>
                </c:pt>
                <c:pt idx="110">
                  <c:v>2.9313700722227054E-2</c:v>
                </c:pt>
                <c:pt idx="111">
                  <c:v>6.6386311006869647E-3</c:v>
                </c:pt>
                <c:pt idx="112">
                  <c:v>7.5604459321372275E-3</c:v>
                </c:pt>
                <c:pt idx="113">
                  <c:v>1.6046668084470639E-2</c:v>
                </c:pt>
                <c:pt idx="114">
                  <c:v>2.1830106925490256E-2</c:v>
                </c:pt>
                <c:pt idx="115">
                  <c:v>2.4499742007636272E-2</c:v>
                </c:pt>
                <c:pt idx="116">
                  <c:v>3.6740183009023042E-2</c:v>
                </c:pt>
                <c:pt idx="117">
                  <c:v>3.8394460949922049E-2</c:v>
                </c:pt>
                <c:pt idx="118">
                  <c:v>4.0912147309818181E-2</c:v>
                </c:pt>
                <c:pt idx="119">
                  <c:v>4.5708005037900179E-2</c:v>
                </c:pt>
                <c:pt idx="120">
                  <c:v>4.9716905097444197E-2</c:v>
                </c:pt>
                <c:pt idx="121">
                  <c:v>4.7308733406943304E-2</c:v>
                </c:pt>
                <c:pt idx="122">
                  <c:v>4.8495034744604482E-2</c:v>
                </c:pt>
                <c:pt idx="123">
                  <c:v>5.5215854932420427E-2</c:v>
                </c:pt>
                <c:pt idx="124">
                  <c:v>5.3051501464194573E-2</c:v>
                </c:pt>
                <c:pt idx="125">
                  <c:v>6.6261998071555084E-2</c:v>
                </c:pt>
                <c:pt idx="126">
                  <c:v>6.2117224332885357E-2</c:v>
                </c:pt>
                <c:pt idx="127">
                  <c:v>6.1833522721940426E-2</c:v>
                </c:pt>
                <c:pt idx="128">
                  <c:v>5.9079909854219181E-2</c:v>
                </c:pt>
                <c:pt idx="129">
                  <c:v>5.0425169727054353E-2</c:v>
                </c:pt>
                <c:pt idx="130">
                  <c:v>5.1662382268130358E-2</c:v>
                </c:pt>
                <c:pt idx="131">
                  <c:v>4.5661330014953094E-2</c:v>
                </c:pt>
                <c:pt idx="132">
                  <c:v>3.6016020190274389E-2</c:v>
                </c:pt>
                <c:pt idx="133">
                  <c:v>5.0342021983702523E-3</c:v>
                </c:pt>
                <c:pt idx="134">
                  <c:v>7.5510514508358995E-3</c:v>
                </c:pt>
                <c:pt idx="135">
                  <c:v>1.2829664487911785E-2</c:v>
                </c:pt>
                <c:pt idx="136">
                  <c:v>8.73442343863573E-3</c:v>
                </c:pt>
                <c:pt idx="137">
                  <c:v>1.1658583482461182E-3</c:v>
                </c:pt>
                <c:pt idx="138">
                  <c:v>-2.3747335885744292E-3</c:v>
                </c:pt>
                <c:pt idx="139">
                  <c:v>-1.7230328241653936E-2</c:v>
                </c:pt>
                <c:pt idx="140">
                  <c:v>-1.7416826000488328E-2</c:v>
                </c:pt>
                <c:pt idx="141">
                  <c:v>-2.2012507434828521E-2</c:v>
                </c:pt>
                <c:pt idx="142">
                  <c:v>-2.3285407963093974E-2</c:v>
                </c:pt>
                <c:pt idx="143">
                  <c:v>-1.3769768917649472E-2</c:v>
                </c:pt>
                <c:pt idx="144">
                  <c:v>-1.137863952413376E-2</c:v>
                </c:pt>
                <c:pt idx="145">
                  <c:v>1.3335879484603907E-3</c:v>
                </c:pt>
                <c:pt idx="146">
                  <c:v>1.1255143760388719E-2</c:v>
                </c:pt>
                <c:pt idx="147">
                  <c:v>1.9305533428903843E-2</c:v>
                </c:pt>
                <c:pt idx="148">
                  <c:v>2.0258796667551593E-2</c:v>
                </c:pt>
                <c:pt idx="149">
                  <c:v>2.6712596287024937E-2</c:v>
                </c:pt>
                <c:pt idx="150">
                  <c:v>2.6269425512914779E-2</c:v>
                </c:pt>
                <c:pt idx="151">
                  <c:v>3.1303158708618994E-2</c:v>
                </c:pt>
                <c:pt idx="152">
                  <c:v>4.0929911298778876E-2</c:v>
                </c:pt>
                <c:pt idx="153">
                  <c:v>4.2514130433458419E-2</c:v>
                </c:pt>
                <c:pt idx="154">
                  <c:v>5.338813968714895E-2</c:v>
                </c:pt>
                <c:pt idx="155">
                  <c:v>4.7635297002129207E-2</c:v>
                </c:pt>
                <c:pt idx="156">
                  <c:v>4.8975023582755739E-2</c:v>
                </c:pt>
                <c:pt idx="157">
                  <c:v>5.229182642653285E-2</c:v>
                </c:pt>
                <c:pt idx="158">
                  <c:v>6.1947193638710374E-2</c:v>
                </c:pt>
                <c:pt idx="159">
                  <c:v>6.0262560446629365E-2</c:v>
                </c:pt>
                <c:pt idx="160">
                  <c:v>5.3845965027784715E-2</c:v>
                </c:pt>
                <c:pt idx="161">
                  <c:v>5.9862342974037475E-2</c:v>
                </c:pt>
                <c:pt idx="162">
                  <c:v>6.335278186279325E-2</c:v>
                </c:pt>
                <c:pt idx="163">
                  <c:v>5.7576638589640794E-2</c:v>
                </c:pt>
                <c:pt idx="164">
                  <c:v>6.769815885876973E-2</c:v>
                </c:pt>
                <c:pt idx="165">
                  <c:v>6.7578613725791215E-2</c:v>
                </c:pt>
                <c:pt idx="166">
                  <c:v>6.8398684150700717E-2</c:v>
                </c:pt>
                <c:pt idx="167">
                  <c:v>7.1819415963632949E-2</c:v>
                </c:pt>
                <c:pt idx="168">
                  <c:v>6.904794547547155E-2</c:v>
                </c:pt>
                <c:pt idx="169">
                  <c:v>6.6031185618591337E-2</c:v>
                </c:pt>
                <c:pt idx="170">
                  <c:v>6.7517529829496326E-2</c:v>
                </c:pt>
                <c:pt idx="171">
                  <c:v>6.3730473133698951E-2</c:v>
                </c:pt>
                <c:pt idx="172">
                  <c:v>6.445407007791637E-2</c:v>
                </c:pt>
                <c:pt idx="173">
                  <c:v>5.8972071672524606E-2</c:v>
                </c:pt>
                <c:pt idx="174">
                  <c:v>5.3999062660897934E-2</c:v>
                </c:pt>
                <c:pt idx="175">
                  <c:v>3.741636378049229E-2</c:v>
                </c:pt>
                <c:pt idx="176">
                  <c:v>2.5141168772560007E-2</c:v>
                </c:pt>
                <c:pt idx="177">
                  <c:v>2.4826152974963378E-2</c:v>
                </c:pt>
                <c:pt idx="178">
                  <c:v>2.0849006070116971E-2</c:v>
                </c:pt>
                <c:pt idx="179">
                  <c:v>1.1517450326611112E-2</c:v>
                </c:pt>
                <c:pt idx="180">
                  <c:v>2.1733540540083141E-2</c:v>
                </c:pt>
                <c:pt idx="181">
                  <c:v>1.9729030932673197E-2</c:v>
                </c:pt>
                <c:pt idx="182">
                  <c:v>2.1321647456948867E-2</c:v>
                </c:pt>
                <c:pt idx="183">
                  <c:v>2.4287830316993109E-2</c:v>
                </c:pt>
                <c:pt idx="184">
                  <c:v>1.9767185812572308E-2</c:v>
                </c:pt>
                <c:pt idx="185">
                  <c:v>2.0408593758045157E-2</c:v>
                </c:pt>
                <c:pt idx="186">
                  <c:v>2.2642743997431936E-2</c:v>
                </c:pt>
                <c:pt idx="187">
                  <c:v>2.2788236699399889E-2</c:v>
                </c:pt>
                <c:pt idx="188">
                  <c:v>2.6080262996654113E-2</c:v>
                </c:pt>
                <c:pt idx="189">
                  <c:v>2.5479182722786931E-2</c:v>
                </c:pt>
                <c:pt idx="190">
                  <c:v>2.4448470776224696E-2</c:v>
                </c:pt>
                <c:pt idx="191">
                  <c:v>2.6743511251156704E-2</c:v>
                </c:pt>
                <c:pt idx="192">
                  <c:v>2.1156340975027277E-2</c:v>
                </c:pt>
                <c:pt idx="193">
                  <c:v>2.164417858089962E-2</c:v>
                </c:pt>
                <c:pt idx="194">
                  <c:v>2.2061236114410576E-2</c:v>
                </c:pt>
                <c:pt idx="195">
                  <c:v>2.05313542532366E-2</c:v>
                </c:pt>
                <c:pt idx="196">
                  <c:v>2.1826056450217735E-2</c:v>
                </c:pt>
                <c:pt idx="197">
                  <c:v>2.4252093475546133E-2</c:v>
                </c:pt>
                <c:pt idx="198">
                  <c:v>2.1657852943301137E-2</c:v>
                </c:pt>
                <c:pt idx="199">
                  <c:v>2.1001577207195865E-2</c:v>
                </c:pt>
                <c:pt idx="200">
                  <c:v>2.3413736915539829E-2</c:v>
                </c:pt>
                <c:pt idx="201">
                  <c:v>1.965695466748052E-2</c:v>
                </c:pt>
                <c:pt idx="202">
                  <c:v>2.7849936559547928E-2</c:v>
                </c:pt>
                <c:pt idx="203">
                  <c:v>3.1180836868081485E-2</c:v>
                </c:pt>
                <c:pt idx="204">
                  <c:v>3.3281369876128508E-2</c:v>
                </c:pt>
                <c:pt idx="205">
                  <c:v>4.2618810567823573E-2</c:v>
                </c:pt>
                <c:pt idx="206">
                  <c:v>4.7044774376633569E-2</c:v>
                </c:pt>
                <c:pt idx="207">
                  <c:v>5.2949962848932941E-2</c:v>
                </c:pt>
                <c:pt idx="208">
                  <c:v>5.5253701129762689E-2</c:v>
                </c:pt>
                <c:pt idx="209">
                  <c:v>6.2297441966530087E-2</c:v>
                </c:pt>
                <c:pt idx="210">
                  <c:v>6.4894316004270536E-2</c:v>
                </c:pt>
                <c:pt idx="211">
                  <c:v>7.1026177606489327E-2</c:v>
                </c:pt>
                <c:pt idx="212">
                  <c:v>7.8085083086692819E-2</c:v>
                </c:pt>
                <c:pt idx="213">
                  <c:v>7.9504192102373139E-2</c:v>
                </c:pt>
                <c:pt idx="214">
                  <c:v>8.090776385090237E-2</c:v>
                </c:pt>
                <c:pt idx="215">
                  <c:v>8.1563780376576744E-2</c:v>
                </c:pt>
                <c:pt idx="216">
                  <c:v>7.7501726935203408E-2</c:v>
                </c:pt>
                <c:pt idx="217">
                  <c:v>7.1732326402241142E-2</c:v>
                </c:pt>
                <c:pt idx="218">
                  <c:v>6.7212239884582914E-2</c:v>
                </c:pt>
                <c:pt idx="219">
                  <c:v>7.527015552435401E-2</c:v>
                </c:pt>
                <c:pt idx="220">
                  <c:v>6.9896522479542256E-2</c:v>
                </c:pt>
                <c:pt idx="221">
                  <c:v>6.7313294951162561E-2</c:v>
                </c:pt>
                <c:pt idx="222">
                  <c:v>6.6364097797107391E-2</c:v>
                </c:pt>
                <c:pt idx="223">
                  <c:v>6.4057870163198416E-2</c:v>
                </c:pt>
                <c:pt idx="224">
                  <c:v>6.1475233367618287E-2</c:v>
                </c:pt>
                <c:pt idx="225">
                  <c:v>6.5251480498792702E-2</c:v>
                </c:pt>
                <c:pt idx="226">
                  <c:v>7.1416052229682947E-2</c:v>
                </c:pt>
                <c:pt idx="227">
                  <c:v>7.0475241574280645E-2</c:v>
                </c:pt>
                <c:pt idx="228">
                  <c:v>7.2417862470381067E-2</c:v>
                </c:pt>
                <c:pt idx="229">
                  <c:v>7.0252424517486034E-2</c:v>
                </c:pt>
                <c:pt idx="230">
                  <c:v>7.4047549936928192E-2</c:v>
                </c:pt>
                <c:pt idx="231">
                  <c:v>7.7421673612397157E-2</c:v>
                </c:pt>
                <c:pt idx="232">
                  <c:v>7.6224274907270129E-2</c:v>
                </c:pt>
                <c:pt idx="233">
                  <c:v>7.9707560555876356E-2</c:v>
                </c:pt>
                <c:pt idx="234">
                  <c:v>8.0028690520469681E-2</c:v>
                </c:pt>
                <c:pt idx="235">
                  <c:v>7.3962940860468507E-2</c:v>
                </c:pt>
                <c:pt idx="236">
                  <c:v>7.7214230347081525E-2</c:v>
                </c:pt>
                <c:pt idx="237">
                  <c:v>7.4733529917512698E-2</c:v>
                </c:pt>
                <c:pt idx="238">
                  <c:v>7.3141452010540675E-2</c:v>
                </c:pt>
                <c:pt idx="239">
                  <c:v>7.4670208115884762E-2</c:v>
                </c:pt>
                <c:pt idx="240">
                  <c:v>7.3198768769813682E-2</c:v>
                </c:pt>
                <c:pt idx="241">
                  <c:v>6.8171341161010091E-2</c:v>
                </c:pt>
                <c:pt idx="242">
                  <c:v>6.6843607354263312E-2</c:v>
                </c:pt>
                <c:pt idx="243">
                  <c:v>6.2830524330101056E-2</c:v>
                </c:pt>
                <c:pt idx="244">
                  <c:v>5.3866263245341273E-2</c:v>
                </c:pt>
                <c:pt idx="245">
                  <c:v>4.9025623008175145E-2</c:v>
                </c:pt>
                <c:pt idx="246">
                  <c:v>3.3438390337730439E-2</c:v>
                </c:pt>
                <c:pt idx="247">
                  <c:v>1.6651454482623507E-2</c:v>
                </c:pt>
                <c:pt idx="248">
                  <c:v>6.690956791727487E-3</c:v>
                </c:pt>
                <c:pt idx="249">
                  <c:v>-5.6979398181429275E-3</c:v>
                </c:pt>
                <c:pt idx="250">
                  <c:v>-6.7060090154047458E-3</c:v>
                </c:pt>
                <c:pt idx="251">
                  <c:v>-1.5508374931787472E-2</c:v>
                </c:pt>
                <c:pt idx="252">
                  <c:v>-1.7127259316705334E-2</c:v>
                </c:pt>
                <c:pt idx="253">
                  <c:v>-1.552416561066039E-2</c:v>
                </c:pt>
                <c:pt idx="254">
                  <c:v>-1.5929542942176411E-2</c:v>
                </c:pt>
                <c:pt idx="255">
                  <c:v>-1.7390483334370543E-2</c:v>
                </c:pt>
                <c:pt idx="256">
                  <c:v>-2.0760899101832209E-2</c:v>
                </c:pt>
                <c:pt idx="257">
                  <c:v>-2.6950285389707673E-2</c:v>
                </c:pt>
                <c:pt idx="258">
                  <c:v>-3.1459935684702955E-2</c:v>
                </c:pt>
                <c:pt idx="259">
                  <c:v>-3.7215714729507354E-2</c:v>
                </c:pt>
                <c:pt idx="260">
                  <c:v>-3.7216167341425077E-2</c:v>
                </c:pt>
                <c:pt idx="261">
                  <c:v>-4.2646791659088024E-2</c:v>
                </c:pt>
                <c:pt idx="262">
                  <c:v>-4.8104361802092654E-2</c:v>
                </c:pt>
                <c:pt idx="263">
                  <c:v>-5.1596742341455837E-2</c:v>
                </c:pt>
                <c:pt idx="264">
                  <c:v>-5.2144416581530351E-2</c:v>
                </c:pt>
                <c:pt idx="265">
                  <c:v>-5.6397918579873973E-2</c:v>
                </c:pt>
                <c:pt idx="266">
                  <c:v>-5.9825314021962228E-2</c:v>
                </c:pt>
                <c:pt idx="267">
                  <c:v>-5.8581094869904149E-2</c:v>
                </c:pt>
                <c:pt idx="268">
                  <c:v>-6.2210622100487001E-2</c:v>
                </c:pt>
                <c:pt idx="269">
                  <c:v>-5.9866207611831257E-2</c:v>
                </c:pt>
                <c:pt idx="270">
                  <c:v>-5.7607416334070294E-2</c:v>
                </c:pt>
                <c:pt idx="271">
                  <c:v>-5.3727760964468629E-2</c:v>
                </c:pt>
                <c:pt idx="272">
                  <c:v>-5.3212437272826207E-2</c:v>
                </c:pt>
                <c:pt idx="273">
                  <c:v>-5.3548539530817507E-2</c:v>
                </c:pt>
                <c:pt idx="274">
                  <c:v>-5.4062608503441467E-2</c:v>
                </c:pt>
                <c:pt idx="275">
                  <c:v>-5.7512048230995205E-2</c:v>
                </c:pt>
                <c:pt idx="276">
                  <c:v>-5.7176650866272993E-2</c:v>
                </c:pt>
                <c:pt idx="277">
                  <c:v>-5.9434052244977664E-2</c:v>
                </c:pt>
                <c:pt idx="278">
                  <c:v>-5.9924210871393768E-2</c:v>
                </c:pt>
                <c:pt idx="279">
                  <c:v>-6.213204342066625E-2</c:v>
                </c:pt>
                <c:pt idx="280">
                  <c:v>-6.1397457573120207E-2</c:v>
                </c:pt>
                <c:pt idx="281">
                  <c:v>-6.3387996821536063E-2</c:v>
                </c:pt>
                <c:pt idx="282">
                  <c:v>-6.3841111367167969E-2</c:v>
                </c:pt>
                <c:pt idx="283">
                  <c:v>-6.0049324944367655E-2</c:v>
                </c:pt>
                <c:pt idx="284">
                  <c:v>-5.9458060291037285E-2</c:v>
                </c:pt>
                <c:pt idx="285">
                  <c:v>-6.085284842080263E-2</c:v>
                </c:pt>
                <c:pt idx="286">
                  <c:v>-6.3224327701595584E-2</c:v>
                </c:pt>
                <c:pt idx="287">
                  <c:v>-6.6971404989544681E-2</c:v>
                </c:pt>
                <c:pt idx="288">
                  <c:v>-7.1823493823806928E-2</c:v>
                </c:pt>
                <c:pt idx="289">
                  <c:v>-6.9893609229238152E-2</c:v>
                </c:pt>
                <c:pt idx="290">
                  <c:v>-6.546856085338959E-2</c:v>
                </c:pt>
                <c:pt idx="291">
                  <c:v>-6.5771089169762931E-2</c:v>
                </c:pt>
                <c:pt idx="292">
                  <c:v>-8.9203507144201666E-2</c:v>
                </c:pt>
                <c:pt idx="293">
                  <c:v>-0.1857813498293055</c:v>
                </c:pt>
                <c:pt idx="294">
                  <c:v>-0.10650183150306347</c:v>
                </c:pt>
                <c:pt idx="295">
                  <c:v>-9.8918006584703733E-2</c:v>
                </c:pt>
                <c:pt idx="296">
                  <c:v>-8.1690185364848844E-2</c:v>
                </c:pt>
                <c:pt idx="297">
                  <c:v>-5.3237920321642207E-2</c:v>
                </c:pt>
                <c:pt idx="298">
                  <c:v>-5.1605060281529447E-2</c:v>
                </c:pt>
                <c:pt idx="299">
                  <c:v>-4.8850497600826159E-2</c:v>
                </c:pt>
                <c:pt idx="300">
                  <c:v>-5.4408742896006501E-2</c:v>
                </c:pt>
                <c:pt idx="301">
                  <c:v>-5.3165687237404669E-2</c:v>
                </c:pt>
                <c:pt idx="302">
                  <c:v>-5.587486371986472E-2</c:v>
                </c:pt>
                <c:pt idx="303">
                  <c:v>-6.1453576115111375E-2</c:v>
                </c:pt>
                <c:pt idx="304">
                  <c:v>-5.773093967110654E-2</c:v>
                </c:pt>
                <c:pt idx="305">
                  <c:v>-6.1358267029977043E-2</c:v>
                </c:pt>
                <c:pt idx="306">
                  <c:v>-6.1580924518276348E-2</c:v>
                </c:pt>
                <c:pt idx="307">
                  <c:v>-6.200166998722878E-2</c:v>
                </c:pt>
                <c:pt idx="308">
                  <c:v>-6.530792672279162E-2</c:v>
                </c:pt>
                <c:pt idx="309">
                  <c:v>-6.3511201353223967E-2</c:v>
                </c:pt>
                <c:pt idx="310">
                  <c:v>-6.1218144727563484E-2</c:v>
                </c:pt>
                <c:pt idx="311">
                  <c:v>-5.852410555930021E-2</c:v>
                </c:pt>
                <c:pt idx="312">
                  <c:v>-6.3509996747638908E-2</c:v>
                </c:pt>
                <c:pt idx="313">
                  <c:v>-6.3996898413462233E-2</c:v>
                </c:pt>
                <c:pt idx="314">
                  <c:v>-6.2049812464424647E-2</c:v>
                </c:pt>
                <c:pt idx="315">
                  <c:v>-6.3335888700528642E-2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61-436F-BCC3-7CA604BAE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867167"/>
        <c:axId val="1858867647"/>
      </c:scatterChart>
      <c:valAx>
        <c:axId val="1858867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8867647"/>
        <c:crosses val="autoZero"/>
        <c:crossBetween val="midCat"/>
      </c:valAx>
      <c:valAx>
        <c:axId val="1858867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88671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Quarterly!$B$1</c:f>
              <c:strCache>
                <c:ptCount val="1"/>
                <c:pt idx="0">
                  <c:v>Real 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Quarterly!$A$2:$A$317</c:f>
              <c:numCache>
                <c:formatCode>yyyy\-mm\-dd</c:formatCode>
                <c:ptCount val="316"/>
                <c:pt idx="0">
                  <c:v>17168</c:v>
                </c:pt>
                <c:pt idx="1">
                  <c:v>17258</c:v>
                </c:pt>
                <c:pt idx="2">
                  <c:v>17349</c:v>
                </c:pt>
                <c:pt idx="3">
                  <c:v>17441</c:v>
                </c:pt>
                <c:pt idx="4">
                  <c:v>17533</c:v>
                </c:pt>
                <c:pt idx="5">
                  <c:v>17624</c:v>
                </c:pt>
                <c:pt idx="6">
                  <c:v>17715</c:v>
                </c:pt>
                <c:pt idx="7">
                  <c:v>17807</c:v>
                </c:pt>
                <c:pt idx="8">
                  <c:v>17899</c:v>
                </c:pt>
                <c:pt idx="9">
                  <c:v>17989</c:v>
                </c:pt>
                <c:pt idx="10">
                  <c:v>18080</c:v>
                </c:pt>
                <c:pt idx="11">
                  <c:v>18172</c:v>
                </c:pt>
                <c:pt idx="12">
                  <c:v>18264</c:v>
                </c:pt>
                <c:pt idx="13">
                  <c:v>18354</c:v>
                </c:pt>
                <c:pt idx="14">
                  <c:v>18445</c:v>
                </c:pt>
                <c:pt idx="15">
                  <c:v>18537</c:v>
                </c:pt>
                <c:pt idx="16">
                  <c:v>18629</c:v>
                </c:pt>
                <c:pt idx="17">
                  <c:v>18719</c:v>
                </c:pt>
                <c:pt idx="18">
                  <c:v>18810</c:v>
                </c:pt>
                <c:pt idx="19">
                  <c:v>18902</c:v>
                </c:pt>
                <c:pt idx="20">
                  <c:v>18994</c:v>
                </c:pt>
                <c:pt idx="21">
                  <c:v>19085</c:v>
                </c:pt>
                <c:pt idx="22">
                  <c:v>19176</c:v>
                </c:pt>
                <c:pt idx="23">
                  <c:v>19268</c:v>
                </c:pt>
                <c:pt idx="24">
                  <c:v>19360</c:v>
                </c:pt>
                <c:pt idx="25">
                  <c:v>19450</c:v>
                </c:pt>
                <c:pt idx="26">
                  <c:v>19541</c:v>
                </c:pt>
                <c:pt idx="27">
                  <c:v>19633</c:v>
                </c:pt>
                <c:pt idx="28">
                  <c:v>19725</c:v>
                </c:pt>
                <c:pt idx="29">
                  <c:v>19815</c:v>
                </c:pt>
                <c:pt idx="30">
                  <c:v>19906</c:v>
                </c:pt>
                <c:pt idx="31">
                  <c:v>19998</c:v>
                </c:pt>
                <c:pt idx="32">
                  <c:v>20090</c:v>
                </c:pt>
                <c:pt idx="33">
                  <c:v>20180</c:v>
                </c:pt>
                <c:pt idx="34">
                  <c:v>20271</c:v>
                </c:pt>
                <c:pt idx="35">
                  <c:v>20363</c:v>
                </c:pt>
                <c:pt idx="36">
                  <c:v>20455</c:v>
                </c:pt>
                <c:pt idx="37">
                  <c:v>20546</c:v>
                </c:pt>
                <c:pt idx="38">
                  <c:v>20637</c:v>
                </c:pt>
                <c:pt idx="39">
                  <c:v>20729</c:v>
                </c:pt>
                <c:pt idx="40">
                  <c:v>20821</c:v>
                </c:pt>
                <c:pt idx="41">
                  <c:v>20911</c:v>
                </c:pt>
                <c:pt idx="42">
                  <c:v>21002</c:v>
                </c:pt>
                <c:pt idx="43">
                  <c:v>21094</c:v>
                </c:pt>
                <c:pt idx="44">
                  <c:v>21186</c:v>
                </c:pt>
                <c:pt idx="45">
                  <c:v>21276</c:v>
                </c:pt>
                <c:pt idx="46">
                  <c:v>21367</c:v>
                </c:pt>
                <c:pt idx="47">
                  <c:v>21459</c:v>
                </c:pt>
                <c:pt idx="48">
                  <c:v>21551</c:v>
                </c:pt>
                <c:pt idx="49">
                  <c:v>21641</c:v>
                </c:pt>
                <c:pt idx="50">
                  <c:v>21732</c:v>
                </c:pt>
                <c:pt idx="51">
                  <c:v>21824</c:v>
                </c:pt>
                <c:pt idx="52">
                  <c:v>21916</c:v>
                </c:pt>
                <c:pt idx="53">
                  <c:v>22007</c:v>
                </c:pt>
                <c:pt idx="54">
                  <c:v>22098</c:v>
                </c:pt>
                <c:pt idx="55">
                  <c:v>22190</c:v>
                </c:pt>
                <c:pt idx="56">
                  <c:v>22282</c:v>
                </c:pt>
                <c:pt idx="57">
                  <c:v>22372</c:v>
                </c:pt>
                <c:pt idx="58">
                  <c:v>22463</c:v>
                </c:pt>
                <c:pt idx="59">
                  <c:v>22555</c:v>
                </c:pt>
                <c:pt idx="60">
                  <c:v>22647</c:v>
                </c:pt>
                <c:pt idx="61">
                  <c:v>22737</c:v>
                </c:pt>
                <c:pt idx="62">
                  <c:v>22828</c:v>
                </c:pt>
                <c:pt idx="63">
                  <c:v>22920</c:v>
                </c:pt>
                <c:pt idx="64">
                  <c:v>23012</c:v>
                </c:pt>
                <c:pt idx="65">
                  <c:v>23102</c:v>
                </c:pt>
                <c:pt idx="66">
                  <c:v>23193</c:v>
                </c:pt>
                <c:pt idx="67">
                  <c:v>23285</c:v>
                </c:pt>
                <c:pt idx="68">
                  <c:v>23377</c:v>
                </c:pt>
                <c:pt idx="69">
                  <c:v>23468</c:v>
                </c:pt>
                <c:pt idx="70">
                  <c:v>23559</c:v>
                </c:pt>
                <c:pt idx="71">
                  <c:v>23651</c:v>
                </c:pt>
                <c:pt idx="72">
                  <c:v>23743</c:v>
                </c:pt>
                <c:pt idx="73">
                  <c:v>23833</c:v>
                </c:pt>
                <c:pt idx="74">
                  <c:v>23924</c:v>
                </c:pt>
                <c:pt idx="75">
                  <c:v>24016</c:v>
                </c:pt>
                <c:pt idx="76">
                  <c:v>24108</c:v>
                </c:pt>
                <c:pt idx="77">
                  <c:v>24198</c:v>
                </c:pt>
                <c:pt idx="78">
                  <c:v>24289</c:v>
                </c:pt>
                <c:pt idx="79">
                  <c:v>24381</c:v>
                </c:pt>
                <c:pt idx="80">
                  <c:v>24473</c:v>
                </c:pt>
                <c:pt idx="81">
                  <c:v>24563</c:v>
                </c:pt>
                <c:pt idx="82">
                  <c:v>24654</c:v>
                </c:pt>
                <c:pt idx="83">
                  <c:v>24746</c:v>
                </c:pt>
                <c:pt idx="84">
                  <c:v>24838</c:v>
                </c:pt>
                <c:pt idx="85">
                  <c:v>24929</c:v>
                </c:pt>
                <c:pt idx="86">
                  <c:v>25020</c:v>
                </c:pt>
                <c:pt idx="87">
                  <c:v>25112</c:v>
                </c:pt>
                <c:pt idx="88">
                  <c:v>25204</c:v>
                </c:pt>
                <c:pt idx="89">
                  <c:v>25294</c:v>
                </c:pt>
                <c:pt idx="90">
                  <c:v>25385</c:v>
                </c:pt>
                <c:pt idx="91">
                  <c:v>25477</c:v>
                </c:pt>
                <c:pt idx="92">
                  <c:v>25569</c:v>
                </c:pt>
                <c:pt idx="93">
                  <c:v>25659</c:v>
                </c:pt>
                <c:pt idx="94">
                  <c:v>25750</c:v>
                </c:pt>
                <c:pt idx="95">
                  <c:v>25842</c:v>
                </c:pt>
                <c:pt idx="96">
                  <c:v>25934</c:v>
                </c:pt>
                <c:pt idx="97">
                  <c:v>26024</c:v>
                </c:pt>
                <c:pt idx="98">
                  <c:v>26115</c:v>
                </c:pt>
                <c:pt idx="99">
                  <c:v>26207</c:v>
                </c:pt>
                <c:pt idx="100">
                  <c:v>26299</c:v>
                </c:pt>
                <c:pt idx="101">
                  <c:v>26390</c:v>
                </c:pt>
                <c:pt idx="102">
                  <c:v>26481</c:v>
                </c:pt>
                <c:pt idx="103">
                  <c:v>26573</c:v>
                </c:pt>
                <c:pt idx="104">
                  <c:v>26665</c:v>
                </c:pt>
                <c:pt idx="105">
                  <c:v>26755</c:v>
                </c:pt>
                <c:pt idx="106">
                  <c:v>26846</c:v>
                </c:pt>
                <c:pt idx="107">
                  <c:v>26938</c:v>
                </c:pt>
                <c:pt idx="108">
                  <c:v>27030</c:v>
                </c:pt>
                <c:pt idx="109">
                  <c:v>27120</c:v>
                </c:pt>
                <c:pt idx="110">
                  <c:v>27211</c:v>
                </c:pt>
                <c:pt idx="111">
                  <c:v>27303</c:v>
                </c:pt>
                <c:pt idx="112">
                  <c:v>27395</c:v>
                </c:pt>
                <c:pt idx="113">
                  <c:v>27485</c:v>
                </c:pt>
                <c:pt idx="114">
                  <c:v>27576</c:v>
                </c:pt>
                <c:pt idx="115">
                  <c:v>27668</c:v>
                </c:pt>
                <c:pt idx="116">
                  <c:v>27760</c:v>
                </c:pt>
                <c:pt idx="117">
                  <c:v>27851</c:v>
                </c:pt>
                <c:pt idx="118">
                  <c:v>27942</c:v>
                </c:pt>
                <c:pt idx="119">
                  <c:v>28034</c:v>
                </c:pt>
                <c:pt idx="120">
                  <c:v>28126</c:v>
                </c:pt>
                <c:pt idx="121">
                  <c:v>28216</c:v>
                </c:pt>
                <c:pt idx="122">
                  <c:v>28307</c:v>
                </c:pt>
                <c:pt idx="123">
                  <c:v>28399</c:v>
                </c:pt>
                <c:pt idx="124">
                  <c:v>28491</c:v>
                </c:pt>
                <c:pt idx="125">
                  <c:v>28581</c:v>
                </c:pt>
                <c:pt idx="126">
                  <c:v>28672</c:v>
                </c:pt>
                <c:pt idx="127">
                  <c:v>28764</c:v>
                </c:pt>
                <c:pt idx="128">
                  <c:v>28856</c:v>
                </c:pt>
                <c:pt idx="129">
                  <c:v>28946</c:v>
                </c:pt>
                <c:pt idx="130">
                  <c:v>29037</c:v>
                </c:pt>
                <c:pt idx="131">
                  <c:v>29129</c:v>
                </c:pt>
                <c:pt idx="132">
                  <c:v>29221</c:v>
                </c:pt>
                <c:pt idx="133">
                  <c:v>29312</c:v>
                </c:pt>
                <c:pt idx="134">
                  <c:v>29403</c:v>
                </c:pt>
                <c:pt idx="135">
                  <c:v>29495</c:v>
                </c:pt>
                <c:pt idx="136">
                  <c:v>29587</c:v>
                </c:pt>
                <c:pt idx="137">
                  <c:v>29677</c:v>
                </c:pt>
                <c:pt idx="138">
                  <c:v>29768</c:v>
                </c:pt>
                <c:pt idx="139">
                  <c:v>29860</c:v>
                </c:pt>
                <c:pt idx="140">
                  <c:v>29952</c:v>
                </c:pt>
                <c:pt idx="141">
                  <c:v>30042</c:v>
                </c:pt>
                <c:pt idx="142">
                  <c:v>30133</c:v>
                </c:pt>
                <c:pt idx="143">
                  <c:v>30225</c:v>
                </c:pt>
                <c:pt idx="144">
                  <c:v>30317</c:v>
                </c:pt>
                <c:pt idx="145">
                  <c:v>30407</c:v>
                </c:pt>
                <c:pt idx="146">
                  <c:v>30498</c:v>
                </c:pt>
                <c:pt idx="147">
                  <c:v>30590</c:v>
                </c:pt>
                <c:pt idx="148">
                  <c:v>30682</c:v>
                </c:pt>
                <c:pt idx="149">
                  <c:v>30773</c:v>
                </c:pt>
                <c:pt idx="150">
                  <c:v>30864</c:v>
                </c:pt>
                <c:pt idx="151">
                  <c:v>30956</c:v>
                </c:pt>
                <c:pt idx="152">
                  <c:v>31048</c:v>
                </c:pt>
                <c:pt idx="153">
                  <c:v>31138</c:v>
                </c:pt>
                <c:pt idx="154">
                  <c:v>31229</c:v>
                </c:pt>
                <c:pt idx="155">
                  <c:v>31321</c:v>
                </c:pt>
                <c:pt idx="156">
                  <c:v>31413</c:v>
                </c:pt>
                <c:pt idx="157">
                  <c:v>31503</c:v>
                </c:pt>
                <c:pt idx="158">
                  <c:v>31594</c:v>
                </c:pt>
                <c:pt idx="159">
                  <c:v>31686</c:v>
                </c:pt>
                <c:pt idx="160">
                  <c:v>31778</c:v>
                </c:pt>
                <c:pt idx="161">
                  <c:v>31868</c:v>
                </c:pt>
                <c:pt idx="162">
                  <c:v>31959</c:v>
                </c:pt>
                <c:pt idx="163">
                  <c:v>32051</c:v>
                </c:pt>
                <c:pt idx="164">
                  <c:v>32143</c:v>
                </c:pt>
                <c:pt idx="165">
                  <c:v>32234</c:v>
                </c:pt>
                <c:pt idx="166">
                  <c:v>32325</c:v>
                </c:pt>
                <c:pt idx="167">
                  <c:v>32417</c:v>
                </c:pt>
                <c:pt idx="168">
                  <c:v>32509</c:v>
                </c:pt>
                <c:pt idx="169">
                  <c:v>32599</c:v>
                </c:pt>
                <c:pt idx="170">
                  <c:v>32690</c:v>
                </c:pt>
                <c:pt idx="171">
                  <c:v>32782</c:v>
                </c:pt>
                <c:pt idx="172">
                  <c:v>32874</c:v>
                </c:pt>
                <c:pt idx="173">
                  <c:v>32964</c:v>
                </c:pt>
                <c:pt idx="174">
                  <c:v>33055</c:v>
                </c:pt>
                <c:pt idx="175">
                  <c:v>33147</c:v>
                </c:pt>
                <c:pt idx="176">
                  <c:v>33239</c:v>
                </c:pt>
                <c:pt idx="177">
                  <c:v>33329</c:v>
                </c:pt>
                <c:pt idx="178">
                  <c:v>33420</c:v>
                </c:pt>
                <c:pt idx="179">
                  <c:v>33512</c:v>
                </c:pt>
                <c:pt idx="180">
                  <c:v>33604</c:v>
                </c:pt>
                <c:pt idx="181">
                  <c:v>33695</c:v>
                </c:pt>
                <c:pt idx="182">
                  <c:v>33786</c:v>
                </c:pt>
                <c:pt idx="183">
                  <c:v>33878</c:v>
                </c:pt>
                <c:pt idx="184">
                  <c:v>33970</c:v>
                </c:pt>
                <c:pt idx="185">
                  <c:v>34060</c:v>
                </c:pt>
                <c:pt idx="186">
                  <c:v>34151</c:v>
                </c:pt>
                <c:pt idx="187">
                  <c:v>34243</c:v>
                </c:pt>
                <c:pt idx="188">
                  <c:v>34335</c:v>
                </c:pt>
                <c:pt idx="189">
                  <c:v>34425</c:v>
                </c:pt>
                <c:pt idx="190">
                  <c:v>34516</c:v>
                </c:pt>
                <c:pt idx="191">
                  <c:v>34608</c:v>
                </c:pt>
                <c:pt idx="192">
                  <c:v>34700</c:v>
                </c:pt>
                <c:pt idx="193">
                  <c:v>34790</c:v>
                </c:pt>
                <c:pt idx="194">
                  <c:v>34881</c:v>
                </c:pt>
                <c:pt idx="195">
                  <c:v>34973</c:v>
                </c:pt>
                <c:pt idx="196">
                  <c:v>35065</c:v>
                </c:pt>
                <c:pt idx="197">
                  <c:v>35156</c:v>
                </c:pt>
                <c:pt idx="198">
                  <c:v>35247</c:v>
                </c:pt>
                <c:pt idx="199">
                  <c:v>35339</c:v>
                </c:pt>
                <c:pt idx="200">
                  <c:v>35431</c:v>
                </c:pt>
                <c:pt idx="201">
                  <c:v>35521</c:v>
                </c:pt>
                <c:pt idx="202">
                  <c:v>35612</c:v>
                </c:pt>
                <c:pt idx="203">
                  <c:v>35704</c:v>
                </c:pt>
                <c:pt idx="204">
                  <c:v>35796</c:v>
                </c:pt>
                <c:pt idx="205">
                  <c:v>35886</c:v>
                </c:pt>
                <c:pt idx="206">
                  <c:v>35977</c:v>
                </c:pt>
                <c:pt idx="207">
                  <c:v>36069</c:v>
                </c:pt>
                <c:pt idx="208">
                  <c:v>36161</c:v>
                </c:pt>
                <c:pt idx="209">
                  <c:v>36251</c:v>
                </c:pt>
                <c:pt idx="210">
                  <c:v>36342</c:v>
                </c:pt>
                <c:pt idx="211">
                  <c:v>36434</c:v>
                </c:pt>
                <c:pt idx="212">
                  <c:v>36526</c:v>
                </c:pt>
                <c:pt idx="213">
                  <c:v>36617</c:v>
                </c:pt>
                <c:pt idx="214">
                  <c:v>36708</c:v>
                </c:pt>
                <c:pt idx="215">
                  <c:v>36800</c:v>
                </c:pt>
                <c:pt idx="216">
                  <c:v>36892</c:v>
                </c:pt>
                <c:pt idx="217">
                  <c:v>36982</c:v>
                </c:pt>
                <c:pt idx="218">
                  <c:v>37073</c:v>
                </c:pt>
                <c:pt idx="219">
                  <c:v>37165</c:v>
                </c:pt>
                <c:pt idx="220">
                  <c:v>37257</c:v>
                </c:pt>
                <c:pt idx="221">
                  <c:v>37347</c:v>
                </c:pt>
                <c:pt idx="222">
                  <c:v>37438</c:v>
                </c:pt>
                <c:pt idx="223">
                  <c:v>37530</c:v>
                </c:pt>
                <c:pt idx="224">
                  <c:v>37622</c:v>
                </c:pt>
                <c:pt idx="225">
                  <c:v>37712</c:v>
                </c:pt>
                <c:pt idx="226">
                  <c:v>37803</c:v>
                </c:pt>
                <c:pt idx="227">
                  <c:v>37895</c:v>
                </c:pt>
                <c:pt idx="228">
                  <c:v>37987</c:v>
                </c:pt>
                <c:pt idx="229">
                  <c:v>38078</c:v>
                </c:pt>
                <c:pt idx="230">
                  <c:v>38169</c:v>
                </c:pt>
                <c:pt idx="231">
                  <c:v>38261</c:v>
                </c:pt>
                <c:pt idx="232">
                  <c:v>38353</c:v>
                </c:pt>
                <c:pt idx="233">
                  <c:v>38443</c:v>
                </c:pt>
                <c:pt idx="234">
                  <c:v>38534</c:v>
                </c:pt>
                <c:pt idx="235">
                  <c:v>38626</c:v>
                </c:pt>
                <c:pt idx="236">
                  <c:v>38718</c:v>
                </c:pt>
                <c:pt idx="237">
                  <c:v>38808</c:v>
                </c:pt>
                <c:pt idx="238">
                  <c:v>38899</c:v>
                </c:pt>
                <c:pt idx="239">
                  <c:v>38991</c:v>
                </c:pt>
                <c:pt idx="240">
                  <c:v>39083</c:v>
                </c:pt>
                <c:pt idx="241">
                  <c:v>39173</c:v>
                </c:pt>
                <c:pt idx="242">
                  <c:v>39264</c:v>
                </c:pt>
                <c:pt idx="243">
                  <c:v>39356</c:v>
                </c:pt>
                <c:pt idx="244">
                  <c:v>39448</c:v>
                </c:pt>
                <c:pt idx="245">
                  <c:v>39539</c:v>
                </c:pt>
                <c:pt idx="246">
                  <c:v>39630</c:v>
                </c:pt>
                <c:pt idx="247">
                  <c:v>39722</c:v>
                </c:pt>
                <c:pt idx="248">
                  <c:v>39814</c:v>
                </c:pt>
                <c:pt idx="249">
                  <c:v>39904</c:v>
                </c:pt>
                <c:pt idx="250">
                  <c:v>39995</c:v>
                </c:pt>
                <c:pt idx="251">
                  <c:v>40087</c:v>
                </c:pt>
                <c:pt idx="252">
                  <c:v>40179</c:v>
                </c:pt>
                <c:pt idx="253">
                  <c:v>40269</c:v>
                </c:pt>
                <c:pt idx="254">
                  <c:v>40360</c:v>
                </c:pt>
                <c:pt idx="255">
                  <c:v>40452</c:v>
                </c:pt>
                <c:pt idx="256">
                  <c:v>40544</c:v>
                </c:pt>
                <c:pt idx="257">
                  <c:v>40634</c:v>
                </c:pt>
                <c:pt idx="258">
                  <c:v>40725</c:v>
                </c:pt>
                <c:pt idx="259">
                  <c:v>40817</c:v>
                </c:pt>
                <c:pt idx="260">
                  <c:v>40909</c:v>
                </c:pt>
                <c:pt idx="261">
                  <c:v>41000</c:v>
                </c:pt>
                <c:pt idx="262">
                  <c:v>41091</c:v>
                </c:pt>
                <c:pt idx="263">
                  <c:v>41183</c:v>
                </c:pt>
                <c:pt idx="264">
                  <c:v>41275</c:v>
                </c:pt>
                <c:pt idx="265">
                  <c:v>41365</c:v>
                </c:pt>
                <c:pt idx="266">
                  <c:v>41456</c:v>
                </c:pt>
                <c:pt idx="267">
                  <c:v>41548</c:v>
                </c:pt>
                <c:pt idx="268">
                  <c:v>41640</c:v>
                </c:pt>
                <c:pt idx="269">
                  <c:v>41730</c:v>
                </c:pt>
                <c:pt idx="270">
                  <c:v>41821</c:v>
                </c:pt>
                <c:pt idx="271">
                  <c:v>41913</c:v>
                </c:pt>
                <c:pt idx="272">
                  <c:v>42005</c:v>
                </c:pt>
                <c:pt idx="273">
                  <c:v>42095</c:v>
                </c:pt>
                <c:pt idx="274">
                  <c:v>42186</c:v>
                </c:pt>
                <c:pt idx="275">
                  <c:v>42278</c:v>
                </c:pt>
                <c:pt idx="276">
                  <c:v>42370</c:v>
                </c:pt>
                <c:pt idx="277">
                  <c:v>42461</c:v>
                </c:pt>
                <c:pt idx="278">
                  <c:v>42552</c:v>
                </c:pt>
                <c:pt idx="279">
                  <c:v>42644</c:v>
                </c:pt>
                <c:pt idx="280">
                  <c:v>42736</c:v>
                </c:pt>
                <c:pt idx="281">
                  <c:v>42826</c:v>
                </c:pt>
                <c:pt idx="282">
                  <c:v>42917</c:v>
                </c:pt>
                <c:pt idx="283">
                  <c:v>43009</c:v>
                </c:pt>
                <c:pt idx="284">
                  <c:v>43101</c:v>
                </c:pt>
                <c:pt idx="285">
                  <c:v>43191</c:v>
                </c:pt>
                <c:pt idx="286">
                  <c:v>43282</c:v>
                </c:pt>
                <c:pt idx="287">
                  <c:v>43374</c:v>
                </c:pt>
                <c:pt idx="288">
                  <c:v>43466</c:v>
                </c:pt>
                <c:pt idx="289">
                  <c:v>43556</c:v>
                </c:pt>
                <c:pt idx="290">
                  <c:v>43647</c:v>
                </c:pt>
                <c:pt idx="291">
                  <c:v>43739</c:v>
                </c:pt>
                <c:pt idx="292">
                  <c:v>43831</c:v>
                </c:pt>
                <c:pt idx="293">
                  <c:v>43922</c:v>
                </c:pt>
                <c:pt idx="294">
                  <c:v>44013</c:v>
                </c:pt>
                <c:pt idx="295">
                  <c:v>44105</c:v>
                </c:pt>
                <c:pt idx="296">
                  <c:v>44197</c:v>
                </c:pt>
                <c:pt idx="297">
                  <c:v>44287</c:v>
                </c:pt>
                <c:pt idx="298">
                  <c:v>44378</c:v>
                </c:pt>
                <c:pt idx="299">
                  <c:v>44470</c:v>
                </c:pt>
                <c:pt idx="300">
                  <c:v>44562</c:v>
                </c:pt>
                <c:pt idx="301">
                  <c:v>44652</c:v>
                </c:pt>
                <c:pt idx="302">
                  <c:v>44743</c:v>
                </c:pt>
                <c:pt idx="303">
                  <c:v>44835</c:v>
                </c:pt>
                <c:pt idx="304">
                  <c:v>44927</c:v>
                </c:pt>
                <c:pt idx="305">
                  <c:v>45017</c:v>
                </c:pt>
                <c:pt idx="306">
                  <c:v>45108</c:v>
                </c:pt>
                <c:pt idx="307">
                  <c:v>45200</c:v>
                </c:pt>
                <c:pt idx="308">
                  <c:v>45292</c:v>
                </c:pt>
                <c:pt idx="309">
                  <c:v>45383</c:v>
                </c:pt>
                <c:pt idx="310">
                  <c:v>45474</c:v>
                </c:pt>
                <c:pt idx="311">
                  <c:v>45566</c:v>
                </c:pt>
                <c:pt idx="312">
                  <c:v>45658</c:v>
                </c:pt>
                <c:pt idx="313">
                  <c:v>45748</c:v>
                </c:pt>
                <c:pt idx="314">
                  <c:v>45839</c:v>
                </c:pt>
                <c:pt idx="315">
                  <c:v>45931</c:v>
                </c:pt>
              </c:numCache>
            </c:numRef>
          </c:cat>
          <c:val>
            <c:numRef>
              <c:f>Quarterly!$B$2:$B$317</c:f>
              <c:numCache>
                <c:formatCode>General</c:formatCode>
                <c:ptCount val="316"/>
                <c:pt idx="0">
                  <c:v>9441</c:v>
                </c:pt>
                <c:pt idx="1">
                  <c:v>9555</c:v>
                </c:pt>
                <c:pt idx="2">
                  <c:v>9542</c:v>
                </c:pt>
                <c:pt idx="3">
                  <c:v>9501</c:v>
                </c:pt>
                <c:pt idx="4">
                  <c:v>9510</c:v>
                </c:pt>
                <c:pt idx="5">
                  <c:v>9582</c:v>
                </c:pt>
                <c:pt idx="6">
                  <c:v>9555</c:v>
                </c:pt>
                <c:pt idx="7">
                  <c:v>9587</c:v>
                </c:pt>
                <c:pt idx="8">
                  <c:v>9560</c:v>
                </c:pt>
                <c:pt idx="9">
                  <c:v>9668</c:v>
                </c:pt>
                <c:pt idx="10">
                  <c:v>9649</c:v>
                </c:pt>
                <c:pt idx="11">
                  <c:v>9746</c:v>
                </c:pt>
                <c:pt idx="12">
                  <c:v>9867</c:v>
                </c:pt>
                <c:pt idx="13">
                  <c:v>9994</c:v>
                </c:pt>
                <c:pt idx="14">
                  <c:v>10463</c:v>
                </c:pt>
                <c:pt idx="15">
                  <c:v>10102</c:v>
                </c:pt>
                <c:pt idx="16">
                  <c:v>10303</c:v>
                </c:pt>
                <c:pt idx="17">
                  <c:v>9972</c:v>
                </c:pt>
                <c:pt idx="18">
                  <c:v>10042</c:v>
                </c:pt>
                <c:pt idx="19">
                  <c:v>10053</c:v>
                </c:pt>
                <c:pt idx="20">
                  <c:v>10035</c:v>
                </c:pt>
                <c:pt idx="21">
                  <c:v>10192</c:v>
                </c:pt>
                <c:pt idx="22">
                  <c:v>10197</c:v>
                </c:pt>
                <c:pt idx="23">
                  <c:v>10508</c:v>
                </c:pt>
                <c:pt idx="24">
                  <c:v>10592</c:v>
                </c:pt>
                <c:pt idx="25">
                  <c:v>10617</c:v>
                </c:pt>
                <c:pt idx="26">
                  <c:v>10543</c:v>
                </c:pt>
                <c:pt idx="27">
                  <c:v>10424</c:v>
                </c:pt>
                <c:pt idx="28">
                  <c:v>10417</c:v>
                </c:pt>
                <c:pt idx="29">
                  <c:v>10510</c:v>
                </c:pt>
                <c:pt idx="30">
                  <c:v>10603</c:v>
                </c:pt>
                <c:pt idx="31">
                  <c:v>10773</c:v>
                </c:pt>
                <c:pt idx="32">
                  <c:v>10969</c:v>
                </c:pt>
                <c:pt idx="33">
                  <c:v>11135</c:v>
                </c:pt>
                <c:pt idx="34">
                  <c:v>11221</c:v>
                </c:pt>
                <c:pt idx="35">
                  <c:v>11307</c:v>
                </c:pt>
                <c:pt idx="36">
                  <c:v>11279</c:v>
                </c:pt>
                <c:pt idx="37">
                  <c:v>11271</c:v>
                </c:pt>
                <c:pt idx="38">
                  <c:v>11244</c:v>
                </c:pt>
                <c:pt idx="39">
                  <c:v>11342</c:v>
                </c:pt>
                <c:pt idx="40">
                  <c:v>11370</c:v>
                </c:pt>
                <c:pt idx="41">
                  <c:v>11343</c:v>
                </c:pt>
                <c:pt idx="42">
                  <c:v>11382</c:v>
                </c:pt>
                <c:pt idx="43">
                  <c:v>11335</c:v>
                </c:pt>
                <c:pt idx="44">
                  <c:v>11136</c:v>
                </c:pt>
                <c:pt idx="45">
                  <c:v>11185</c:v>
                </c:pt>
                <c:pt idx="46">
                  <c:v>11322</c:v>
                </c:pt>
                <c:pt idx="47">
                  <c:v>11423</c:v>
                </c:pt>
                <c:pt idx="48">
                  <c:v>11582</c:v>
                </c:pt>
                <c:pt idx="49">
                  <c:v>11716</c:v>
                </c:pt>
                <c:pt idx="50">
                  <c:v>11788</c:v>
                </c:pt>
                <c:pt idx="51">
                  <c:v>11749</c:v>
                </c:pt>
                <c:pt idx="52">
                  <c:v>11792</c:v>
                </c:pt>
                <c:pt idx="53">
                  <c:v>11869</c:v>
                </c:pt>
                <c:pt idx="54">
                  <c:v>11763</c:v>
                </c:pt>
                <c:pt idx="55">
                  <c:v>11732</c:v>
                </c:pt>
                <c:pt idx="56">
                  <c:v>11688</c:v>
                </c:pt>
                <c:pt idx="57">
                  <c:v>11816</c:v>
                </c:pt>
                <c:pt idx="58">
                  <c:v>11824</c:v>
                </c:pt>
                <c:pt idx="59">
                  <c:v>12011</c:v>
                </c:pt>
                <c:pt idx="60">
                  <c:v>12095</c:v>
                </c:pt>
                <c:pt idx="61">
                  <c:v>12201</c:v>
                </c:pt>
                <c:pt idx="62">
                  <c:v>12252</c:v>
                </c:pt>
                <c:pt idx="63">
                  <c:v>12375</c:v>
                </c:pt>
                <c:pt idx="64">
                  <c:v>12421</c:v>
                </c:pt>
                <c:pt idx="65">
                  <c:v>12498</c:v>
                </c:pt>
                <c:pt idx="66">
                  <c:v>12619</c:v>
                </c:pt>
                <c:pt idx="67">
                  <c:v>12675</c:v>
                </c:pt>
                <c:pt idx="68">
                  <c:v>12884</c:v>
                </c:pt>
                <c:pt idx="69">
                  <c:v>13070</c:v>
                </c:pt>
                <c:pt idx="70">
                  <c:v>13263</c:v>
                </c:pt>
                <c:pt idx="71">
                  <c:v>13254</c:v>
                </c:pt>
                <c:pt idx="72">
                  <c:v>13513</c:v>
                </c:pt>
                <c:pt idx="73">
                  <c:v>13625</c:v>
                </c:pt>
                <c:pt idx="74">
                  <c:v>13812</c:v>
                </c:pt>
                <c:pt idx="75">
                  <c:v>14155</c:v>
                </c:pt>
                <c:pt idx="76">
                  <c:v>14328</c:v>
                </c:pt>
                <c:pt idx="77">
                  <c:v>14327</c:v>
                </c:pt>
                <c:pt idx="78">
                  <c:v>14447</c:v>
                </c:pt>
                <c:pt idx="79">
                  <c:v>14462</c:v>
                </c:pt>
                <c:pt idx="80">
                  <c:v>14510</c:v>
                </c:pt>
                <c:pt idx="81">
                  <c:v>14672</c:v>
                </c:pt>
                <c:pt idx="82">
                  <c:v>14706</c:v>
                </c:pt>
                <c:pt idx="83">
                  <c:v>14755</c:v>
                </c:pt>
                <c:pt idx="84">
                  <c:v>15076</c:v>
                </c:pt>
                <c:pt idx="85">
                  <c:v>15271</c:v>
                </c:pt>
                <c:pt idx="86">
                  <c:v>15515</c:v>
                </c:pt>
                <c:pt idx="87">
                  <c:v>15543</c:v>
                </c:pt>
                <c:pt idx="88">
                  <c:v>15683</c:v>
                </c:pt>
                <c:pt idx="89">
                  <c:v>15748</c:v>
                </c:pt>
                <c:pt idx="90">
                  <c:v>15780</c:v>
                </c:pt>
                <c:pt idx="91">
                  <c:v>15860</c:v>
                </c:pt>
                <c:pt idx="92">
                  <c:v>15919</c:v>
                </c:pt>
                <c:pt idx="93">
                  <c:v>15942</c:v>
                </c:pt>
                <c:pt idx="94">
                  <c:v>16027</c:v>
                </c:pt>
                <c:pt idx="95">
                  <c:v>15928</c:v>
                </c:pt>
                <c:pt idx="96">
                  <c:v>16184</c:v>
                </c:pt>
                <c:pt idx="97">
                  <c:v>16286</c:v>
                </c:pt>
                <c:pt idx="98">
                  <c:v>16365</c:v>
                </c:pt>
                <c:pt idx="99">
                  <c:v>16585</c:v>
                </c:pt>
                <c:pt idx="100">
                  <c:v>16764</c:v>
                </c:pt>
                <c:pt idx="101">
                  <c:v>17043</c:v>
                </c:pt>
                <c:pt idx="102">
                  <c:v>17261</c:v>
                </c:pt>
                <c:pt idx="103">
                  <c:v>17619</c:v>
                </c:pt>
                <c:pt idx="104">
                  <c:v>17902</c:v>
                </c:pt>
                <c:pt idx="105">
                  <c:v>17854</c:v>
                </c:pt>
                <c:pt idx="106">
                  <c:v>17873</c:v>
                </c:pt>
                <c:pt idx="107">
                  <c:v>17776</c:v>
                </c:pt>
                <c:pt idx="108">
                  <c:v>17581</c:v>
                </c:pt>
                <c:pt idx="109">
                  <c:v>17606</c:v>
                </c:pt>
                <c:pt idx="110">
                  <c:v>17637</c:v>
                </c:pt>
                <c:pt idx="111">
                  <c:v>17335</c:v>
                </c:pt>
                <c:pt idx="112">
                  <c:v>17445</c:v>
                </c:pt>
                <c:pt idx="113">
                  <c:v>17689</c:v>
                </c:pt>
                <c:pt idx="114">
                  <c:v>17888</c:v>
                </c:pt>
                <c:pt idx="115">
                  <c:v>18033</c:v>
                </c:pt>
                <c:pt idx="116">
                  <c:v>18354</c:v>
                </c:pt>
                <c:pt idx="117">
                  <c:v>18484</c:v>
                </c:pt>
                <c:pt idx="118">
                  <c:v>18631</c:v>
                </c:pt>
                <c:pt idx="119">
                  <c:v>18822</c:v>
                </c:pt>
                <c:pt idx="120">
                  <c:v>19000</c:v>
                </c:pt>
                <c:pt idx="121">
                  <c:v>19057</c:v>
                </c:pt>
                <c:pt idx="122">
                  <c:v>19183</c:v>
                </c:pt>
                <c:pt idx="123">
                  <c:v>19417</c:v>
                </c:pt>
                <c:pt idx="124">
                  <c:v>19480</c:v>
                </c:pt>
                <c:pt idx="125">
                  <c:v>19846</c:v>
                </c:pt>
                <c:pt idx="126">
                  <c:v>19871</c:v>
                </c:pt>
                <c:pt idx="127">
                  <c:v>19973</c:v>
                </c:pt>
                <c:pt idx="128">
                  <c:v>20026</c:v>
                </c:pt>
                <c:pt idx="129">
                  <c:v>19961</c:v>
                </c:pt>
                <c:pt idx="130">
                  <c:v>20094</c:v>
                </c:pt>
                <c:pt idx="131">
                  <c:v>20082</c:v>
                </c:pt>
                <c:pt idx="132">
                  <c:v>19997</c:v>
                </c:pt>
                <c:pt idx="133">
                  <c:v>19492</c:v>
                </c:pt>
                <c:pt idx="134">
                  <c:v>19647</c:v>
                </c:pt>
                <c:pt idx="135">
                  <c:v>19858</c:v>
                </c:pt>
                <c:pt idx="136">
                  <c:v>19884</c:v>
                </c:pt>
                <c:pt idx="137">
                  <c:v>19841</c:v>
                </c:pt>
                <c:pt idx="138">
                  <c:v>19878</c:v>
                </c:pt>
                <c:pt idx="139">
                  <c:v>19691</c:v>
                </c:pt>
                <c:pt idx="140">
                  <c:v>19794</c:v>
                </c:pt>
                <c:pt idx="141">
                  <c:v>19810</c:v>
                </c:pt>
                <c:pt idx="142">
                  <c:v>19892</c:v>
                </c:pt>
                <c:pt idx="143">
                  <c:v>20191</c:v>
                </c:pt>
                <c:pt idx="144">
                  <c:v>20349</c:v>
                </c:pt>
                <c:pt idx="145">
                  <c:v>20721</c:v>
                </c:pt>
                <c:pt idx="146">
                  <c:v>21041</c:v>
                </c:pt>
                <c:pt idx="147">
                  <c:v>21326</c:v>
                </c:pt>
                <c:pt idx="148">
                  <c:v>21462</c:v>
                </c:pt>
                <c:pt idx="149">
                  <c:v>21718</c:v>
                </c:pt>
                <c:pt idx="150">
                  <c:v>21826</c:v>
                </c:pt>
                <c:pt idx="151">
                  <c:v>22055</c:v>
                </c:pt>
                <c:pt idx="152">
                  <c:v>22389</c:v>
                </c:pt>
                <c:pt idx="153">
                  <c:v>22546</c:v>
                </c:pt>
                <c:pt idx="154">
                  <c:v>22916</c:v>
                </c:pt>
                <c:pt idx="155">
                  <c:v>22908</c:v>
                </c:pt>
                <c:pt idx="156">
                  <c:v>23063</c:v>
                </c:pt>
                <c:pt idx="157">
                  <c:v>23265</c:v>
                </c:pt>
                <c:pt idx="158">
                  <c:v>23618</c:v>
                </c:pt>
                <c:pt idx="159">
                  <c:v>23706</c:v>
                </c:pt>
                <c:pt idx="160">
                  <c:v>23682</c:v>
                </c:pt>
                <c:pt idx="161">
                  <c:v>23954</c:v>
                </c:pt>
                <c:pt idx="162">
                  <c:v>24168</c:v>
                </c:pt>
                <c:pt idx="163">
                  <c:v>24159</c:v>
                </c:pt>
                <c:pt idx="164">
                  <c:v>24537</c:v>
                </c:pt>
                <c:pt idx="165">
                  <c:v>24667</c:v>
                </c:pt>
                <c:pt idx="166">
                  <c:v>24821</c:v>
                </c:pt>
                <c:pt idx="167">
                  <c:v>25041</c:v>
                </c:pt>
                <c:pt idx="168">
                  <c:v>25107</c:v>
                </c:pt>
                <c:pt idx="169">
                  <c:v>25167</c:v>
                </c:pt>
                <c:pt idx="170">
                  <c:v>25341</c:v>
                </c:pt>
                <c:pt idx="171">
                  <c:v>25382</c:v>
                </c:pt>
                <c:pt idx="172">
                  <c:v>25538</c:v>
                </c:pt>
                <c:pt idx="173">
                  <c:v>25536</c:v>
                </c:pt>
                <c:pt idx="174">
                  <c:v>25547</c:v>
                </c:pt>
                <c:pt idx="175">
                  <c:v>25263</c:v>
                </c:pt>
                <c:pt idx="176">
                  <c:v>25090</c:v>
                </c:pt>
                <c:pt idx="177">
                  <c:v>25218</c:v>
                </c:pt>
                <c:pt idx="178">
                  <c:v>25254</c:v>
                </c:pt>
                <c:pt idx="179">
                  <c:v>25155</c:v>
                </c:pt>
                <c:pt idx="180">
                  <c:v>25551</c:v>
                </c:pt>
                <c:pt idx="181">
                  <c:v>25638</c:v>
                </c:pt>
                <c:pt idx="182">
                  <c:v>25818</c:v>
                </c:pt>
                <c:pt idx="183">
                  <c:v>26035</c:v>
                </c:pt>
                <c:pt idx="184">
                  <c:v>26058</c:v>
                </c:pt>
                <c:pt idx="185">
                  <c:v>26216</c:v>
                </c:pt>
                <c:pt idx="186">
                  <c:v>26417</c:v>
                </c:pt>
                <c:pt idx="187">
                  <c:v>26564</c:v>
                </c:pt>
                <c:pt idx="188">
                  <c:v>26796</c:v>
                </c:pt>
                <c:pt idx="189">
                  <c:v>26925</c:v>
                </c:pt>
                <c:pt idx="190">
                  <c:v>27043</c:v>
                </c:pt>
                <c:pt idx="191">
                  <c:v>27252</c:v>
                </c:pt>
                <c:pt idx="192">
                  <c:v>27247</c:v>
                </c:pt>
                <c:pt idx="193">
                  <c:v>27408</c:v>
                </c:pt>
                <c:pt idx="194">
                  <c:v>27568</c:v>
                </c:pt>
                <c:pt idx="195">
                  <c:v>27675</c:v>
                </c:pt>
                <c:pt idx="196">
                  <c:v>27861</c:v>
                </c:pt>
                <c:pt idx="197">
                  <c:v>28080</c:v>
                </c:pt>
                <c:pt idx="198">
                  <c:v>28159</c:v>
                </c:pt>
                <c:pt idx="199">
                  <c:v>28293</c:v>
                </c:pt>
                <c:pt idx="200">
                  <c:v>28515</c:v>
                </c:pt>
                <c:pt idx="201">
                  <c:v>28562</c:v>
                </c:pt>
                <c:pt idx="202">
                  <c:v>28953</c:v>
                </c:pt>
                <c:pt idx="203">
                  <c:v>29207</c:v>
                </c:pt>
                <c:pt idx="204">
                  <c:v>29427</c:v>
                </c:pt>
                <c:pt idx="205">
                  <c:v>29864</c:v>
                </c:pt>
                <c:pt idx="206">
                  <c:v>30159</c:v>
                </c:pt>
                <c:pt idx="207">
                  <c:v>30502</c:v>
                </c:pt>
                <c:pt idx="208">
                  <c:v>30738</c:v>
                </c:pt>
                <c:pt idx="209">
                  <c:v>31123</c:v>
                </c:pt>
                <c:pt idx="210">
                  <c:v>31373</c:v>
                </c:pt>
                <c:pt idx="211">
                  <c:v>31737</c:v>
                </c:pt>
                <c:pt idx="212">
                  <c:v>32135</c:v>
                </c:pt>
                <c:pt idx="213">
                  <c:v>32355</c:v>
                </c:pt>
                <c:pt idx="214">
                  <c:v>32576</c:v>
                </c:pt>
                <c:pt idx="215">
                  <c:v>32774</c:v>
                </c:pt>
                <c:pt idx="216">
                  <c:v>32818</c:v>
                </c:pt>
                <c:pt idx="217">
                  <c:v>32806</c:v>
                </c:pt>
                <c:pt idx="218">
                  <c:v>32835</c:v>
                </c:pt>
                <c:pt idx="219">
                  <c:v>33280</c:v>
                </c:pt>
                <c:pt idx="220">
                  <c:v>33281</c:v>
                </c:pt>
                <c:pt idx="221">
                  <c:v>33375</c:v>
                </c:pt>
                <c:pt idx="222">
                  <c:v>33524</c:v>
                </c:pt>
                <c:pt idx="223">
                  <c:v>33628</c:v>
                </c:pt>
                <c:pt idx="224">
                  <c:v>33723</c:v>
                </c:pt>
                <c:pt idx="225">
                  <c:v>34034</c:v>
                </c:pt>
                <c:pt idx="226">
                  <c:v>34430</c:v>
                </c:pt>
                <c:pt idx="227">
                  <c:v>34584</c:v>
                </c:pt>
                <c:pt idx="228">
                  <c:v>34839</c:v>
                </c:pt>
                <c:pt idx="229">
                  <c:v>34952</c:v>
                </c:pt>
                <c:pt idx="230">
                  <c:v>35275</c:v>
                </c:pt>
                <c:pt idx="231">
                  <c:v>35586</c:v>
                </c:pt>
                <c:pt idx="232">
                  <c:v>35736</c:v>
                </c:pt>
                <c:pt idx="233">
                  <c:v>36055</c:v>
                </c:pt>
                <c:pt idx="234">
                  <c:v>36262</c:v>
                </c:pt>
                <c:pt idx="235">
                  <c:v>36238</c:v>
                </c:pt>
                <c:pt idx="236">
                  <c:v>36553</c:v>
                </c:pt>
                <c:pt idx="237">
                  <c:v>36660</c:v>
                </c:pt>
                <c:pt idx="238">
                  <c:v>36800</c:v>
                </c:pt>
                <c:pt idx="239">
                  <c:v>37056</c:v>
                </c:pt>
                <c:pt idx="240">
                  <c:v>37202</c:v>
                </c:pt>
                <c:pt idx="241">
                  <c:v>37216</c:v>
                </c:pt>
                <c:pt idx="242">
                  <c:v>37368</c:v>
                </c:pt>
                <c:pt idx="243">
                  <c:v>37420</c:v>
                </c:pt>
                <c:pt idx="244">
                  <c:v>37287</c:v>
                </c:pt>
                <c:pt idx="245">
                  <c:v>37308</c:v>
                </c:pt>
                <c:pt idx="246">
                  <c:v>36930</c:v>
                </c:pt>
                <c:pt idx="247">
                  <c:v>36512</c:v>
                </c:pt>
                <c:pt idx="248">
                  <c:v>36346</c:v>
                </c:pt>
                <c:pt idx="249">
                  <c:v>36093</c:v>
                </c:pt>
                <c:pt idx="250">
                  <c:v>36252</c:v>
                </c:pt>
                <c:pt idx="251">
                  <c:v>36129</c:v>
                </c:pt>
                <c:pt idx="252">
                  <c:v>36266</c:v>
                </c:pt>
                <c:pt idx="253">
                  <c:v>36521</c:v>
                </c:pt>
                <c:pt idx="254">
                  <c:v>36704</c:v>
                </c:pt>
                <c:pt idx="255">
                  <c:v>36849</c:v>
                </c:pt>
                <c:pt idx="256">
                  <c:v>36924</c:v>
                </c:pt>
                <c:pt idx="257">
                  <c:v>36895</c:v>
                </c:pt>
                <c:pt idx="258">
                  <c:v>36928</c:v>
                </c:pt>
                <c:pt idx="259">
                  <c:v>36915</c:v>
                </c:pt>
                <c:pt idx="260">
                  <c:v>37115</c:v>
                </c:pt>
                <c:pt idx="261">
                  <c:v>37114</c:v>
                </c:pt>
                <c:pt idx="262">
                  <c:v>37112</c:v>
                </c:pt>
                <c:pt idx="263">
                  <c:v>37183</c:v>
                </c:pt>
                <c:pt idx="264">
                  <c:v>37364</c:v>
                </c:pt>
                <c:pt idx="265">
                  <c:v>37407</c:v>
                </c:pt>
                <c:pt idx="266">
                  <c:v>37481</c:v>
                </c:pt>
                <c:pt idx="267">
                  <c:v>37731</c:v>
                </c:pt>
                <c:pt idx="268">
                  <c:v>37798</c:v>
                </c:pt>
                <c:pt idx="269">
                  <c:v>38092</c:v>
                </c:pt>
                <c:pt idx="270">
                  <c:v>38385</c:v>
                </c:pt>
                <c:pt idx="271">
                  <c:v>38743</c:v>
                </c:pt>
                <c:pt idx="272">
                  <c:v>38973</c:v>
                </c:pt>
                <c:pt idx="273">
                  <c:v>39171</c:v>
                </c:pt>
                <c:pt idx="274">
                  <c:v>39363</c:v>
                </c:pt>
                <c:pt idx="275">
                  <c:v>39440</c:v>
                </c:pt>
                <c:pt idx="276">
                  <c:v>39667</c:v>
                </c:pt>
                <c:pt idx="277">
                  <c:v>39792</c:v>
                </c:pt>
                <c:pt idx="278">
                  <c:v>39988</c:v>
                </c:pt>
                <c:pt idx="279">
                  <c:v>40116</c:v>
                </c:pt>
                <c:pt idx="280">
                  <c:v>40363</c:v>
                </c:pt>
                <c:pt idx="281">
                  <c:v>40501</c:v>
                </c:pt>
                <c:pt idx="282">
                  <c:v>40702</c:v>
                </c:pt>
                <c:pt idx="283">
                  <c:v>41078</c:v>
                </c:pt>
                <c:pt idx="284">
                  <c:v>41325</c:v>
                </c:pt>
                <c:pt idx="285">
                  <c:v>41491</c:v>
                </c:pt>
                <c:pt idx="286">
                  <c:v>41617</c:v>
                </c:pt>
                <c:pt idx="287">
                  <c:v>41686</c:v>
                </c:pt>
                <c:pt idx="288">
                  <c:v>41709</c:v>
                </c:pt>
                <c:pt idx="289">
                  <c:v>42016</c:v>
                </c:pt>
                <c:pt idx="290">
                  <c:v>42431</c:v>
                </c:pt>
                <c:pt idx="291">
                  <c:v>42648</c:v>
                </c:pt>
                <c:pt idx="292">
                  <c:v>41886</c:v>
                </c:pt>
                <c:pt idx="293">
                  <c:v>38236</c:v>
                </c:pt>
                <c:pt idx="294">
                  <c:v>41615</c:v>
                </c:pt>
                <c:pt idx="295">
                  <c:v>42159</c:v>
                </c:pt>
                <c:pt idx="296">
                  <c:v>43124</c:v>
                </c:pt>
                <c:pt idx="297">
                  <c:v>44609</c:v>
                </c:pt>
                <c:pt idx="298">
                  <c:v>44924</c:v>
                </c:pt>
                <c:pt idx="299">
                  <c:v>45292</c:v>
                </c:pt>
                <c:pt idx="300">
                  <c:v>45285</c:v>
                </c:pt>
                <c:pt idx="301">
                  <c:v>45587</c:v>
                </c:pt>
                <c:pt idx="302">
                  <c:v>45710</c:v>
                </c:pt>
                <c:pt idx="303">
                  <c:v>45702</c:v>
                </c:pt>
                <c:pt idx="304">
                  <c:v>46121</c:v>
                </c:pt>
                <c:pt idx="305">
                  <c:v>46203</c:v>
                </c:pt>
                <c:pt idx="306">
                  <c:v>46443</c:v>
                </c:pt>
                <c:pt idx="307">
                  <c:v>46675</c:v>
                </c:pt>
                <c:pt idx="308">
                  <c:v>46773</c:v>
                </c:pt>
                <c:pt idx="309">
                  <c:v>47111</c:v>
                </c:pt>
                <c:pt idx="310">
                  <c:v>47475</c:v>
                </c:pt>
                <c:pt idx="311">
                  <c:v>47861</c:v>
                </c:pt>
                <c:pt idx="312">
                  <c:v>47881</c:v>
                </c:pt>
                <c:pt idx="313">
                  <c:v>48117</c:v>
                </c:pt>
                <c:pt idx="314">
                  <c:v>48472</c:v>
                </c:pt>
                <c:pt idx="315">
                  <c:v>48672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3-4FF9-927D-70DFFFFF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880160"/>
        <c:axId val="1390879200"/>
      </c:lineChart>
      <c:dateAx>
        <c:axId val="139088016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79200"/>
        <c:crosses val="autoZero"/>
        <c:auto val="1"/>
        <c:lblOffset val="100"/>
        <c:baseTimeUnit val="months"/>
      </c:dateAx>
      <c:valAx>
        <c:axId val="139087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B0D3D-BF1C-D2E5-D178-1F23EB54E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294</xdr:row>
      <xdr:rowOff>52387</xdr:rowOff>
    </xdr:from>
    <xdr:to>
      <xdr:col>17</xdr:col>
      <xdr:colOff>838200</xdr:colOff>
      <xdr:row>308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601511-35E2-A1DE-DA80-7342246B8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252413</xdr:colOff>
      <xdr:row>0</xdr:row>
      <xdr:rowOff>176213</xdr:rowOff>
    </xdr:from>
    <xdr:to>
      <xdr:col>15</xdr:col>
      <xdr:colOff>252413</xdr:colOff>
      <xdr:row>10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6D3E-F624-8B47-5C5C-38827A427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252413</xdr:colOff>
      <xdr:row>0</xdr:row>
      <xdr:rowOff>176213</xdr:rowOff>
    </xdr:from>
    <xdr:to>
      <xdr:col>15</xdr:col>
      <xdr:colOff>252413</xdr:colOff>
      <xdr:row>10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6A385-D206-34AE-99EF-FF6C02250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511968</xdr:colOff>
      <xdr:row>298</xdr:row>
      <xdr:rowOff>114300</xdr:rowOff>
    </xdr:from>
    <xdr:to>
      <xdr:col>10</xdr:col>
      <xdr:colOff>550068</xdr:colOff>
      <xdr:row>313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AAB82-5D2F-B347-004C-33C49A031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9" sqref="A9"/>
    </sheetView>
  </sheetViews>
  <sheetFormatPr defaultRowHeight="14.25" x14ac:dyDescent="0.45"/>
  <cols>
    <col min="1" max="1" width="85.73046875" style="1" customWidth="1"/>
    <col min="2" max="2" width="105.1328125" bestFit="1" customWidth="1"/>
    <col min="3" max="3" width="23.3984375" bestFit="1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1" t="s">
        <v>2</v>
      </c>
    </row>
    <row r="4" spans="1:3" x14ac:dyDescent="0.45">
      <c r="A4" s="1" t="s">
        <v>3</v>
      </c>
    </row>
    <row r="5" spans="1:3" ht="28.5" x14ac:dyDescent="0.45">
      <c r="A5" s="1" t="s">
        <v>4</v>
      </c>
    </row>
    <row r="6" spans="1:3" x14ac:dyDescent="0.45">
      <c r="A6" s="1" t="s">
        <v>5</v>
      </c>
    </row>
    <row r="8" spans="1:3" x14ac:dyDescent="0.4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8C5D-DBE7-402C-BAF9-B9459F57582B}">
  <dimension ref="A1:I18"/>
  <sheetViews>
    <sheetView workbookViewId="0">
      <selection activeCell="U20" sqref="U20"/>
    </sheetView>
  </sheetViews>
  <sheetFormatPr defaultRowHeight="14.25" x14ac:dyDescent="0.45"/>
  <cols>
    <col min="1" max="1" width="18.3984375" customWidth="1"/>
    <col min="2" max="2" width="17.265625" customWidth="1"/>
  </cols>
  <sheetData>
    <row r="1" spans="1:9" x14ac:dyDescent="0.45">
      <c r="A1" t="s">
        <v>13</v>
      </c>
    </row>
    <row r="2" spans="1:9" ht="14.65" thickBot="1" x14ac:dyDescent="0.5"/>
    <row r="3" spans="1:9" x14ac:dyDescent="0.45">
      <c r="A3" s="6" t="s">
        <v>14</v>
      </c>
      <c r="B3" s="6"/>
    </row>
    <row r="4" spans="1:9" x14ac:dyDescent="0.45">
      <c r="A4" t="s">
        <v>15</v>
      </c>
      <c r="B4">
        <v>0.9947250386329205</v>
      </c>
    </row>
    <row r="5" spans="1:9" x14ac:dyDescent="0.45">
      <c r="A5" t="s">
        <v>16</v>
      </c>
      <c r="B5">
        <v>0.98947790248326517</v>
      </c>
    </row>
    <row r="6" spans="1:9" x14ac:dyDescent="0.45">
      <c r="A6" t="s">
        <v>17</v>
      </c>
      <c r="B6">
        <v>0.98944439261856221</v>
      </c>
    </row>
    <row r="7" spans="1:9" x14ac:dyDescent="0.45">
      <c r="A7" t="s">
        <v>18</v>
      </c>
      <c r="B7">
        <v>5.099302667295641E-2</v>
      </c>
    </row>
    <row r="8" spans="1:9" ht="14.65" thickBot="1" x14ac:dyDescent="0.5">
      <c r="A8" s="4" t="s">
        <v>19</v>
      </c>
      <c r="B8" s="4">
        <v>316</v>
      </c>
    </row>
    <row r="10" spans="1:9" ht="14.65" thickBot="1" x14ac:dyDescent="0.5">
      <c r="A10" t="s">
        <v>20</v>
      </c>
    </row>
    <row r="11" spans="1:9" x14ac:dyDescent="0.45">
      <c r="A11" s="5"/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</row>
    <row r="12" spans="1:9" x14ac:dyDescent="0.45">
      <c r="A12" t="s">
        <v>21</v>
      </c>
      <c r="B12">
        <v>1</v>
      </c>
      <c r="C12">
        <v>76.781219502755448</v>
      </c>
      <c r="D12">
        <v>76.781219502755448</v>
      </c>
      <c r="E12">
        <v>29527.958744499363</v>
      </c>
      <c r="F12">
        <v>0</v>
      </c>
    </row>
    <row r="13" spans="1:9" x14ac:dyDescent="0.45">
      <c r="A13" t="s">
        <v>22</v>
      </c>
      <c r="B13">
        <v>314</v>
      </c>
      <c r="C13">
        <v>0.81649067355041705</v>
      </c>
      <c r="D13">
        <v>2.600288769268844E-3</v>
      </c>
    </row>
    <row r="14" spans="1:9" ht="14.65" thickBot="1" x14ac:dyDescent="0.5">
      <c r="A14" s="4" t="s">
        <v>23</v>
      </c>
      <c r="B14" s="4">
        <v>315</v>
      </c>
      <c r="C14" s="4">
        <v>77.597710176305867</v>
      </c>
      <c r="D14" s="4"/>
      <c r="E14" s="4"/>
      <c r="F14" s="4"/>
    </row>
    <row r="15" spans="1:9" ht="14.65" thickBot="1" x14ac:dyDescent="0.5"/>
    <row r="16" spans="1:9" x14ac:dyDescent="0.45">
      <c r="A16" s="5"/>
      <c r="B16" s="5" t="s">
        <v>30</v>
      </c>
      <c r="C16" s="5" t="s">
        <v>18</v>
      </c>
      <c r="D16" s="5" t="s">
        <v>31</v>
      </c>
      <c r="E16" s="5" t="s">
        <v>32</v>
      </c>
      <c r="F16" s="5" t="s">
        <v>33</v>
      </c>
      <c r="G16" s="5" t="s">
        <v>34</v>
      </c>
      <c r="H16" s="5" t="s">
        <v>35</v>
      </c>
      <c r="I16" s="5" t="s">
        <v>36</v>
      </c>
    </row>
    <row r="17" spans="1:9" x14ac:dyDescent="0.45">
      <c r="A17" t="s">
        <v>24</v>
      </c>
      <c r="B17">
        <v>9.1486319919448853</v>
      </c>
      <c r="C17">
        <v>5.7508074245885858E-3</v>
      </c>
      <c r="D17">
        <v>1590.8430445485453</v>
      </c>
      <c r="E17">
        <v>0</v>
      </c>
      <c r="F17">
        <v>9.1373170040345038</v>
      </c>
      <c r="G17">
        <v>9.1599469798552668</v>
      </c>
      <c r="H17">
        <v>9.1373170040345038</v>
      </c>
      <c r="I17">
        <v>9.1599469798552668</v>
      </c>
    </row>
    <row r="18" spans="1:9" ht="14.65" thickBot="1" x14ac:dyDescent="0.5">
      <c r="A18" s="4" t="s">
        <v>37</v>
      </c>
      <c r="B18" s="4">
        <v>5.4036806702995686E-3</v>
      </c>
      <c r="C18" s="4">
        <v>3.1446546949939892E-5</v>
      </c>
      <c r="D18" s="4">
        <v>171.83701214959302</v>
      </c>
      <c r="E18" s="4">
        <v>0</v>
      </c>
      <c r="F18" s="4">
        <v>5.3418080892354784E-3</v>
      </c>
      <c r="G18" s="4">
        <v>5.4655532513636588E-3</v>
      </c>
      <c r="H18" s="4">
        <v>5.3418080892354784E-3</v>
      </c>
      <c r="I18" s="4">
        <v>5.4655532513636588E-3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8414-35B9-4DD4-9DFA-29468F6B0A61}">
  <dimension ref="A1:S344"/>
  <sheetViews>
    <sheetView tabSelected="1" topLeftCell="A329" workbookViewId="0">
      <selection activeCell="G340" sqref="G340"/>
    </sheetView>
  </sheetViews>
  <sheetFormatPr defaultRowHeight="14.25" x14ac:dyDescent="0.45"/>
  <cols>
    <col min="18" max="18" width="16.59765625" bestFit="1" customWidth="1"/>
  </cols>
  <sheetData>
    <row r="1" spans="1:19" x14ac:dyDescent="0.45">
      <c r="A1" t="s">
        <v>13</v>
      </c>
      <c r="R1" s="2" t="s">
        <v>9</v>
      </c>
      <c r="S1" s="5" t="s">
        <v>47</v>
      </c>
    </row>
    <row r="2" spans="1:19" ht="14.65" thickBot="1" x14ac:dyDescent="0.5">
      <c r="R2" s="3">
        <v>17168</v>
      </c>
      <c r="S2">
        <v>-1.2184868826690121E-3</v>
      </c>
    </row>
    <row r="3" spans="1:19" x14ac:dyDescent="0.45">
      <c r="A3" s="6" t="s">
        <v>14</v>
      </c>
      <c r="B3" s="6"/>
      <c r="R3" s="3">
        <v>17258</v>
      </c>
      <c r="S3">
        <v>5.3805033888885134E-3</v>
      </c>
    </row>
    <row r="4" spans="1:19" x14ac:dyDescent="0.45">
      <c r="A4" t="s">
        <v>15</v>
      </c>
      <c r="B4">
        <v>0.9947250386329205</v>
      </c>
      <c r="R4" s="3">
        <v>17349</v>
      </c>
      <c r="S4">
        <v>-1.3846478797319151E-3</v>
      </c>
    </row>
    <row r="5" spans="1:19" x14ac:dyDescent="0.45">
      <c r="A5" t="s">
        <v>16</v>
      </c>
      <c r="B5">
        <v>0.98947790248326517</v>
      </c>
      <c r="R5" s="3">
        <v>17441</v>
      </c>
      <c r="S5">
        <v>-1.1094379419333222E-2</v>
      </c>
    </row>
    <row r="6" spans="1:19" x14ac:dyDescent="0.45">
      <c r="A6" t="s">
        <v>17</v>
      </c>
      <c r="B6">
        <v>0.98944439261856221</v>
      </c>
      <c r="R6" s="3">
        <v>17533</v>
      </c>
      <c r="S6">
        <v>-1.5551239756947055E-2</v>
      </c>
    </row>
    <row r="7" spans="1:19" x14ac:dyDescent="0.45">
      <c r="A7" t="s">
        <v>18</v>
      </c>
      <c r="B7">
        <v>5.099302667295641E-2</v>
      </c>
      <c r="R7" s="3">
        <v>17624</v>
      </c>
      <c r="S7">
        <v>-1.3412458523616166E-2</v>
      </c>
    </row>
    <row r="8" spans="1:19" ht="14.65" thickBot="1" x14ac:dyDescent="0.5">
      <c r="A8" s="4" t="s">
        <v>19</v>
      </c>
      <c r="B8" s="4">
        <v>316</v>
      </c>
      <c r="R8" s="3">
        <v>17715</v>
      </c>
      <c r="S8">
        <v>-2.1637899962609453E-2</v>
      </c>
    </row>
    <row r="9" spans="1:19" x14ac:dyDescent="0.45">
      <c r="R9" s="3">
        <v>17807</v>
      </c>
      <c r="S9">
        <v>-2.3698144230284157E-2</v>
      </c>
    </row>
    <row r="10" spans="1:19" ht="14.65" thickBot="1" x14ac:dyDescent="0.5">
      <c r="A10" t="s">
        <v>20</v>
      </c>
      <c r="R10" s="3">
        <v>17899</v>
      </c>
      <c r="S10">
        <v>-3.1922111932134456E-2</v>
      </c>
    </row>
    <row r="11" spans="1:19" x14ac:dyDescent="0.45">
      <c r="A11" s="5"/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R11" s="3">
        <v>17989</v>
      </c>
      <c r="S11">
        <v>-2.6092056824507992E-2</v>
      </c>
    </row>
    <row r="12" spans="1:19" x14ac:dyDescent="0.45">
      <c r="A12" t="s">
        <v>21</v>
      </c>
      <c r="B12">
        <v>1</v>
      </c>
      <c r="C12">
        <v>76.781219502755448</v>
      </c>
      <c r="D12">
        <v>76.781219502755448</v>
      </c>
      <c r="E12">
        <v>29527.958744499363</v>
      </c>
      <c r="F12">
        <v>0</v>
      </c>
      <c r="R12" s="3">
        <v>18080</v>
      </c>
      <c r="S12">
        <v>-3.3462917297796935E-2</v>
      </c>
    </row>
    <row r="13" spans="1:19" x14ac:dyDescent="0.45">
      <c r="A13" t="s">
        <v>22</v>
      </c>
      <c r="B13">
        <v>314</v>
      </c>
      <c r="C13">
        <v>0.81649067355041705</v>
      </c>
      <c r="D13">
        <v>2.600288769268844E-3</v>
      </c>
      <c r="R13" s="3">
        <v>18172</v>
      </c>
      <c r="S13">
        <v>-2.8863936585027616E-2</v>
      </c>
    </row>
    <row r="14" spans="1:19" ht="14.65" thickBot="1" x14ac:dyDescent="0.5">
      <c r="A14" s="4" t="s">
        <v>23</v>
      </c>
      <c r="B14" s="4">
        <v>315</v>
      </c>
      <c r="C14" s="4">
        <v>77.597710176305867</v>
      </c>
      <c r="D14" s="4"/>
      <c r="E14" s="4"/>
      <c r="F14" s="4"/>
      <c r="R14" s="3">
        <v>18264</v>
      </c>
      <c r="S14">
        <v>-2.192870580161177E-2</v>
      </c>
    </row>
    <row r="15" spans="1:19" ht="14.65" thickBot="1" x14ac:dyDescent="0.5">
      <c r="R15" s="3">
        <v>18354</v>
      </c>
      <c r="S15">
        <v>-1.4543329424929752E-2</v>
      </c>
    </row>
    <row r="16" spans="1:19" x14ac:dyDescent="0.45">
      <c r="A16" s="5"/>
      <c r="B16" s="5" t="s">
        <v>30</v>
      </c>
      <c r="C16" s="5" t="s">
        <v>18</v>
      </c>
      <c r="D16" s="5" t="s">
        <v>31</v>
      </c>
      <c r="E16" s="5" t="s">
        <v>32</v>
      </c>
      <c r="F16" s="5" t="s">
        <v>33</v>
      </c>
      <c r="G16" s="5" t="s">
        <v>34</v>
      </c>
      <c r="H16" s="5" t="s">
        <v>35</v>
      </c>
      <c r="I16" s="5" t="s">
        <v>36</v>
      </c>
      <c r="R16" s="3">
        <v>18445</v>
      </c>
      <c r="S16">
        <v>2.5913301381667253E-2</v>
      </c>
    </row>
    <row r="17" spans="1:19" x14ac:dyDescent="0.45">
      <c r="A17" t="s">
        <v>24</v>
      </c>
      <c r="B17">
        <v>9.1486319919448853</v>
      </c>
      <c r="C17">
        <v>5.7508074245885858E-3</v>
      </c>
      <c r="D17">
        <v>1590.8430445485453</v>
      </c>
      <c r="E17">
        <v>0</v>
      </c>
      <c r="F17">
        <v>9.1373170040345038</v>
      </c>
      <c r="G17">
        <v>9.1599469798552668</v>
      </c>
      <c r="H17">
        <v>9.1373170040345038</v>
      </c>
      <c r="I17">
        <v>9.1599469798552668</v>
      </c>
      <c r="R17" s="3">
        <v>18537</v>
      </c>
      <c r="S17">
        <v>-1.460217964168109E-2</v>
      </c>
    </row>
    <row r="18" spans="1:19" ht="14.65" thickBot="1" x14ac:dyDescent="0.5">
      <c r="A18" s="4" t="s">
        <v>37</v>
      </c>
      <c r="B18" s="4">
        <v>5.4036806702995686E-3</v>
      </c>
      <c r="C18" s="4">
        <v>3.1446546949939892E-5</v>
      </c>
      <c r="D18" s="4">
        <v>171.83701214959302</v>
      </c>
      <c r="E18" s="4">
        <v>0</v>
      </c>
      <c r="F18" s="4">
        <v>5.3418080892354784E-3</v>
      </c>
      <c r="G18" s="4">
        <v>5.4655532513636588E-3</v>
      </c>
      <c r="H18" s="4">
        <v>5.3418080892354784E-3</v>
      </c>
      <c r="I18" s="4">
        <v>5.4655532513636588E-3</v>
      </c>
      <c r="R18" s="3">
        <v>18629</v>
      </c>
      <c r="S18">
        <v>-3.041693949086266E-4</v>
      </c>
    </row>
    <row r="19" spans="1:19" x14ac:dyDescent="0.45">
      <c r="R19" s="3">
        <v>18719</v>
      </c>
      <c r="S19">
        <v>-3.8361799366828819E-2</v>
      </c>
    </row>
    <row r="20" spans="1:19" x14ac:dyDescent="0.45">
      <c r="R20" s="3">
        <v>18810</v>
      </c>
      <c r="S20">
        <v>-3.677034808592694E-2</v>
      </c>
    </row>
    <row r="21" spans="1:19" x14ac:dyDescent="0.45">
      <c r="R21" s="3">
        <v>18902</v>
      </c>
      <c r="S21">
        <v>-4.1079228945456236E-2</v>
      </c>
    </row>
    <row r="22" spans="1:19" x14ac:dyDescent="0.45">
      <c r="A22" t="s">
        <v>38</v>
      </c>
      <c r="R22" s="3">
        <v>18994</v>
      </c>
      <c r="S22">
        <v>-4.8275024790738641E-2</v>
      </c>
    </row>
    <row r="23" spans="1:19" ht="14.65" thickBot="1" x14ac:dyDescent="0.5">
      <c r="R23" s="3">
        <v>19085</v>
      </c>
      <c r="S23">
        <v>-3.8154588879530493E-2</v>
      </c>
    </row>
    <row r="24" spans="1:19" x14ac:dyDescent="0.45">
      <c r="A24" s="5" t="s">
        <v>39</v>
      </c>
      <c r="B24" s="5" t="s">
        <v>40</v>
      </c>
      <c r="C24" s="5" t="s">
        <v>41</v>
      </c>
      <c r="R24" s="3">
        <v>19176</v>
      </c>
      <c r="S24">
        <v>-4.3067808997548696E-2</v>
      </c>
    </row>
    <row r="25" spans="1:19" x14ac:dyDescent="0.45">
      <c r="A25">
        <v>1</v>
      </c>
      <c r="B25">
        <v>9.1540356726151852</v>
      </c>
      <c r="C25">
        <v>-1.2184868826690121E-3</v>
      </c>
      <c r="R25" s="3">
        <v>19268</v>
      </c>
      <c r="S25">
        <v>-1.8428177226644138E-2</v>
      </c>
    </row>
    <row r="26" spans="1:19" x14ac:dyDescent="0.45">
      <c r="A26">
        <v>2</v>
      </c>
      <c r="B26">
        <v>9.1594393532854852</v>
      </c>
      <c r="C26">
        <v>5.3805033888885134E-3</v>
      </c>
      <c r="R26" s="3">
        <v>19360</v>
      </c>
      <c r="S26">
        <v>-1.5869730525585268E-2</v>
      </c>
    </row>
    <row r="27" spans="1:19" x14ac:dyDescent="0.45">
      <c r="A27">
        <v>3</v>
      </c>
      <c r="B27">
        <v>9.1648430339557834</v>
      </c>
      <c r="C27">
        <v>-1.3846478797319151E-3</v>
      </c>
      <c r="R27" s="3">
        <v>19450</v>
      </c>
      <c r="S27">
        <v>-1.8915920359100724E-2</v>
      </c>
    </row>
    <row r="28" spans="1:19" x14ac:dyDescent="0.45">
      <c r="A28">
        <v>4</v>
      </c>
      <c r="B28">
        <v>9.1702467146260833</v>
      </c>
      <c r="C28">
        <v>-1.1094379419333222E-2</v>
      </c>
      <c r="R28" s="3">
        <v>19541</v>
      </c>
      <c r="S28">
        <v>-3.1313958466023806E-2</v>
      </c>
    </row>
    <row r="29" spans="1:19" x14ac:dyDescent="0.45">
      <c r="A29">
        <v>5</v>
      </c>
      <c r="B29">
        <v>9.1756503952963833</v>
      </c>
      <c r="C29">
        <v>-1.5551239756947055E-2</v>
      </c>
      <c r="R29" s="3">
        <v>19633</v>
      </c>
      <c r="S29">
        <v>-4.806893190859185E-2</v>
      </c>
    </row>
    <row r="30" spans="1:19" x14ac:dyDescent="0.45">
      <c r="A30">
        <v>6</v>
      </c>
      <c r="B30">
        <v>9.1810540759666832</v>
      </c>
      <c r="C30">
        <v>-1.3412458523616166E-2</v>
      </c>
      <c r="R30" s="3">
        <v>19725</v>
      </c>
      <c r="S30">
        <v>-5.4144365399125149E-2</v>
      </c>
    </row>
    <row r="31" spans="1:19" x14ac:dyDescent="0.45">
      <c r="A31">
        <v>7</v>
      </c>
      <c r="B31">
        <v>9.1864577566369832</v>
      </c>
      <c r="C31">
        <v>-2.1637899962609453E-2</v>
      </c>
      <c r="R31" s="3">
        <v>19815</v>
      </c>
      <c r="S31">
        <v>-5.065994818287578E-2</v>
      </c>
    </row>
    <row r="32" spans="1:19" x14ac:dyDescent="0.45">
      <c r="A32">
        <v>8</v>
      </c>
      <c r="B32">
        <v>9.1918614373072813</v>
      </c>
      <c r="C32">
        <v>-2.3698144230284157E-2</v>
      </c>
      <c r="R32" s="3">
        <v>19906</v>
      </c>
      <c r="S32">
        <v>-4.725383379837389E-2</v>
      </c>
    </row>
    <row r="33" spans="1:19" x14ac:dyDescent="0.45">
      <c r="A33">
        <v>9</v>
      </c>
      <c r="B33">
        <v>9.1972651179775813</v>
      </c>
      <c r="C33">
        <v>-3.1922111932134456E-2</v>
      </c>
      <c r="R33" s="3">
        <v>19998</v>
      </c>
      <c r="S33">
        <v>-3.675149050027926E-2</v>
      </c>
    </row>
    <row r="34" spans="1:19" x14ac:dyDescent="0.45">
      <c r="A34">
        <v>10</v>
      </c>
      <c r="B34">
        <v>9.2026687986478812</v>
      </c>
      <c r="C34">
        <v>-2.6092056824507992E-2</v>
      </c>
      <c r="R34" s="3">
        <v>20090</v>
      </c>
      <c r="S34">
        <v>-2.4125062653437723E-2</v>
      </c>
    </row>
    <row r="35" spans="1:19" x14ac:dyDescent="0.45">
      <c r="A35">
        <v>11</v>
      </c>
      <c r="B35">
        <v>9.2080724793181812</v>
      </c>
      <c r="C35">
        <v>-3.3462917297796935E-2</v>
      </c>
      <c r="R35" s="3">
        <v>20180</v>
      </c>
      <c r="S35">
        <v>-1.4508555043603266E-2</v>
      </c>
    </row>
    <row r="36" spans="1:19" x14ac:dyDescent="0.45">
      <c r="A36">
        <v>12</v>
      </c>
      <c r="B36">
        <v>9.2134761599884794</v>
      </c>
      <c r="C36">
        <v>-2.8863936585027616E-2</v>
      </c>
      <c r="R36" s="3">
        <v>20271</v>
      </c>
      <c r="S36">
        <v>-1.2218513740505088E-2</v>
      </c>
    </row>
    <row r="37" spans="1:19" x14ac:dyDescent="0.45">
      <c r="A37">
        <v>13</v>
      </c>
      <c r="B37">
        <v>9.2188798406587793</v>
      </c>
      <c r="C37">
        <v>-2.192870580161177E-2</v>
      </c>
      <c r="R37" s="3">
        <v>20363</v>
      </c>
      <c r="S37">
        <v>-9.9872141404233616E-3</v>
      </c>
    </row>
    <row r="38" spans="1:19" x14ac:dyDescent="0.45">
      <c r="A38">
        <v>14</v>
      </c>
      <c r="B38">
        <v>9.2242835213290792</v>
      </c>
      <c r="C38">
        <v>-1.4543329424929752E-2</v>
      </c>
      <c r="R38" s="3">
        <v>20455</v>
      </c>
      <c r="S38">
        <v>-1.7870308106052946E-2</v>
      </c>
    </row>
    <row r="39" spans="1:19" x14ac:dyDescent="0.45">
      <c r="A39">
        <v>15</v>
      </c>
      <c r="B39">
        <v>9.2296872019993792</v>
      </c>
      <c r="C39">
        <v>2.5913301381667253E-2</v>
      </c>
      <c r="R39" s="3">
        <v>20546</v>
      </c>
      <c r="S39">
        <v>-2.398352317419139E-2</v>
      </c>
    </row>
    <row r="40" spans="1:19" x14ac:dyDescent="0.45">
      <c r="A40">
        <v>16</v>
      </c>
      <c r="B40">
        <v>9.2350908826696791</v>
      </c>
      <c r="C40">
        <v>-1.460217964168109E-2</v>
      </c>
      <c r="R40" s="3">
        <v>20637</v>
      </c>
      <c r="S40">
        <v>-3.1785606060147131E-2</v>
      </c>
    </row>
    <row r="41" spans="1:19" x14ac:dyDescent="0.45">
      <c r="A41">
        <v>17</v>
      </c>
      <c r="B41">
        <v>9.2404945633399773</v>
      </c>
      <c r="C41">
        <v>-3.041693949086266E-4</v>
      </c>
      <c r="R41" s="3">
        <v>20729</v>
      </c>
      <c r="S41">
        <v>-2.8511290182894555E-2</v>
      </c>
    </row>
    <row r="42" spans="1:19" x14ac:dyDescent="0.45">
      <c r="A42">
        <v>18</v>
      </c>
      <c r="B42">
        <v>9.2458982440102773</v>
      </c>
      <c r="C42">
        <v>-3.8361799366828819E-2</v>
      </c>
      <c r="R42" s="3">
        <v>20821</v>
      </c>
      <c r="S42">
        <v>-3.1449312682585884E-2</v>
      </c>
    </row>
    <row r="43" spans="1:19" x14ac:dyDescent="0.45">
      <c r="A43">
        <v>19</v>
      </c>
      <c r="B43">
        <v>9.2513019246805772</v>
      </c>
      <c r="C43">
        <v>-3.677034808592694E-2</v>
      </c>
      <c r="R43" s="3">
        <v>20911</v>
      </c>
      <c r="S43">
        <v>-3.9230487538423731E-2</v>
      </c>
    </row>
    <row r="44" spans="1:19" x14ac:dyDescent="0.45">
      <c r="A44">
        <v>20</v>
      </c>
      <c r="B44">
        <v>9.2567056053508772</v>
      </c>
      <c r="C44">
        <v>-4.1079228945456236E-2</v>
      </c>
      <c r="R44" s="3">
        <v>21002</v>
      </c>
      <c r="S44">
        <v>-4.1201821604698097E-2</v>
      </c>
    </row>
    <row r="45" spans="1:19" x14ac:dyDescent="0.45">
      <c r="A45">
        <v>21</v>
      </c>
      <c r="B45">
        <v>9.2621092860211771</v>
      </c>
      <c r="C45">
        <v>-4.8275024790738641E-2</v>
      </c>
      <c r="R45" s="3">
        <v>21094</v>
      </c>
      <c r="S45">
        <v>-5.0743378496438396E-2</v>
      </c>
    </row>
    <row r="46" spans="1:19" x14ac:dyDescent="0.45">
      <c r="A46">
        <v>22</v>
      </c>
      <c r="B46">
        <v>9.2675129666914753</v>
      </c>
      <c r="C46">
        <v>-3.8154588879530493E-2</v>
      </c>
      <c r="R46" s="3">
        <v>21186</v>
      </c>
      <c r="S46">
        <v>-7.3859239534163734E-2</v>
      </c>
    </row>
    <row r="47" spans="1:19" x14ac:dyDescent="0.45">
      <c r="A47">
        <v>23</v>
      </c>
      <c r="B47">
        <v>9.2729166473617752</v>
      </c>
      <c r="C47">
        <v>-4.3067808997548696E-2</v>
      </c>
      <c r="R47" s="3">
        <v>21276</v>
      </c>
      <c r="S47">
        <v>-7.4872428854435569E-2</v>
      </c>
    </row>
    <row r="48" spans="1:19" x14ac:dyDescent="0.45">
      <c r="A48">
        <v>24</v>
      </c>
      <c r="B48">
        <v>9.2783203280320752</v>
      </c>
      <c r="C48">
        <v>-1.8428177226644138E-2</v>
      </c>
      <c r="R48" s="3">
        <v>21367</v>
      </c>
      <c r="S48">
        <v>-6.8101968852360528E-2</v>
      </c>
    </row>
    <row r="49" spans="1:19" x14ac:dyDescent="0.45">
      <c r="A49">
        <v>25</v>
      </c>
      <c r="B49">
        <v>9.2837240087023751</v>
      </c>
      <c r="C49">
        <v>-1.5869730525585268E-2</v>
      </c>
      <c r="R49" s="3">
        <v>21459</v>
      </c>
      <c r="S49">
        <v>-6.4624518385317131E-2</v>
      </c>
    </row>
    <row r="50" spans="1:19" x14ac:dyDescent="0.45">
      <c r="A50">
        <v>26</v>
      </c>
      <c r="B50">
        <v>9.2891276893726733</v>
      </c>
      <c r="C50">
        <v>-1.8915920359100724E-2</v>
      </c>
      <c r="R50" s="3">
        <v>21551</v>
      </c>
      <c r="S50">
        <v>-5.6204897003830467E-2</v>
      </c>
    </row>
    <row r="51" spans="1:19" x14ac:dyDescent="0.45">
      <c r="A51">
        <v>27</v>
      </c>
      <c r="B51">
        <v>9.2945313700429733</v>
      </c>
      <c r="C51">
        <v>-3.1313958466023806E-2</v>
      </c>
      <c r="R51" s="3">
        <v>21641</v>
      </c>
      <c r="S51">
        <v>-5.0105317512239012E-2</v>
      </c>
    </row>
    <row r="52" spans="1:19" x14ac:dyDescent="0.45">
      <c r="A52">
        <v>28</v>
      </c>
      <c r="B52">
        <v>9.2999350507132732</v>
      </c>
      <c r="C52">
        <v>-4.806893190859185E-2</v>
      </c>
      <c r="R52" s="3">
        <v>21732</v>
      </c>
      <c r="S52">
        <v>-4.9382362272577751E-2</v>
      </c>
    </row>
    <row r="53" spans="1:19" x14ac:dyDescent="0.45">
      <c r="A53">
        <v>29</v>
      </c>
      <c r="B53">
        <v>9.3053387313835731</v>
      </c>
      <c r="C53">
        <v>-5.4144365399125149E-2</v>
      </c>
      <c r="R53" s="3">
        <v>21824</v>
      </c>
      <c r="S53">
        <v>-5.809997723289051E-2</v>
      </c>
    </row>
    <row r="54" spans="1:19" x14ac:dyDescent="0.45">
      <c r="A54">
        <v>30</v>
      </c>
      <c r="B54">
        <v>9.3107424120538731</v>
      </c>
      <c r="C54">
        <v>-5.065994818287578E-2</v>
      </c>
      <c r="R54" s="3">
        <v>21916</v>
      </c>
      <c r="S54">
        <v>-5.9850453041645935E-2</v>
      </c>
    </row>
    <row r="55" spans="1:19" x14ac:dyDescent="0.45">
      <c r="A55">
        <v>31</v>
      </c>
      <c r="B55">
        <v>9.3161460927241713</v>
      </c>
      <c r="C55">
        <v>-4.725383379837389E-2</v>
      </c>
      <c r="R55" s="3">
        <v>22007</v>
      </c>
      <c r="S55">
        <v>-5.8745510084555974E-2</v>
      </c>
    </row>
    <row r="56" spans="1:19" x14ac:dyDescent="0.45">
      <c r="A56">
        <v>32</v>
      </c>
      <c r="B56">
        <v>9.3215497733944712</v>
      </c>
      <c r="C56">
        <v>-3.675149050027926E-2</v>
      </c>
      <c r="R56" s="3">
        <v>22098</v>
      </c>
      <c r="S56">
        <v>-7.312013785091942E-2</v>
      </c>
    </row>
    <row r="57" spans="1:19" x14ac:dyDescent="0.45">
      <c r="A57">
        <v>33</v>
      </c>
      <c r="B57">
        <v>9.3269534540647712</v>
      </c>
      <c r="C57">
        <v>-2.4125062653437723E-2</v>
      </c>
      <c r="R57" s="3">
        <v>22190</v>
      </c>
      <c r="S57">
        <v>-8.1162679384320313E-2</v>
      </c>
    </row>
    <row r="58" spans="1:19" x14ac:dyDescent="0.45">
      <c r="A58">
        <v>34</v>
      </c>
      <c r="B58">
        <v>9.3323571347350711</v>
      </c>
      <c r="C58">
        <v>-1.4508555043603266E-2</v>
      </c>
      <c r="R58" s="3">
        <v>22282</v>
      </c>
      <c r="S58">
        <v>-9.0323836721426076E-2</v>
      </c>
    </row>
    <row r="59" spans="1:19" x14ac:dyDescent="0.45">
      <c r="A59">
        <v>35</v>
      </c>
      <c r="B59">
        <v>9.3377608154053711</v>
      </c>
      <c r="C59">
        <v>-1.2218513740505088E-2</v>
      </c>
      <c r="R59" s="3">
        <v>22372</v>
      </c>
      <c r="S59">
        <v>-8.483564661104559E-2</v>
      </c>
    </row>
    <row r="60" spans="1:19" x14ac:dyDescent="0.45">
      <c r="A60">
        <v>36</v>
      </c>
      <c r="B60">
        <v>9.3431644960756692</v>
      </c>
      <c r="C60">
        <v>-9.9872141404233616E-3</v>
      </c>
      <c r="R60" s="3">
        <v>22463</v>
      </c>
      <c r="S60">
        <v>-8.9562508304576127E-2</v>
      </c>
    </row>
    <row r="61" spans="1:19" x14ac:dyDescent="0.45">
      <c r="A61">
        <v>37</v>
      </c>
      <c r="B61">
        <v>9.3485681767459692</v>
      </c>
      <c r="C61">
        <v>-1.7870308106052946E-2</v>
      </c>
      <c r="R61" s="3">
        <v>22555</v>
      </c>
      <c r="S61">
        <v>-7.9274656608369298E-2</v>
      </c>
    </row>
    <row r="62" spans="1:19" x14ac:dyDescent="0.45">
      <c r="A62">
        <v>38</v>
      </c>
      <c r="B62">
        <v>9.3539718574162691</v>
      </c>
      <c r="C62">
        <v>-2.398352317419139E-2</v>
      </c>
      <c r="R62" s="3">
        <v>22647</v>
      </c>
      <c r="S62">
        <v>-7.7709089789031793E-2</v>
      </c>
    </row>
    <row r="63" spans="1:19" x14ac:dyDescent="0.45">
      <c r="A63">
        <v>39</v>
      </c>
      <c r="B63">
        <v>9.3593755380865691</v>
      </c>
      <c r="C63">
        <v>-3.1785606060147131E-2</v>
      </c>
      <c r="R63" s="3">
        <v>22737</v>
      </c>
      <c r="S63">
        <v>-7.4386998928124726E-2</v>
      </c>
    </row>
    <row r="64" spans="1:19" x14ac:dyDescent="0.45">
      <c r="A64">
        <v>40</v>
      </c>
      <c r="B64">
        <v>9.3647792187568673</v>
      </c>
      <c r="C64">
        <v>-2.8511290182894555E-2</v>
      </c>
      <c r="R64" s="3">
        <v>22828</v>
      </c>
      <c r="S64">
        <v>-7.5619406221093755E-2</v>
      </c>
    </row>
    <row r="65" spans="1:19" x14ac:dyDescent="0.45">
      <c r="A65">
        <v>41</v>
      </c>
      <c r="B65">
        <v>9.3701828994271672</v>
      </c>
      <c r="C65">
        <v>-3.1449312682585884E-2</v>
      </c>
      <c r="R65" s="3">
        <v>22920</v>
      </c>
      <c r="S65">
        <v>-7.1033967407165832E-2</v>
      </c>
    </row>
    <row r="66" spans="1:19" x14ac:dyDescent="0.45">
      <c r="A66">
        <v>42</v>
      </c>
      <c r="B66">
        <v>9.3755865800974671</v>
      </c>
      <c r="C66">
        <v>-3.9230487538423731E-2</v>
      </c>
      <c r="R66" s="3">
        <v>23012</v>
      </c>
      <c r="S66">
        <v>-7.2727367970163215E-2</v>
      </c>
    </row>
    <row r="67" spans="1:19" x14ac:dyDescent="0.45">
      <c r="A67">
        <v>43</v>
      </c>
      <c r="B67">
        <v>9.3809902607677671</v>
      </c>
      <c r="C67">
        <v>-4.1201821604698097E-2</v>
      </c>
      <c r="R67" s="3">
        <v>23102</v>
      </c>
      <c r="S67">
        <v>-7.1951005695629178E-2</v>
      </c>
    </row>
    <row r="68" spans="1:19" x14ac:dyDescent="0.45">
      <c r="A68">
        <v>44</v>
      </c>
      <c r="B68">
        <v>9.386393941438067</v>
      </c>
      <c r="C68">
        <v>-5.0743378496438396E-2</v>
      </c>
      <c r="R68" s="3">
        <v>23193</v>
      </c>
      <c r="S68">
        <v>-6.7719703202046233E-2</v>
      </c>
    </row>
    <row r="69" spans="1:19" x14ac:dyDescent="0.45">
      <c r="A69">
        <v>45</v>
      </c>
      <c r="B69">
        <v>9.3917976221083652</v>
      </c>
      <c r="C69">
        <v>-7.3859239534163734E-2</v>
      </c>
      <c r="R69" s="3">
        <v>23285</v>
      </c>
      <c r="S69">
        <v>-6.8695449065870662E-2</v>
      </c>
    </row>
    <row r="70" spans="1:19" x14ac:dyDescent="0.45">
      <c r="A70">
        <v>46</v>
      </c>
      <c r="B70">
        <v>9.3972013027786652</v>
      </c>
      <c r="C70">
        <v>-7.4872428854435569E-2</v>
      </c>
      <c r="R70" s="3">
        <v>23377</v>
      </c>
      <c r="S70">
        <v>-5.7744447744465077E-2</v>
      </c>
    </row>
    <row r="71" spans="1:19" x14ac:dyDescent="0.45">
      <c r="A71">
        <v>47</v>
      </c>
      <c r="B71">
        <v>9.4026049834489651</v>
      </c>
      <c r="C71">
        <v>-6.8101968852360528E-2</v>
      </c>
      <c r="R71" s="3">
        <v>23468</v>
      </c>
      <c r="S71">
        <v>-4.8814832247586537E-2</v>
      </c>
    </row>
    <row r="72" spans="1:19" x14ac:dyDescent="0.45">
      <c r="A72">
        <v>48</v>
      </c>
      <c r="B72">
        <v>9.4080086641192651</v>
      </c>
      <c r="C72">
        <v>-6.4624518385317131E-2</v>
      </c>
      <c r="R72" s="3">
        <v>23559</v>
      </c>
      <c r="S72">
        <v>-3.9559837041801771E-2</v>
      </c>
    </row>
    <row r="73" spans="1:19" x14ac:dyDescent="0.45">
      <c r="A73">
        <v>49</v>
      </c>
      <c r="B73">
        <v>9.413412344789565</v>
      </c>
      <c r="C73">
        <v>-5.6204897003830467E-2</v>
      </c>
      <c r="R73" s="3">
        <v>23651</v>
      </c>
      <c r="S73">
        <v>-4.5642327558283569E-2</v>
      </c>
    </row>
    <row r="74" spans="1:19" x14ac:dyDescent="0.45">
      <c r="A74">
        <v>50</v>
      </c>
      <c r="B74">
        <v>9.4188160254598632</v>
      </c>
      <c r="C74">
        <v>-5.0105317512239012E-2</v>
      </c>
      <c r="R74" s="3">
        <v>23743</v>
      </c>
      <c r="S74">
        <v>-3.1693216838666771E-2</v>
      </c>
    </row>
    <row r="75" spans="1:19" x14ac:dyDescent="0.45">
      <c r="A75">
        <v>51</v>
      </c>
      <c r="B75">
        <v>9.4242197061301631</v>
      </c>
      <c r="C75">
        <v>-4.9382362272577751E-2</v>
      </c>
      <c r="R75" s="3">
        <v>23833</v>
      </c>
      <c r="S75">
        <v>-2.8842742015608991E-2</v>
      </c>
    </row>
    <row r="76" spans="1:19" x14ac:dyDescent="0.45">
      <c r="A76">
        <v>52</v>
      </c>
      <c r="B76">
        <v>9.4296233868004631</v>
      </c>
      <c r="C76">
        <v>-5.809997723289051E-2</v>
      </c>
      <c r="R76" s="3">
        <v>23924</v>
      </c>
      <c r="S76">
        <v>-2.0614983707469392E-2</v>
      </c>
    </row>
    <row r="77" spans="1:19" x14ac:dyDescent="0.45">
      <c r="A77">
        <v>53</v>
      </c>
      <c r="B77">
        <v>9.435027067470763</v>
      </c>
      <c r="C77">
        <v>-5.9850453041645935E-2</v>
      </c>
      <c r="R77" s="3">
        <v>24016</v>
      </c>
      <c r="S77">
        <v>-1.488525341653002E-3</v>
      </c>
    </row>
    <row r="78" spans="1:19" x14ac:dyDescent="0.45">
      <c r="A78">
        <v>54</v>
      </c>
      <c r="B78">
        <v>9.4404307481410612</v>
      </c>
      <c r="C78">
        <v>-5.8745510084555974E-2</v>
      </c>
      <c r="R78" s="3">
        <v>24108</v>
      </c>
      <c r="S78">
        <v>5.2555401825955528E-3</v>
      </c>
    </row>
    <row r="79" spans="1:19" x14ac:dyDescent="0.45">
      <c r="A79">
        <v>55</v>
      </c>
      <c r="B79">
        <v>9.4458344288113611</v>
      </c>
      <c r="C79">
        <v>-7.312013785091942E-2</v>
      </c>
      <c r="R79" s="3">
        <v>24198</v>
      </c>
      <c r="S79">
        <v>-2.1793633487909858E-4</v>
      </c>
    </row>
    <row r="80" spans="1:19" x14ac:dyDescent="0.45">
      <c r="A80">
        <v>56</v>
      </c>
      <c r="B80">
        <v>9.4512381094816611</v>
      </c>
      <c r="C80">
        <v>-8.1162679384320313E-2</v>
      </c>
      <c r="R80" s="3">
        <v>24289</v>
      </c>
      <c r="S80">
        <v>2.7192946308307597E-3</v>
      </c>
    </row>
    <row r="81" spans="1:19" x14ac:dyDescent="0.45">
      <c r="A81">
        <v>57</v>
      </c>
      <c r="B81">
        <v>9.456641790151961</v>
      </c>
      <c r="C81">
        <v>-9.0323836721426076E-2</v>
      </c>
      <c r="R81" s="3">
        <v>24381</v>
      </c>
      <c r="S81">
        <v>-1.6466468339544349E-3</v>
      </c>
    </row>
    <row r="82" spans="1:19" x14ac:dyDescent="0.45">
      <c r="A82">
        <v>58</v>
      </c>
      <c r="B82">
        <v>9.462045470822261</v>
      </c>
      <c r="C82">
        <v>-8.483564661104559E-2</v>
      </c>
      <c r="R82" s="3">
        <v>24473</v>
      </c>
      <c r="S82">
        <v>-3.7367803609171801E-3</v>
      </c>
    </row>
    <row r="83" spans="1:19" x14ac:dyDescent="0.45">
      <c r="A83">
        <v>59</v>
      </c>
      <c r="B83">
        <v>9.4674491514925592</v>
      </c>
      <c r="C83">
        <v>-8.9562508304576127E-2</v>
      </c>
      <c r="R83" s="3">
        <v>24563</v>
      </c>
      <c r="S83">
        <v>1.9623875867971208E-3</v>
      </c>
    </row>
    <row r="84" spans="1:19" x14ac:dyDescent="0.45">
      <c r="A84">
        <v>60</v>
      </c>
      <c r="B84">
        <v>9.4728528321628591</v>
      </c>
      <c r="C84">
        <v>-7.9274656608369298E-2</v>
      </c>
      <c r="R84" s="3">
        <v>24654</v>
      </c>
      <c r="S84">
        <v>-1.1266348235814405E-3</v>
      </c>
    </row>
    <row r="85" spans="1:19" x14ac:dyDescent="0.45">
      <c r="A85">
        <v>61</v>
      </c>
      <c r="B85">
        <v>9.4782565128331591</v>
      </c>
      <c r="C85">
        <v>-7.7709089789031793E-2</v>
      </c>
      <c r="R85" s="3">
        <v>24746</v>
      </c>
      <c r="S85">
        <v>-3.2038808730092683E-3</v>
      </c>
    </row>
    <row r="86" spans="1:19" x14ac:dyDescent="0.45">
      <c r="A86">
        <v>62</v>
      </c>
      <c r="B86">
        <v>9.483660193503459</v>
      </c>
      <c r="C86">
        <v>-7.4386998928124726E-2</v>
      </c>
      <c r="R86" s="3">
        <v>24838</v>
      </c>
      <c r="S86">
        <v>1.2914505466676829E-2</v>
      </c>
    </row>
    <row r="87" spans="1:19" x14ac:dyDescent="0.45">
      <c r="A87">
        <v>63</v>
      </c>
      <c r="B87">
        <v>9.489063874173759</v>
      </c>
      <c r="C87">
        <v>-7.5619406221093755E-2</v>
      </c>
      <c r="R87" s="3">
        <v>24929</v>
      </c>
      <c r="S87">
        <v>2.0362354362532642E-2</v>
      </c>
    </row>
    <row r="88" spans="1:19" x14ac:dyDescent="0.45">
      <c r="A88">
        <v>64</v>
      </c>
      <c r="B88">
        <v>9.4944675548440571</v>
      </c>
      <c r="C88">
        <v>-7.1033967407165832E-2</v>
      </c>
      <c r="R88" s="3">
        <v>25020</v>
      </c>
      <c r="S88">
        <v>3.0810366621533802E-2</v>
      </c>
    </row>
    <row r="89" spans="1:19" x14ac:dyDescent="0.45">
      <c r="A89">
        <v>65</v>
      </c>
      <c r="B89">
        <v>9.4998712355143571</v>
      </c>
      <c r="C89">
        <v>-7.2727367970163215E-2</v>
      </c>
      <c r="R89" s="3">
        <v>25112</v>
      </c>
      <c r="S89">
        <v>2.7209764551651361E-2</v>
      </c>
    </row>
    <row r="90" spans="1:19" x14ac:dyDescent="0.45">
      <c r="A90">
        <v>66</v>
      </c>
      <c r="B90">
        <v>9.505274916184657</v>
      </c>
      <c r="C90">
        <v>-7.1951005695629178E-2</v>
      </c>
      <c r="R90" s="3">
        <v>25204</v>
      </c>
      <c r="S90">
        <v>3.0773030532877499E-2</v>
      </c>
    </row>
    <row r="91" spans="1:19" x14ac:dyDescent="0.45">
      <c r="A91">
        <v>67</v>
      </c>
      <c r="B91">
        <v>9.510678596854957</v>
      </c>
      <c r="C91">
        <v>-6.7719703202046233E-2</v>
      </c>
      <c r="R91" s="3">
        <v>25294</v>
      </c>
      <c r="S91">
        <v>2.9505399791780462E-2</v>
      </c>
    </row>
    <row r="92" spans="1:19" x14ac:dyDescent="0.45">
      <c r="A92">
        <v>68</v>
      </c>
      <c r="B92">
        <v>9.5160822775252552</v>
      </c>
      <c r="C92">
        <v>-6.8695449065870662E-2</v>
      </c>
      <c r="R92" s="3">
        <v>25385</v>
      </c>
      <c r="S92">
        <v>2.613166145771828E-2</v>
      </c>
    </row>
    <row r="93" spans="1:19" x14ac:dyDescent="0.45">
      <c r="A93">
        <v>69</v>
      </c>
      <c r="B93">
        <v>9.5214859581955551</v>
      </c>
      <c r="C93">
        <v>-5.7744447744465077E-2</v>
      </c>
      <c r="R93" s="3">
        <v>25477</v>
      </c>
      <c r="S93">
        <v>2.5784881576393914E-2</v>
      </c>
    </row>
    <row r="94" spans="1:19" x14ac:dyDescent="0.45">
      <c r="A94">
        <v>70</v>
      </c>
      <c r="B94">
        <v>9.526889638865855</v>
      </c>
      <c r="C94">
        <v>-4.8814832247586537E-2</v>
      </c>
      <c r="R94" s="3">
        <v>25569</v>
      </c>
      <c r="S94">
        <v>2.4094349072390386E-2</v>
      </c>
    </row>
    <row r="95" spans="1:19" x14ac:dyDescent="0.45">
      <c r="A95">
        <v>71</v>
      </c>
      <c r="B95">
        <v>9.532293319536155</v>
      </c>
      <c r="C95">
        <v>-3.9559837041801771E-2</v>
      </c>
      <c r="R95" s="3">
        <v>25659</v>
      </c>
      <c r="S95">
        <v>2.0134440034823342E-2</v>
      </c>
    </row>
    <row r="96" spans="1:19" x14ac:dyDescent="0.45">
      <c r="A96">
        <v>72</v>
      </c>
      <c r="B96">
        <v>9.5376970002064549</v>
      </c>
      <c r="C96">
        <v>-4.5642327558283569E-2</v>
      </c>
      <c r="R96" s="3">
        <v>25750</v>
      </c>
      <c r="S96">
        <v>2.0048423370230495E-2</v>
      </c>
    </row>
    <row r="97" spans="1:19" x14ac:dyDescent="0.45">
      <c r="A97">
        <v>73</v>
      </c>
      <c r="B97">
        <v>9.5431006808767531</v>
      </c>
      <c r="C97">
        <v>-3.1693216838666771E-2</v>
      </c>
      <c r="R97" s="3">
        <v>25842</v>
      </c>
      <c r="S97">
        <v>8.4485094503872205E-3</v>
      </c>
    </row>
    <row r="98" spans="1:19" x14ac:dyDescent="0.45">
      <c r="A98">
        <v>74</v>
      </c>
      <c r="B98">
        <v>9.5485043615470531</v>
      </c>
      <c r="C98">
        <v>-2.8842742015608991E-2</v>
      </c>
      <c r="R98" s="3">
        <v>25934</v>
      </c>
      <c r="S98">
        <v>1.8989361883638978E-2</v>
      </c>
    </row>
    <row r="99" spans="1:19" x14ac:dyDescent="0.45">
      <c r="A99">
        <v>75</v>
      </c>
      <c r="B99">
        <v>9.553908042217353</v>
      </c>
      <c r="C99">
        <v>-2.0614983707469392E-2</v>
      </c>
      <c r="R99" s="3">
        <v>26024</v>
      </c>
      <c r="S99">
        <v>1.9868424392834427E-2</v>
      </c>
    </row>
    <row r="100" spans="1:19" x14ac:dyDescent="0.45">
      <c r="A100">
        <v>76</v>
      </c>
      <c r="B100">
        <v>9.559311722887653</v>
      </c>
      <c r="C100">
        <v>-1.488525341653002E-3</v>
      </c>
      <c r="R100" s="3">
        <v>26115</v>
      </c>
      <c r="S100">
        <v>1.9303808630738217E-2</v>
      </c>
    </row>
    <row r="101" spans="1:19" x14ac:dyDescent="0.45">
      <c r="A101">
        <v>77</v>
      </c>
      <c r="B101">
        <v>9.5647154035579529</v>
      </c>
      <c r="C101">
        <v>5.2555401825955528E-3</v>
      </c>
      <c r="R101" s="3">
        <v>26207</v>
      </c>
      <c r="S101">
        <v>2.7253892406310598E-2</v>
      </c>
    </row>
    <row r="102" spans="1:19" x14ac:dyDescent="0.45">
      <c r="A102">
        <v>78</v>
      </c>
      <c r="B102">
        <v>9.5701190842282511</v>
      </c>
      <c r="C102">
        <v>-2.1793633487909858E-4</v>
      </c>
      <c r="R102" s="3">
        <v>26299</v>
      </c>
      <c r="S102">
        <v>3.258526939982076E-2</v>
      </c>
    </row>
    <row r="103" spans="1:19" x14ac:dyDescent="0.45">
      <c r="A103">
        <v>79</v>
      </c>
      <c r="B103">
        <v>9.575522764898551</v>
      </c>
      <c r="C103">
        <v>2.7192946308307597E-3</v>
      </c>
      <c r="R103" s="3">
        <v>26390</v>
      </c>
      <c r="S103">
        <v>4.368742090979616E-2</v>
      </c>
    </row>
    <row r="104" spans="1:19" x14ac:dyDescent="0.45">
      <c r="A104">
        <v>80</v>
      </c>
      <c r="B104">
        <v>9.580926445568851</v>
      </c>
      <c r="C104">
        <v>-1.6466468339544349E-3</v>
      </c>
      <c r="R104" s="3">
        <v>26481</v>
      </c>
      <c r="S104">
        <v>5.0993799400949058E-2</v>
      </c>
    </row>
    <row r="105" spans="1:19" x14ac:dyDescent="0.45">
      <c r="A105">
        <v>81</v>
      </c>
      <c r="B105">
        <v>9.5863301262391509</v>
      </c>
      <c r="C105">
        <v>-3.7367803609171801E-3</v>
      </c>
      <c r="R105" s="3">
        <v>26573</v>
      </c>
      <c r="S105">
        <v>6.6118362534588471E-2</v>
      </c>
    </row>
    <row r="106" spans="1:19" x14ac:dyDescent="0.45">
      <c r="A106">
        <v>82</v>
      </c>
      <c r="B106">
        <v>9.5917338069094491</v>
      </c>
      <c r="C106">
        <v>1.9623875867971208E-3</v>
      </c>
      <c r="R106" s="3">
        <v>26665</v>
      </c>
      <c r="S106">
        <v>7.6649255104543457E-2</v>
      </c>
    </row>
    <row r="107" spans="1:19" x14ac:dyDescent="0.45">
      <c r="A107">
        <v>83</v>
      </c>
      <c r="B107">
        <v>9.597137487579749</v>
      </c>
      <c r="C107">
        <v>-1.1266348235814405E-3</v>
      </c>
      <c r="R107" s="3">
        <v>26755</v>
      </c>
      <c r="S107">
        <v>6.8560708742667842E-2</v>
      </c>
    </row>
    <row r="108" spans="1:19" x14ac:dyDescent="0.45">
      <c r="A108">
        <v>84</v>
      </c>
      <c r="B108">
        <v>9.602541168250049</v>
      </c>
      <c r="C108">
        <v>-3.2038808730092683E-3</v>
      </c>
      <c r="R108" s="3">
        <v>26846</v>
      </c>
      <c r="S108">
        <v>6.4220649523440088E-2</v>
      </c>
    </row>
    <row r="109" spans="1:19" x14ac:dyDescent="0.45">
      <c r="A109">
        <v>85</v>
      </c>
      <c r="B109">
        <v>9.6079448489203489</v>
      </c>
      <c r="C109">
        <v>1.2914505466676829E-2</v>
      </c>
      <c r="R109" s="3">
        <v>26938</v>
      </c>
      <c r="S109">
        <v>5.337500754217217E-2</v>
      </c>
    </row>
    <row r="110" spans="1:19" x14ac:dyDescent="0.45">
      <c r="A110">
        <v>86</v>
      </c>
      <c r="B110">
        <v>9.6133485295906489</v>
      </c>
      <c r="C110">
        <v>2.0362354362532642E-2</v>
      </c>
      <c r="R110" s="3">
        <v>27030</v>
      </c>
      <c r="S110">
        <v>3.6940867435250269E-2</v>
      </c>
    </row>
    <row r="111" spans="1:19" x14ac:dyDescent="0.45">
      <c r="A111">
        <v>87</v>
      </c>
      <c r="B111">
        <v>9.6187522102609471</v>
      </c>
      <c r="C111">
        <v>3.0810366621533802E-2</v>
      </c>
      <c r="R111" s="3">
        <v>27120</v>
      </c>
      <c r="S111">
        <v>3.2958166343014739E-2</v>
      </c>
    </row>
    <row r="112" spans="1:19" x14ac:dyDescent="0.45">
      <c r="A112">
        <v>88</v>
      </c>
      <c r="B112">
        <v>9.624155890931247</v>
      </c>
      <c r="C112">
        <v>2.7209764551651361E-2</v>
      </c>
      <c r="R112" s="3">
        <v>27211</v>
      </c>
      <c r="S112">
        <v>2.9313700722227054E-2</v>
      </c>
    </row>
    <row r="113" spans="1:19" x14ac:dyDescent="0.45">
      <c r="A113">
        <v>89</v>
      </c>
      <c r="B113">
        <v>9.629559571601547</v>
      </c>
      <c r="C113">
        <v>3.0773030532877499E-2</v>
      </c>
      <c r="R113" s="3">
        <v>27303</v>
      </c>
      <c r="S113">
        <v>6.6386311006869647E-3</v>
      </c>
    </row>
    <row r="114" spans="1:19" x14ac:dyDescent="0.45">
      <c r="A114">
        <v>90</v>
      </c>
      <c r="B114">
        <v>9.6349632522718469</v>
      </c>
      <c r="C114">
        <v>2.9505399791780462E-2</v>
      </c>
      <c r="R114" s="3">
        <v>27395</v>
      </c>
      <c r="S114">
        <v>7.5604459321372275E-3</v>
      </c>
    </row>
    <row r="115" spans="1:19" x14ac:dyDescent="0.45">
      <c r="A115">
        <v>91</v>
      </c>
      <c r="B115">
        <v>9.6403669329421469</v>
      </c>
      <c r="C115">
        <v>2.613166145771828E-2</v>
      </c>
      <c r="R115" s="3">
        <v>27485</v>
      </c>
      <c r="S115">
        <v>1.6046668084470639E-2</v>
      </c>
    </row>
    <row r="116" spans="1:19" x14ac:dyDescent="0.45">
      <c r="A116">
        <v>92</v>
      </c>
      <c r="B116">
        <v>9.645770613612445</v>
      </c>
      <c r="C116">
        <v>2.5784881576393914E-2</v>
      </c>
      <c r="R116" s="3">
        <v>27576</v>
      </c>
      <c r="S116">
        <v>2.1830106925490256E-2</v>
      </c>
    </row>
    <row r="117" spans="1:19" x14ac:dyDescent="0.45">
      <c r="A117">
        <v>93</v>
      </c>
      <c r="B117">
        <v>9.651174294282745</v>
      </c>
      <c r="C117">
        <v>2.4094349072390386E-2</v>
      </c>
      <c r="R117" s="3">
        <v>27668</v>
      </c>
      <c r="S117">
        <v>2.4499742007636272E-2</v>
      </c>
    </row>
    <row r="118" spans="1:19" x14ac:dyDescent="0.45">
      <c r="A118">
        <v>94</v>
      </c>
      <c r="B118">
        <v>9.6565779749530449</v>
      </c>
      <c r="C118">
        <v>2.0134440034823342E-2</v>
      </c>
      <c r="R118" s="3">
        <v>27760</v>
      </c>
      <c r="S118">
        <v>3.6740183009023042E-2</v>
      </c>
    </row>
    <row r="119" spans="1:19" x14ac:dyDescent="0.45">
      <c r="A119">
        <v>95</v>
      </c>
      <c r="B119">
        <v>9.6619816556233449</v>
      </c>
      <c r="C119">
        <v>2.0048423370230495E-2</v>
      </c>
      <c r="R119" s="3">
        <v>27851</v>
      </c>
      <c r="S119">
        <v>3.8394460949922049E-2</v>
      </c>
    </row>
    <row r="120" spans="1:19" x14ac:dyDescent="0.45">
      <c r="A120">
        <v>96</v>
      </c>
      <c r="B120">
        <v>9.6673853362936448</v>
      </c>
      <c r="C120">
        <v>8.4485094503872205E-3</v>
      </c>
      <c r="R120" s="3">
        <v>27942</v>
      </c>
      <c r="S120">
        <v>4.0912147309818181E-2</v>
      </c>
    </row>
    <row r="121" spans="1:19" x14ac:dyDescent="0.45">
      <c r="A121">
        <v>97</v>
      </c>
      <c r="B121">
        <v>9.672789016963943</v>
      </c>
      <c r="C121">
        <v>1.8989361883638978E-2</v>
      </c>
      <c r="R121" s="3">
        <v>28034</v>
      </c>
      <c r="S121">
        <v>4.5708005037900179E-2</v>
      </c>
    </row>
    <row r="122" spans="1:19" x14ac:dyDescent="0.45">
      <c r="A122">
        <v>98</v>
      </c>
      <c r="B122">
        <v>9.6781926976342429</v>
      </c>
      <c r="C122">
        <v>1.9868424392834427E-2</v>
      </c>
      <c r="R122" s="3">
        <v>28126</v>
      </c>
      <c r="S122">
        <v>4.9716905097444197E-2</v>
      </c>
    </row>
    <row r="123" spans="1:19" x14ac:dyDescent="0.45">
      <c r="A123">
        <v>99</v>
      </c>
      <c r="B123">
        <v>9.6835963783045429</v>
      </c>
      <c r="C123">
        <v>1.9303808630738217E-2</v>
      </c>
      <c r="R123" s="3">
        <v>28216</v>
      </c>
      <c r="S123">
        <v>4.7308733406943304E-2</v>
      </c>
    </row>
    <row r="124" spans="1:19" x14ac:dyDescent="0.45">
      <c r="A124">
        <v>100</v>
      </c>
      <c r="B124">
        <v>9.6890000589748428</v>
      </c>
      <c r="C124">
        <v>2.7253892406310598E-2</v>
      </c>
      <c r="R124" s="3">
        <v>28307</v>
      </c>
      <c r="S124">
        <v>4.8495034744604482E-2</v>
      </c>
    </row>
    <row r="125" spans="1:19" x14ac:dyDescent="0.45">
      <c r="A125">
        <v>101</v>
      </c>
      <c r="B125">
        <v>9.694403739645141</v>
      </c>
      <c r="C125">
        <v>3.258526939982076E-2</v>
      </c>
      <c r="R125" s="3">
        <v>28399</v>
      </c>
      <c r="S125">
        <v>5.5215854932420427E-2</v>
      </c>
    </row>
    <row r="126" spans="1:19" x14ac:dyDescent="0.45">
      <c r="A126">
        <v>102</v>
      </c>
      <c r="B126">
        <v>9.699807420315441</v>
      </c>
      <c r="C126">
        <v>4.368742090979616E-2</v>
      </c>
      <c r="R126" s="3">
        <v>28491</v>
      </c>
      <c r="S126">
        <v>5.3051501464194573E-2</v>
      </c>
    </row>
    <row r="127" spans="1:19" x14ac:dyDescent="0.45">
      <c r="A127">
        <v>103</v>
      </c>
      <c r="B127">
        <v>9.7052111009857409</v>
      </c>
      <c r="C127">
        <v>5.0993799400949058E-2</v>
      </c>
      <c r="R127" s="3">
        <v>28581</v>
      </c>
      <c r="S127">
        <v>6.6261998071555084E-2</v>
      </c>
    </row>
    <row r="128" spans="1:19" x14ac:dyDescent="0.45">
      <c r="A128">
        <v>104</v>
      </c>
      <c r="B128">
        <v>9.7106147816560409</v>
      </c>
      <c r="C128">
        <v>6.6118362534588471E-2</v>
      </c>
      <c r="R128" s="3">
        <v>28672</v>
      </c>
      <c r="S128">
        <v>6.2117224332885357E-2</v>
      </c>
    </row>
    <row r="129" spans="1:19" x14ac:dyDescent="0.45">
      <c r="A129">
        <v>105</v>
      </c>
      <c r="B129">
        <v>9.7160184623263408</v>
      </c>
      <c r="C129">
        <v>7.6649255104543457E-2</v>
      </c>
      <c r="R129" s="3">
        <v>28764</v>
      </c>
      <c r="S129">
        <v>6.1833522721940426E-2</v>
      </c>
    </row>
    <row r="130" spans="1:19" x14ac:dyDescent="0.45">
      <c r="A130">
        <v>106</v>
      </c>
      <c r="B130">
        <v>9.721422142996639</v>
      </c>
      <c r="C130">
        <v>6.8560708742667842E-2</v>
      </c>
      <c r="R130" s="3">
        <v>28856</v>
      </c>
      <c r="S130">
        <v>5.9079909854219181E-2</v>
      </c>
    </row>
    <row r="131" spans="1:19" x14ac:dyDescent="0.45">
      <c r="A131">
        <v>107</v>
      </c>
      <c r="B131">
        <v>9.7268258236669389</v>
      </c>
      <c r="C131">
        <v>6.4220649523440088E-2</v>
      </c>
      <c r="R131" s="3">
        <v>28946</v>
      </c>
      <c r="S131">
        <v>5.0425169727054353E-2</v>
      </c>
    </row>
    <row r="132" spans="1:19" x14ac:dyDescent="0.45">
      <c r="A132">
        <v>108</v>
      </c>
      <c r="B132">
        <v>9.7322295043372389</v>
      </c>
      <c r="C132">
        <v>5.337500754217217E-2</v>
      </c>
      <c r="R132" s="3">
        <v>29037</v>
      </c>
      <c r="S132">
        <v>5.1662382268130358E-2</v>
      </c>
    </row>
    <row r="133" spans="1:19" x14ac:dyDescent="0.45">
      <c r="A133">
        <v>109</v>
      </c>
      <c r="B133">
        <v>9.7376331850075388</v>
      </c>
      <c r="C133">
        <v>3.6940867435250269E-2</v>
      </c>
      <c r="R133" s="3">
        <v>29129</v>
      </c>
      <c r="S133">
        <v>4.5661330014953094E-2</v>
      </c>
    </row>
    <row r="134" spans="1:19" x14ac:dyDescent="0.45">
      <c r="A134">
        <v>110</v>
      </c>
      <c r="B134">
        <v>9.743036865677837</v>
      </c>
      <c r="C134">
        <v>3.2958166343014739E-2</v>
      </c>
      <c r="R134" s="3">
        <v>29221</v>
      </c>
      <c r="S134">
        <v>3.6016020190274389E-2</v>
      </c>
    </row>
    <row r="135" spans="1:19" x14ac:dyDescent="0.45">
      <c r="A135">
        <v>111</v>
      </c>
      <c r="B135">
        <v>9.7484405463481369</v>
      </c>
      <c r="C135">
        <v>2.9313700722227054E-2</v>
      </c>
      <c r="R135" s="3">
        <v>29312</v>
      </c>
      <c r="S135">
        <v>5.0342021983702523E-3</v>
      </c>
    </row>
    <row r="136" spans="1:19" x14ac:dyDescent="0.45">
      <c r="A136">
        <v>112</v>
      </c>
      <c r="B136">
        <v>9.7538442270184369</v>
      </c>
      <c r="C136">
        <v>6.6386311006869647E-3</v>
      </c>
      <c r="R136" s="3">
        <v>29403</v>
      </c>
      <c r="S136">
        <v>7.5510514508358995E-3</v>
      </c>
    </row>
    <row r="137" spans="1:19" x14ac:dyDescent="0.45">
      <c r="A137">
        <v>113</v>
      </c>
      <c r="B137">
        <v>9.7592479076887368</v>
      </c>
      <c r="C137">
        <v>7.5604459321372275E-3</v>
      </c>
      <c r="R137" s="3">
        <v>29495</v>
      </c>
      <c r="S137">
        <v>1.2829664487911785E-2</v>
      </c>
    </row>
    <row r="138" spans="1:19" x14ac:dyDescent="0.45">
      <c r="A138">
        <v>114</v>
      </c>
      <c r="B138">
        <v>9.7646515883590368</v>
      </c>
      <c r="C138">
        <v>1.6046668084470639E-2</v>
      </c>
      <c r="R138" s="3">
        <v>29587</v>
      </c>
      <c r="S138">
        <v>8.73442343863573E-3</v>
      </c>
    </row>
    <row r="139" spans="1:19" x14ac:dyDescent="0.45">
      <c r="A139">
        <v>115</v>
      </c>
      <c r="B139">
        <v>9.770055269029335</v>
      </c>
      <c r="C139">
        <v>2.1830106925490256E-2</v>
      </c>
      <c r="R139" s="3">
        <v>29677</v>
      </c>
      <c r="S139">
        <v>1.1658583482461182E-3</v>
      </c>
    </row>
    <row r="140" spans="1:19" x14ac:dyDescent="0.45">
      <c r="A140">
        <v>116</v>
      </c>
      <c r="B140">
        <v>9.7754589496996349</v>
      </c>
      <c r="C140">
        <v>2.4499742007636272E-2</v>
      </c>
      <c r="R140" s="3">
        <v>29768</v>
      </c>
      <c r="S140">
        <v>-2.3747335885744292E-3</v>
      </c>
    </row>
    <row r="141" spans="1:19" x14ac:dyDescent="0.45">
      <c r="A141">
        <v>117</v>
      </c>
      <c r="B141">
        <v>9.7808626303699349</v>
      </c>
      <c r="C141">
        <v>3.6740183009023042E-2</v>
      </c>
      <c r="R141" s="3">
        <v>29860</v>
      </c>
      <c r="S141">
        <v>-1.7230328241653936E-2</v>
      </c>
    </row>
    <row r="142" spans="1:19" x14ac:dyDescent="0.45">
      <c r="A142">
        <v>118</v>
      </c>
      <c r="B142">
        <v>9.7862663110402348</v>
      </c>
      <c r="C142">
        <v>3.8394460949922049E-2</v>
      </c>
      <c r="R142" s="3">
        <v>29952</v>
      </c>
      <c r="S142">
        <v>-1.7416826000488328E-2</v>
      </c>
    </row>
    <row r="143" spans="1:19" x14ac:dyDescent="0.45">
      <c r="A143">
        <v>119</v>
      </c>
      <c r="B143">
        <v>9.7916699917105348</v>
      </c>
      <c r="C143">
        <v>4.0912147309818181E-2</v>
      </c>
      <c r="R143" s="3">
        <v>30042</v>
      </c>
      <c r="S143">
        <v>-2.2012507434828521E-2</v>
      </c>
    </row>
    <row r="144" spans="1:19" x14ac:dyDescent="0.45">
      <c r="A144">
        <v>120</v>
      </c>
      <c r="B144">
        <v>9.7970736723808329</v>
      </c>
      <c r="C144">
        <v>4.5708005037900179E-2</v>
      </c>
      <c r="R144" s="3">
        <v>30133</v>
      </c>
      <c r="S144">
        <v>-2.3285407963093974E-2</v>
      </c>
    </row>
    <row r="145" spans="1:19" x14ac:dyDescent="0.45">
      <c r="A145">
        <v>121</v>
      </c>
      <c r="B145">
        <v>9.8024773530511329</v>
      </c>
      <c r="C145">
        <v>4.9716905097444197E-2</v>
      </c>
      <c r="R145" s="3">
        <v>30225</v>
      </c>
      <c r="S145">
        <v>-1.3769768917649472E-2</v>
      </c>
    </row>
    <row r="146" spans="1:19" x14ac:dyDescent="0.45">
      <c r="A146">
        <v>122</v>
      </c>
      <c r="B146">
        <v>9.8078810337214328</v>
      </c>
      <c r="C146">
        <v>4.7308733406943304E-2</v>
      </c>
      <c r="R146" s="3">
        <v>30317</v>
      </c>
      <c r="S146">
        <v>-1.137863952413376E-2</v>
      </c>
    </row>
    <row r="147" spans="1:19" x14ac:dyDescent="0.45">
      <c r="A147">
        <v>123</v>
      </c>
      <c r="B147">
        <v>9.8132847143917328</v>
      </c>
      <c r="C147">
        <v>4.8495034744604482E-2</v>
      </c>
      <c r="R147" s="3">
        <v>30407</v>
      </c>
      <c r="S147">
        <v>1.3335879484603907E-3</v>
      </c>
    </row>
    <row r="148" spans="1:19" x14ac:dyDescent="0.45">
      <c r="A148">
        <v>124</v>
      </c>
      <c r="B148">
        <v>9.8186883950620327</v>
      </c>
      <c r="C148">
        <v>5.5215854932420427E-2</v>
      </c>
      <c r="R148" s="3">
        <v>30498</v>
      </c>
      <c r="S148">
        <v>1.1255143760388719E-2</v>
      </c>
    </row>
    <row r="149" spans="1:19" x14ac:dyDescent="0.45">
      <c r="A149">
        <v>125</v>
      </c>
      <c r="B149">
        <v>9.8240920757323309</v>
      </c>
      <c r="C149">
        <v>5.3051501464194573E-2</v>
      </c>
      <c r="R149" s="3">
        <v>30590</v>
      </c>
      <c r="S149">
        <v>1.9305533428903843E-2</v>
      </c>
    </row>
    <row r="150" spans="1:19" x14ac:dyDescent="0.45">
      <c r="A150">
        <v>126</v>
      </c>
      <c r="B150">
        <v>9.8294957564026308</v>
      </c>
      <c r="C150">
        <v>6.6261998071555084E-2</v>
      </c>
      <c r="R150" s="3">
        <v>30682</v>
      </c>
      <c r="S150">
        <v>2.0258796667551593E-2</v>
      </c>
    </row>
    <row r="151" spans="1:19" x14ac:dyDescent="0.45">
      <c r="A151">
        <v>127</v>
      </c>
      <c r="B151">
        <v>9.8348994370729308</v>
      </c>
      <c r="C151">
        <v>6.2117224332885357E-2</v>
      </c>
      <c r="R151" s="3">
        <v>30773</v>
      </c>
      <c r="S151">
        <v>2.6712596287024937E-2</v>
      </c>
    </row>
    <row r="152" spans="1:19" x14ac:dyDescent="0.45">
      <c r="A152">
        <v>128</v>
      </c>
      <c r="B152">
        <v>9.8403031177432307</v>
      </c>
      <c r="C152">
        <v>6.1833522721940426E-2</v>
      </c>
      <c r="R152" s="3">
        <v>30864</v>
      </c>
      <c r="S152">
        <v>2.6269425512914779E-2</v>
      </c>
    </row>
    <row r="153" spans="1:19" x14ac:dyDescent="0.45">
      <c r="A153">
        <v>129</v>
      </c>
      <c r="B153">
        <v>9.8457067984135289</v>
      </c>
      <c r="C153">
        <v>5.9079909854219181E-2</v>
      </c>
      <c r="R153" s="3">
        <v>30956</v>
      </c>
      <c r="S153">
        <v>3.1303158708618994E-2</v>
      </c>
    </row>
    <row r="154" spans="1:19" x14ac:dyDescent="0.45">
      <c r="A154">
        <v>130</v>
      </c>
      <c r="B154">
        <v>9.8511104790838289</v>
      </c>
      <c r="C154">
        <v>5.0425169727054353E-2</v>
      </c>
      <c r="R154" s="3">
        <v>31048</v>
      </c>
      <c r="S154">
        <v>4.0929911298778876E-2</v>
      </c>
    </row>
    <row r="155" spans="1:19" x14ac:dyDescent="0.45">
      <c r="A155">
        <v>131</v>
      </c>
      <c r="B155">
        <v>9.8565141597541288</v>
      </c>
      <c r="C155">
        <v>5.1662382268130358E-2</v>
      </c>
      <c r="R155" s="3">
        <v>31138</v>
      </c>
      <c r="S155">
        <v>4.2514130433458419E-2</v>
      </c>
    </row>
    <row r="156" spans="1:19" x14ac:dyDescent="0.45">
      <c r="A156">
        <v>132</v>
      </c>
      <c r="B156">
        <v>9.8619178404244288</v>
      </c>
      <c r="C156">
        <v>4.5661330014953094E-2</v>
      </c>
      <c r="R156" s="3">
        <v>31229</v>
      </c>
      <c r="S156">
        <v>5.338813968714895E-2</v>
      </c>
    </row>
    <row r="157" spans="1:19" x14ac:dyDescent="0.45">
      <c r="A157">
        <v>133</v>
      </c>
      <c r="B157">
        <v>9.8673215210947287</v>
      </c>
      <c r="C157">
        <v>3.6016020190274389E-2</v>
      </c>
      <c r="R157" s="3">
        <v>31321</v>
      </c>
      <c r="S157">
        <v>4.7635297002129207E-2</v>
      </c>
    </row>
    <row r="158" spans="1:19" x14ac:dyDescent="0.45">
      <c r="A158">
        <v>134</v>
      </c>
      <c r="B158">
        <v>9.8727252017650269</v>
      </c>
      <c r="C158">
        <v>5.0342021983702523E-3</v>
      </c>
      <c r="R158" s="3">
        <v>31413</v>
      </c>
      <c r="S158">
        <v>4.8975023582755739E-2</v>
      </c>
    </row>
    <row r="159" spans="1:19" x14ac:dyDescent="0.45">
      <c r="A159">
        <v>135</v>
      </c>
      <c r="B159">
        <v>9.8781288824353268</v>
      </c>
      <c r="C159">
        <v>7.5510514508358995E-3</v>
      </c>
      <c r="R159" s="3">
        <v>31503</v>
      </c>
      <c r="S159">
        <v>5.229182642653285E-2</v>
      </c>
    </row>
    <row r="160" spans="1:19" x14ac:dyDescent="0.45">
      <c r="A160">
        <v>136</v>
      </c>
      <c r="B160">
        <v>9.8835325631056268</v>
      </c>
      <c r="C160">
        <v>1.2829664487911785E-2</v>
      </c>
      <c r="R160" s="3">
        <v>31594</v>
      </c>
      <c r="S160">
        <v>6.1947193638710374E-2</v>
      </c>
    </row>
    <row r="161" spans="1:19" x14ac:dyDescent="0.45">
      <c r="A161">
        <v>137</v>
      </c>
      <c r="B161">
        <v>9.8889362437759267</v>
      </c>
      <c r="C161">
        <v>8.73442343863573E-3</v>
      </c>
      <c r="R161" s="3">
        <v>31686</v>
      </c>
      <c r="S161">
        <v>6.0262560446629365E-2</v>
      </c>
    </row>
    <row r="162" spans="1:19" x14ac:dyDescent="0.45">
      <c r="A162">
        <v>138</v>
      </c>
      <c r="B162">
        <v>9.8943399244462249</v>
      </c>
      <c r="C162">
        <v>1.1658583482461182E-3</v>
      </c>
      <c r="R162" s="3">
        <v>31778</v>
      </c>
      <c r="S162">
        <v>5.3845965027784715E-2</v>
      </c>
    </row>
    <row r="163" spans="1:19" x14ac:dyDescent="0.45">
      <c r="A163">
        <v>139</v>
      </c>
      <c r="B163">
        <v>9.8997436051165248</v>
      </c>
      <c r="C163">
        <v>-2.3747335885744292E-3</v>
      </c>
      <c r="R163" s="3">
        <v>31868</v>
      </c>
      <c r="S163">
        <v>5.9862342974037475E-2</v>
      </c>
    </row>
    <row r="164" spans="1:19" x14ac:dyDescent="0.45">
      <c r="A164">
        <v>140</v>
      </c>
      <c r="B164">
        <v>9.9051472857868248</v>
      </c>
      <c r="C164">
        <v>-1.7230328241653936E-2</v>
      </c>
      <c r="R164" s="3">
        <v>31959</v>
      </c>
      <c r="S164">
        <v>6.335278186279325E-2</v>
      </c>
    </row>
    <row r="165" spans="1:19" x14ac:dyDescent="0.45">
      <c r="A165">
        <v>141</v>
      </c>
      <c r="B165">
        <v>9.9105509664571247</v>
      </c>
      <c r="C165">
        <v>-1.7416826000488328E-2</v>
      </c>
      <c r="R165" s="3">
        <v>32051</v>
      </c>
      <c r="S165">
        <v>5.7576638589640794E-2</v>
      </c>
    </row>
    <row r="166" spans="1:19" x14ac:dyDescent="0.45">
      <c r="A166">
        <v>142</v>
      </c>
      <c r="B166">
        <v>9.9159546471274247</v>
      </c>
      <c r="C166">
        <v>-2.2012507434828521E-2</v>
      </c>
      <c r="R166" s="3">
        <v>32143</v>
      </c>
      <c r="S166">
        <v>6.769815885876973E-2</v>
      </c>
    </row>
    <row r="167" spans="1:19" x14ac:dyDescent="0.45">
      <c r="A167">
        <v>143</v>
      </c>
      <c r="B167">
        <v>9.9213583277977229</v>
      </c>
      <c r="C167">
        <v>-2.3285407963093974E-2</v>
      </c>
      <c r="R167" s="3">
        <v>32234</v>
      </c>
      <c r="S167">
        <v>6.7578613725791215E-2</v>
      </c>
    </row>
    <row r="168" spans="1:19" x14ac:dyDescent="0.45">
      <c r="A168">
        <v>144</v>
      </c>
      <c r="B168">
        <v>9.9267620084680228</v>
      </c>
      <c r="C168">
        <v>-1.3769768917649472E-2</v>
      </c>
      <c r="R168" s="3">
        <v>32325</v>
      </c>
      <c r="S168">
        <v>6.8398684150700717E-2</v>
      </c>
    </row>
    <row r="169" spans="1:19" x14ac:dyDescent="0.45">
      <c r="A169">
        <v>145</v>
      </c>
      <c r="B169">
        <v>9.9321656891383228</v>
      </c>
      <c r="C169">
        <v>-1.137863952413376E-2</v>
      </c>
      <c r="R169" s="3">
        <v>32417</v>
      </c>
      <c r="S169">
        <v>7.1819415963632949E-2</v>
      </c>
    </row>
    <row r="170" spans="1:19" x14ac:dyDescent="0.45">
      <c r="A170">
        <v>146</v>
      </c>
      <c r="B170">
        <v>9.9375693698086227</v>
      </c>
      <c r="C170">
        <v>1.3335879484603907E-3</v>
      </c>
      <c r="R170" s="3">
        <v>32509</v>
      </c>
      <c r="S170">
        <v>6.904794547547155E-2</v>
      </c>
    </row>
    <row r="171" spans="1:19" x14ac:dyDescent="0.45">
      <c r="A171">
        <v>147</v>
      </c>
      <c r="B171">
        <v>9.9429730504789227</v>
      </c>
      <c r="C171">
        <v>1.1255143760388719E-2</v>
      </c>
      <c r="R171" s="3">
        <v>32599</v>
      </c>
      <c r="S171">
        <v>6.6031185618591337E-2</v>
      </c>
    </row>
    <row r="172" spans="1:19" x14ac:dyDescent="0.45">
      <c r="A172">
        <v>148</v>
      </c>
      <c r="B172">
        <v>9.9483767311492208</v>
      </c>
      <c r="C172">
        <v>1.9305533428903843E-2</v>
      </c>
      <c r="R172" s="3">
        <v>32690</v>
      </c>
      <c r="S172">
        <v>6.7517529829496326E-2</v>
      </c>
    </row>
    <row r="173" spans="1:19" x14ac:dyDescent="0.45">
      <c r="A173">
        <v>149</v>
      </c>
      <c r="B173">
        <v>9.9537804118195208</v>
      </c>
      <c r="C173">
        <v>2.0258796667551593E-2</v>
      </c>
      <c r="R173" s="3">
        <v>32782</v>
      </c>
      <c r="S173">
        <v>6.3730473133698951E-2</v>
      </c>
    </row>
    <row r="174" spans="1:19" x14ac:dyDescent="0.45">
      <c r="A174">
        <v>150</v>
      </c>
      <c r="B174">
        <v>9.9591840924898207</v>
      </c>
      <c r="C174">
        <v>2.6712596287024937E-2</v>
      </c>
      <c r="R174" s="3">
        <v>32874</v>
      </c>
      <c r="S174">
        <v>6.445407007791637E-2</v>
      </c>
    </row>
    <row r="175" spans="1:19" x14ac:dyDescent="0.45">
      <c r="A175">
        <v>151</v>
      </c>
      <c r="B175">
        <v>9.9645877731601207</v>
      </c>
      <c r="C175">
        <v>2.6269425512914779E-2</v>
      </c>
      <c r="R175" s="3">
        <v>32964</v>
      </c>
      <c r="S175">
        <v>5.8972071672524606E-2</v>
      </c>
    </row>
    <row r="176" spans="1:19" x14ac:dyDescent="0.45">
      <c r="A176">
        <v>152</v>
      </c>
      <c r="B176">
        <v>9.9699914538304206</v>
      </c>
      <c r="C176">
        <v>3.1303158708618994E-2</v>
      </c>
      <c r="R176" s="3">
        <v>33055</v>
      </c>
      <c r="S176">
        <v>5.3999062660897934E-2</v>
      </c>
    </row>
    <row r="177" spans="1:19" x14ac:dyDescent="0.45">
      <c r="A177">
        <v>153</v>
      </c>
      <c r="B177">
        <v>9.9753951345007188</v>
      </c>
      <c r="C177">
        <v>4.0929911298778876E-2</v>
      </c>
      <c r="R177" s="3">
        <v>33147</v>
      </c>
      <c r="S177">
        <v>3.741636378049229E-2</v>
      </c>
    </row>
    <row r="178" spans="1:19" x14ac:dyDescent="0.45">
      <c r="A178">
        <v>154</v>
      </c>
      <c r="B178">
        <v>9.9807988151710187</v>
      </c>
      <c r="C178">
        <v>4.2514130433458419E-2</v>
      </c>
      <c r="R178" s="3">
        <v>33239</v>
      </c>
      <c r="S178">
        <v>2.5141168772560007E-2</v>
      </c>
    </row>
    <row r="179" spans="1:19" x14ac:dyDescent="0.45">
      <c r="A179">
        <v>155</v>
      </c>
      <c r="B179">
        <v>9.9862024958413187</v>
      </c>
      <c r="C179">
        <v>5.338813968714895E-2</v>
      </c>
      <c r="R179" s="3">
        <v>33329</v>
      </c>
      <c r="S179">
        <v>2.4826152974963378E-2</v>
      </c>
    </row>
    <row r="180" spans="1:19" x14ac:dyDescent="0.45">
      <c r="A180">
        <v>156</v>
      </c>
      <c r="B180">
        <v>9.9916061765116186</v>
      </c>
      <c r="C180">
        <v>4.7635297002129207E-2</v>
      </c>
      <c r="R180" s="3">
        <v>33420</v>
      </c>
      <c r="S180">
        <v>2.0849006070116971E-2</v>
      </c>
    </row>
    <row r="181" spans="1:19" x14ac:dyDescent="0.45">
      <c r="A181">
        <v>157</v>
      </c>
      <c r="B181">
        <v>9.9970098571819168</v>
      </c>
      <c r="C181">
        <v>4.8975023582755739E-2</v>
      </c>
      <c r="R181" s="3">
        <v>33512</v>
      </c>
      <c r="S181">
        <v>1.1517450326611112E-2</v>
      </c>
    </row>
    <row r="182" spans="1:19" x14ac:dyDescent="0.45">
      <c r="A182">
        <v>158</v>
      </c>
      <c r="B182">
        <v>10.002413537852217</v>
      </c>
      <c r="C182">
        <v>5.229182642653285E-2</v>
      </c>
      <c r="R182" s="3">
        <v>33604</v>
      </c>
      <c r="S182">
        <v>2.1733540540083141E-2</v>
      </c>
    </row>
    <row r="183" spans="1:19" x14ac:dyDescent="0.45">
      <c r="A183">
        <v>159</v>
      </c>
      <c r="B183">
        <v>10.007817218522517</v>
      </c>
      <c r="C183">
        <v>6.1947193638710374E-2</v>
      </c>
      <c r="R183" s="3">
        <v>33695</v>
      </c>
      <c r="S183">
        <v>1.9729030932673197E-2</v>
      </c>
    </row>
    <row r="184" spans="1:19" x14ac:dyDescent="0.45">
      <c r="A184">
        <v>160</v>
      </c>
      <c r="B184">
        <v>10.013220899192817</v>
      </c>
      <c r="C184">
        <v>6.0262560446629365E-2</v>
      </c>
      <c r="R184" s="3">
        <v>33786</v>
      </c>
      <c r="S184">
        <v>2.1321647456948867E-2</v>
      </c>
    </row>
    <row r="185" spans="1:19" x14ac:dyDescent="0.45">
      <c r="A185">
        <v>161</v>
      </c>
      <c r="B185">
        <v>10.018624579863117</v>
      </c>
      <c r="C185">
        <v>5.3845965027784715E-2</v>
      </c>
      <c r="R185" s="3">
        <v>33878</v>
      </c>
      <c r="S185">
        <v>2.4287830316993109E-2</v>
      </c>
    </row>
    <row r="186" spans="1:19" x14ac:dyDescent="0.45">
      <c r="A186">
        <v>162</v>
      </c>
      <c r="B186">
        <v>10.024028260533415</v>
      </c>
      <c r="C186">
        <v>5.9862342974037475E-2</v>
      </c>
      <c r="R186" s="3">
        <v>33970</v>
      </c>
      <c r="S186">
        <v>1.9767185812572308E-2</v>
      </c>
    </row>
    <row r="187" spans="1:19" x14ac:dyDescent="0.45">
      <c r="A187">
        <v>163</v>
      </c>
      <c r="B187">
        <v>10.029431941203715</v>
      </c>
      <c r="C187">
        <v>6.335278186279325E-2</v>
      </c>
      <c r="R187" s="3">
        <v>34060</v>
      </c>
      <c r="S187">
        <v>2.0408593758045157E-2</v>
      </c>
    </row>
    <row r="188" spans="1:19" x14ac:dyDescent="0.45">
      <c r="A188">
        <v>164</v>
      </c>
      <c r="B188">
        <v>10.034835621874015</v>
      </c>
      <c r="C188">
        <v>5.7576638589640794E-2</v>
      </c>
      <c r="R188" s="3">
        <v>34151</v>
      </c>
      <c r="S188">
        <v>2.2642743997431936E-2</v>
      </c>
    </row>
    <row r="189" spans="1:19" x14ac:dyDescent="0.45">
      <c r="A189">
        <v>165</v>
      </c>
      <c r="B189">
        <v>10.040239302544315</v>
      </c>
      <c r="C189">
        <v>6.769815885876973E-2</v>
      </c>
      <c r="R189" s="3">
        <v>34243</v>
      </c>
      <c r="S189">
        <v>2.2788236699399889E-2</v>
      </c>
    </row>
    <row r="190" spans="1:19" x14ac:dyDescent="0.45">
      <c r="A190">
        <v>166</v>
      </c>
      <c r="B190">
        <v>10.045642983214613</v>
      </c>
      <c r="C190">
        <v>6.7578613725791215E-2</v>
      </c>
      <c r="R190" s="3">
        <v>34335</v>
      </c>
      <c r="S190">
        <v>2.6080262996654113E-2</v>
      </c>
    </row>
    <row r="191" spans="1:19" x14ac:dyDescent="0.45">
      <c r="A191">
        <v>167</v>
      </c>
      <c r="B191">
        <v>10.051046663884913</v>
      </c>
      <c r="C191">
        <v>6.8398684150700717E-2</v>
      </c>
      <c r="R191" s="3">
        <v>34425</v>
      </c>
      <c r="S191">
        <v>2.5479182722786931E-2</v>
      </c>
    </row>
    <row r="192" spans="1:19" x14ac:dyDescent="0.45">
      <c r="A192">
        <v>168</v>
      </c>
      <c r="B192">
        <v>10.056450344555213</v>
      </c>
      <c r="C192">
        <v>7.1819415963632949E-2</v>
      </c>
      <c r="R192" s="3">
        <v>34516</v>
      </c>
      <c r="S192">
        <v>2.4448470776224696E-2</v>
      </c>
    </row>
    <row r="193" spans="1:19" x14ac:dyDescent="0.45">
      <c r="A193">
        <v>169</v>
      </c>
      <c r="B193">
        <v>10.061854025225513</v>
      </c>
      <c r="C193">
        <v>6.904794547547155E-2</v>
      </c>
      <c r="R193" s="3">
        <v>34608</v>
      </c>
      <c r="S193">
        <v>2.6743511251156704E-2</v>
      </c>
    </row>
    <row r="194" spans="1:19" x14ac:dyDescent="0.45">
      <c r="A194">
        <v>170</v>
      </c>
      <c r="B194">
        <v>10.067257705895813</v>
      </c>
      <c r="C194">
        <v>6.6031185618591337E-2</v>
      </c>
      <c r="R194" s="3">
        <v>34700</v>
      </c>
      <c r="S194">
        <v>2.1156340975027277E-2</v>
      </c>
    </row>
    <row r="195" spans="1:19" x14ac:dyDescent="0.45">
      <c r="A195">
        <v>171</v>
      </c>
      <c r="B195">
        <v>10.072661386566111</v>
      </c>
      <c r="C195">
        <v>6.7517529829496326E-2</v>
      </c>
      <c r="R195" s="3">
        <v>34790</v>
      </c>
      <c r="S195">
        <v>2.164417858089962E-2</v>
      </c>
    </row>
    <row r="196" spans="1:19" x14ac:dyDescent="0.45">
      <c r="A196">
        <v>172</v>
      </c>
      <c r="B196">
        <v>10.078065067236411</v>
      </c>
      <c r="C196">
        <v>6.3730473133698951E-2</v>
      </c>
      <c r="R196" s="3">
        <v>34881</v>
      </c>
      <c r="S196">
        <v>2.2061236114410576E-2</v>
      </c>
    </row>
    <row r="197" spans="1:19" x14ac:dyDescent="0.45">
      <c r="A197">
        <v>173</v>
      </c>
      <c r="B197">
        <v>10.083468747906711</v>
      </c>
      <c r="C197">
        <v>6.445407007791637E-2</v>
      </c>
      <c r="R197" s="3">
        <v>34973</v>
      </c>
      <c r="S197">
        <v>2.05313542532366E-2</v>
      </c>
    </row>
    <row r="198" spans="1:19" x14ac:dyDescent="0.45">
      <c r="A198">
        <v>174</v>
      </c>
      <c r="B198">
        <v>10.088872428577011</v>
      </c>
      <c r="C198">
        <v>5.8972071672524606E-2</v>
      </c>
      <c r="R198" s="3">
        <v>35065</v>
      </c>
      <c r="S198">
        <v>2.1826056450217735E-2</v>
      </c>
    </row>
    <row r="199" spans="1:19" x14ac:dyDescent="0.45">
      <c r="A199">
        <v>175</v>
      </c>
      <c r="B199">
        <v>10.094276109247311</v>
      </c>
      <c r="C199">
        <v>5.3999062660897934E-2</v>
      </c>
      <c r="R199" s="3">
        <v>35156</v>
      </c>
      <c r="S199">
        <v>2.4252093475546133E-2</v>
      </c>
    </row>
    <row r="200" spans="1:19" x14ac:dyDescent="0.45">
      <c r="A200">
        <v>176</v>
      </c>
      <c r="B200">
        <v>10.099679789917609</v>
      </c>
      <c r="C200">
        <v>3.741636378049229E-2</v>
      </c>
      <c r="R200" s="3">
        <v>35247</v>
      </c>
      <c r="S200">
        <v>2.1657852943301137E-2</v>
      </c>
    </row>
    <row r="201" spans="1:19" x14ac:dyDescent="0.45">
      <c r="A201">
        <v>177</v>
      </c>
      <c r="B201">
        <v>10.105083470587909</v>
      </c>
      <c r="C201">
        <v>2.5141168772560007E-2</v>
      </c>
      <c r="R201" s="3">
        <v>35339</v>
      </c>
      <c r="S201">
        <v>2.1001577207195865E-2</v>
      </c>
    </row>
    <row r="202" spans="1:19" x14ac:dyDescent="0.45">
      <c r="A202">
        <v>178</v>
      </c>
      <c r="B202">
        <v>10.110487151258209</v>
      </c>
      <c r="C202">
        <v>2.4826152974963378E-2</v>
      </c>
      <c r="R202" s="3">
        <v>35431</v>
      </c>
      <c r="S202">
        <v>2.3413736915539829E-2</v>
      </c>
    </row>
    <row r="203" spans="1:19" x14ac:dyDescent="0.45">
      <c r="A203">
        <v>179</v>
      </c>
      <c r="B203">
        <v>10.115890831928509</v>
      </c>
      <c r="C203">
        <v>2.0849006070116971E-2</v>
      </c>
      <c r="R203" s="3">
        <v>35521</v>
      </c>
      <c r="S203">
        <v>1.965695466748052E-2</v>
      </c>
    </row>
    <row r="204" spans="1:19" x14ac:dyDescent="0.45">
      <c r="A204">
        <v>180</v>
      </c>
      <c r="B204">
        <v>10.121294512598809</v>
      </c>
      <c r="C204">
        <v>1.1517450326611112E-2</v>
      </c>
      <c r="R204" s="3">
        <v>35612</v>
      </c>
      <c r="S204">
        <v>2.7849936559547928E-2</v>
      </c>
    </row>
    <row r="205" spans="1:19" x14ac:dyDescent="0.45">
      <c r="A205">
        <v>181</v>
      </c>
      <c r="B205">
        <v>10.126698193269107</v>
      </c>
      <c r="C205">
        <v>2.1733540540083141E-2</v>
      </c>
      <c r="R205" s="3">
        <v>35704</v>
      </c>
      <c r="S205">
        <v>3.1180836868081485E-2</v>
      </c>
    </row>
    <row r="206" spans="1:19" x14ac:dyDescent="0.45">
      <c r="A206">
        <v>182</v>
      </c>
      <c r="B206">
        <v>10.132101873939407</v>
      </c>
      <c r="C206">
        <v>1.9729030932673197E-2</v>
      </c>
      <c r="R206" s="3">
        <v>35796</v>
      </c>
      <c r="S206">
        <v>3.3281369876128508E-2</v>
      </c>
    </row>
    <row r="207" spans="1:19" x14ac:dyDescent="0.45">
      <c r="A207">
        <v>183</v>
      </c>
      <c r="B207">
        <v>10.137505554609707</v>
      </c>
      <c r="C207">
        <v>2.1321647456948867E-2</v>
      </c>
      <c r="R207" s="3">
        <v>35886</v>
      </c>
      <c r="S207">
        <v>4.2618810567823573E-2</v>
      </c>
    </row>
    <row r="208" spans="1:19" x14ac:dyDescent="0.45">
      <c r="A208">
        <v>184</v>
      </c>
      <c r="B208">
        <v>10.142909235280007</v>
      </c>
      <c r="C208">
        <v>2.4287830316993109E-2</v>
      </c>
      <c r="R208" s="3">
        <v>35977</v>
      </c>
      <c r="S208">
        <v>4.7044774376633569E-2</v>
      </c>
    </row>
    <row r="209" spans="1:19" x14ac:dyDescent="0.45">
      <c r="A209">
        <v>185</v>
      </c>
      <c r="B209">
        <v>10.148312915950305</v>
      </c>
      <c r="C209">
        <v>1.9767185812572308E-2</v>
      </c>
      <c r="R209" s="3">
        <v>36069</v>
      </c>
      <c r="S209">
        <v>5.2949962848932941E-2</v>
      </c>
    </row>
    <row r="210" spans="1:19" x14ac:dyDescent="0.45">
      <c r="A210">
        <v>186</v>
      </c>
      <c r="B210">
        <v>10.153716596620605</v>
      </c>
      <c r="C210">
        <v>2.0408593758045157E-2</v>
      </c>
      <c r="R210" s="3">
        <v>36161</v>
      </c>
      <c r="S210">
        <v>5.5253701129762689E-2</v>
      </c>
    </row>
    <row r="211" spans="1:19" x14ac:dyDescent="0.45">
      <c r="A211">
        <v>187</v>
      </c>
      <c r="B211">
        <v>10.159120277290905</v>
      </c>
      <c r="C211">
        <v>2.2642743997431936E-2</v>
      </c>
      <c r="R211" s="3">
        <v>36251</v>
      </c>
      <c r="S211">
        <v>6.2297441966530087E-2</v>
      </c>
    </row>
    <row r="212" spans="1:19" x14ac:dyDescent="0.45">
      <c r="A212">
        <v>188</v>
      </c>
      <c r="B212">
        <v>10.164523957961205</v>
      </c>
      <c r="C212">
        <v>2.2788236699399889E-2</v>
      </c>
      <c r="R212" s="3">
        <v>36342</v>
      </c>
      <c r="S212">
        <v>6.4894316004270536E-2</v>
      </c>
    </row>
    <row r="213" spans="1:19" x14ac:dyDescent="0.45">
      <c r="A213">
        <v>189</v>
      </c>
      <c r="B213">
        <v>10.169927638631505</v>
      </c>
      <c r="C213">
        <v>2.6080262996654113E-2</v>
      </c>
      <c r="R213" s="3">
        <v>36434</v>
      </c>
      <c r="S213">
        <v>7.1026177606489327E-2</v>
      </c>
    </row>
    <row r="214" spans="1:19" x14ac:dyDescent="0.45">
      <c r="A214">
        <v>190</v>
      </c>
      <c r="B214">
        <v>10.175331319301803</v>
      </c>
      <c r="C214">
        <v>2.5479182722786931E-2</v>
      </c>
      <c r="R214" s="3">
        <v>36526</v>
      </c>
      <c r="S214">
        <v>7.8085083086692819E-2</v>
      </c>
    </row>
    <row r="215" spans="1:19" x14ac:dyDescent="0.45">
      <c r="A215">
        <v>191</v>
      </c>
      <c r="B215">
        <v>10.180734999972103</v>
      </c>
      <c r="C215">
        <v>2.4448470776224696E-2</v>
      </c>
      <c r="R215" s="3">
        <v>36617</v>
      </c>
      <c r="S215">
        <v>7.9504192102373139E-2</v>
      </c>
    </row>
    <row r="216" spans="1:19" x14ac:dyDescent="0.45">
      <c r="A216">
        <v>192</v>
      </c>
      <c r="B216">
        <v>10.186138680642403</v>
      </c>
      <c r="C216">
        <v>2.6743511251156704E-2</v>
      </c>
      <c r="R216" s="3">
        <v>36708</v>
      </c>
      <c r="S216">
        <v>8.090776385090237E-2</v>
      </c>
    </row>
    <row r="217" spans="1:19" x14ac:dyDescent="0.45">
      <c r="A217">
        <v>193</v>
      </c>
      <c r="B217">
        <v>10.191542361312703</v>
      </c>
      <c r="C217">
        <v>2.1156340975027277E-2</v>
      </c>
      <c r="R217" s="3">
        <v>36800</v>
      </c>
      <c r="S217">
        <v>8.1563780376576744E-2</v>
      </c>
    </row>
    <row r="218" spans="1:19" x14ac:dyDescent="0.45">
      <c r="A218">
        <v>194</v>
      </c>
      <c r="B218">
        <v>10.196946041983001</v>
      </c>
      <c r="C218">
        <v>2.164417858089962E-2</v>
      </c>
      <c r="R218" s="3">
        <v>36892</v>
      </c>
      <c r="S218">
        <v>7.7501726935203408E-2</v>
      </c>
    </row>
    <row r="219" spans="1:19" x14ac:dyDescent="0.45">
      <c r="A219">
        <v>195</v>
      </c>
      <c r="B219">
        <v>10.202349722653301</v>
      </c>
      <c r="C219">
        <v>2.2061236114410576E-2</v>
      </c>
      <c r="R219" s="3">
        <v>36982</v>
      </c>
      <c r="S219">
        <v>7.1732326402241142E-2</v>
      </c>
    </row>
    <row r="220" spans="1:19" x14ac:dyDescent="0.45">
      <c r="A220">
        <v>196</v>
      </c>
      <c r="B220">
        <v>10.207753403323601</v>
      </c>
      <c r="C220">
        <v>2.05313542532366E-2</v>
      </c>
      <c r="R220" s="3">
        <v>37073</v>
      </c>
      <c r="S220">
        <v>6.7212239884582914E-2</v>
      </c>
    </row>
    <row r="221" spans="1:19" x14ac:dyDescent="0.45">
      <c r="A221">
        <v>197</v>
      </c>
      <c r="B221">
        <v>10.213157083993901</v>
      </c>
      <c r="C221">
        <v>2.1826056450217735E-2</v>
      </c>
      <c r="R221" s="3">
        <v>37165</v>
      </c>
      <c r="S221">
        <v>7.527015552435401E-2</v>
      </c>
    </row>
    <row r="222" spans="1:19" x14ac:dyDescent="0.45">
      <c r="A222">
        <v>198</v>
      </c>
      <c r="B222">
        <v>10.2185607646642</v>
      </c>
      <c r="C222">
        <v>2.4252093475546133E-2</v>
      </c>
      <c r="R222" s="3">
        <v>37257</v>
      </c>
      <c r="S222">
        <v>6.9896522479542256E-2</v>
      </c>
    </row>
    <row r="223" spans="1:19" x14ac:dyDescent="0.45">
      <c r="A223">
        <v>199</v>
      </c>
      <c r="B223">
        <v>10.223964445334499</v>
      </c>
      <c r="C223">
        <v>2.1657852943301137E-2</v>
      </c>
      <c r="R223" s="3">
        <v>37347</v>
      </c>
      <c r="S223">
        <v>6.7313294951162561E-2</v>
      </c>
    </row>
    <row r="224" spans="1:19" x14ac:dyDescent="0.45">
      <c r="A224">
        <v>200</v>
      </c>
      <c r="B224">
        <v>10.229368126004799</v>
      </c>
      <c r="C224">
        <v>2.1001577207195865E-2</v>
      </c>
      <c r="R224" s="3">
        <v>37438</v>
      </c>
      <c r="S224">
        <v>6.6364097797107391E-2</v>
      </c>
    </row>
    <row r="225" spans="1:19" x14ac:dyDescent="0.45">
      <c r="A225">
        <v>201</v>
      </c>
      <c r="B225">
        <v>10.234771806675099</v>
      </c>
      <c r="C225">
        <v>2.3413736915539829E-2</v>
      </c>
      <c r="R225" s="3">
        <v>37530</v>
      </c>
      <c r="S225">
        <v>6.4057870163198416E-2</v>
      </c>
    </row>
    <row r="226" spans="1:19" x14ac:dyDescent="0.45">
      <c r="A226">
        <v>202</v>
      </c>
      <c r="B226">
        <v>10.240175487345399</v>
      </c>
      <c r="C226">
        <v>1.965695466748052E-2</v>
      </c>
      <c r="R226" s="3">
        <v>37622</v>
      </c>
      <c r="S226">
        <v>6.1475233367618287E-2</v>
      </c>
    </row>
    <row r="227" spans="1:19" x14ac:dyDescent="0.45">
      <c r="A227">
        <v>203</v>
      </c>
      <c r="B227">
        <v>10.245579168015698</v>
      </c>
      <c r="C227">
        <v>2.7849936559547928E-2</v>
      </c>
      <c r="R227" s="3">
        <v>37712</v>
      </c>
      <c r="S227">
        <v>6.5251480498792702E-2</v>
      </c>
    </row>
    <row r="228" spans="1:19" x14ac:dyDescent="0.45">
      <c r="A228">
        <v>204</v>
      </c>
      <c r="B228">
        <v>10.250982848685997</v>
      </c>
      <c r="C228">
        <v>3.1180836868081485E-2</v>
      </c>
      <c r="R228" s="3">
        <v>37803</v>
      </c>
      <c r="S228">
        <v>7.1416052229682947E-2</v>
      </c>
    </row>
    <row r="229" spans="1:19" x14ac:dyDescent="0.45">
      <c r="A229">
        <v>205</v>
      </c>
      <c r="B229">
        <v>10.256386529356297</v>
      </c>
      <c r="C229">
        <v>3.3281369876128508E-2</v>
      </c>
      <c r="R229" s="3">
        <v>37895</v>
      </c>
      <c r="S229">
        <v>7.0475241574280645E-2</v>
      </c>
    </row>
    <row r="230" spans="1:19" x14ac:dyDescent="0.45">
      <c r="A230">
        <v>206</v>
      </c>
      <c r="B230">
        <v>10.261790210026597</v>
      </c>
      <c r="C230">
        <v>4.2618810567823573E-2</v>
      </c>
      <c r="R230" s="3">
        <v>37987</v>
      </c>
      <c r="S230">
        <v>7.2417862470381067E-2</v>
      </c>
    </row>
    <row r="231" spans="1:19" x14ac:dyDescent="0.45">
      <c r="A231">
        <v>207</v>
      </c>
      <c r="B231">
        <v>10.267193890696896</v>
      </c>
      <c r="C231">
        <v>4.7044774376633569E-2</v>
      </c>
      <c r="R231" s="3">
        <v>38078</v>
      </c>
      <c r="S231">
        <v>7.0252424517486034E-2</v>
      </c>
    </row>
    <row r="232" spans="1:19" x14ac:dyDescent="0.45">
      <c r="A232">
        <v>208</v>
      </c>
      <c r="B232">
        <v>10.272597571367196</v>
      </c>
      <c r="C232">
        <v>5.2949962848932941E-2</v>
      </c>
      <c r="R232" s="3">
        <v>38169</v>
      </c>
      <c r="S232">
        <v>7.4047549936928192E-2</v>
      </c>
    </row>
    <row r="233" spans="1:19" x14ac:dyDescent="0.45">
      <c r="A233">
        <v>209</v>
      </c>
      <c r="B233">
        <v>10.278001252037495</v>
      </c>
      <c r="C233">
        <v>5.5253701129762689E-2</v>
      </c>
      <c r="R233" s="3">
        <v>38261</v>
      </c>
      <c r="S233">
        <v>7.7421673612397157E-2</v>
      </c>
    </row>
    <row r="234" spans="1:19" x14ac:dyDescent="0.45">
      <c r="A234">
        <v>210</v>
      </c>
      <c r="B234">
        <v>10.283404932707795</v>
      </c>
      <c r="C234">
        <v>6.2297441966530087E-2</v>
      </c>
      <c r="R234" s="3">
        <v>38353</v>
      </c>
      <c r="S234">
        <v>7.6224274907270129E-2</v>
      </c>
    </row>
    <row r="235" spans="1:19" x14ac:dyDescent="0.45">
      <c r="A235">
        <v>211</v>
      </c>
      <c r="B235">
        <v>10.288808613378094</v>
      </c>
      <c r="C235">
        <v>6.4894316004270536E-2</v>
      </c>
      <c r="R235" s="3">
        <v>38443</v>
      </c>
      <c r="S235">
        <v>7.9707560555876356E-2</v>
      </c>
    </row>
    <row r="236" spans="1:19" x14ac:dyDescent="0.45">
      <c r="A236">
        <v>212</v>
      </c>
      <c r="B236">
        <v>10.294212294048394</v>
      </c>
      <c r="C236">
        <v>7.1026177606489327E-2</v>
      </c>
      <c r="R236" s="3">
        <v>38534</v>
      </c>
      <c r="S236">
        <v>8.0028690520469681E-2</v>
      </c>
    </row>
    <row r="237" spans="1:19" x14ac:dyDescent="0.45">
      <c r="A237">
        <v>213</v>
      </c>
      <c r="B237">
        <v>10.299615974718694</v>
      </c>
      <c r="C237">
        <v>7.8085083086692819E-2</v>
      </c>
      <c r="R237" s="3">
        <v>38626</v>
      </c>
      <c r="S237">
        <v>7.3962940860468507E-2</v>
      </c>
    </row>
    <row r="238" spans="1:19" x14ac:dyDescent="0.45">
      <c r="A238">
        <v>214</v>
      </c>
      <c r="B238">
        <v>10.305019655388993</v>
      </c>
      <c r="C238">
        <v>7.9504192102373139E-2</v>
      </c>
      <c r="R238" s="3">
        <v>38718</v>
      </c>
      <c r="S238">
        <v>7.7214230347081525E-2</v>
      </c>
    </row>
    <row r="239" spans="1:19" x14ac:dyDescent="0.45">
      <c r="A239">
        <v>215</v>
      </c>
      <c r="B239">
        <v>10.310423336059293</v>
      </c>
      <c r="C239">
        <v>8.090776385090237E-2</v>
      </c>
      <c r="R239" s="3">
        <v>38808</v>
      </c>
      <c r="S239">
        <v>7.4733529917512698E-2</v>
      </c>
    </row>
    <row r="240" spans="1:19" x14ac:dyDescent="0.45">
      <c r="A240">
        <v>216</v>
      </c>
      <c r="B240">
        <v>10.315827016729592</v>
      </c>
      <c r="C240">
        <v>8.1563780376576744E-2</v>
      </c>
      <c r="R240" s="3">
        <v>38899</v>
      </c>
      <c r="S240">
        <v>7.3141452010540675E-2</v>
      </c>
    </row>
    <row r="241" spans="1:19" x14ac:dyDescent="0.45">
      <c r="A241">
        <v>217</v>
      </c>
      <c r="B241">
        <v>10.321230697399892</v>
      </c>
      <c r="C241">
        <v>7.7501726935203408E-2</v>
      </c>
      <c r="R241" s="3">
        <v>38991</v>
      </c>
      <c r="S241">
        <v>7.4670208115884762E-2</v>
      </c>
    </row>
    <row r="242" spans="1:19" x14ac:dyDescent="0.45">
      <c r="A242">
        <v>218</v>
      </c>
      <c r="B242">
        <v>10.326634378070191</v>
      </c>
      <c r="C242">
        <v>7.1732326402241142E-2</v>
      </c>
      <c r="R242" s="3">
        <v>39083</v>
      </c>
      <c r="S242">
        <v>7.3198768769813682E-2</v>
      </c>
    </row>
    <row r="243" spans="1:19" x14ac:dyDescent="0.45">
      <c r="A243">
        <v>219</v>
      </c>
      <c r="B243">
        <v>10.332038058740491</v>
      </c>
      <c r="C243">
        <v>6.7212239884582914E-2</v>
      </c>
      <c r="R243" s="3">
        <v>39173</v>
      </c>
      <c r="S243">
        <v>6.8171341161010091E-2</v>
      </c>
    </row>
    <row r="244" spans="1:19" x14ac:dyDescent="0.45">
      <c r="A244">
        <v>220</v>
      </c>
      <c r="B244">
        <v>10.33744173941079</v>
      </c>
      <c r="C244">
        <v>7.527015552435401E-2</v>
      </c>
      <c r="R244" s="3">
        <v>39264</v>
      </c>
      <c r="S244">
        <v>6.6843607354263312E-2</v>
      </c>
    </row>
    <row r="245" spans="1:19" x14ac:dyDescent="0.45">
      <c r="A245">
        <v>221</v>
      </c>
      <c r="B245">
        <v>10.34284542008109</v>
      </c>
      <c r="C245">
        <v>6.9896522479542256E-2</v>
      </c>
      <c r="R245" s="3">
        <v>39356</v>
      </c>
      <c r="S245">
        <v>6.2830524330101056E-2</v>
      </c>
    </row>
    <row r="246" spans="1:19" x14ac:dyDescent="0.45">
      <c r="A246">
        <v>222</v>
      </c>
      <c r="B246">
        <v>10.348249100751389</v>
      </c>
      <c r="C246">
        <v>6.7313294951162561E-2</v>
      </c>
      <c r="R246" s="3">
        <v>39448</v>
      </c>
      <c r="S246">
        <v>5.3866263245341273E-2</v>
      </c>
    </row>
    <row r="247" spans="1:19" x14ac:dyDescent="0.45">
      <c r="A247">
        <v>223</v>
      </c>
      <c r="B247">
        <v>10.353652781421689</v>
      </c>
      <c r="C247">
        <v>6.6364097797107391E-2</v>
      </c>
      <c r="R247" s="3">
        <v>39539</v>
      </c>
      <c r="S247">
        <v>4.9025623008175145E-2</v>
      </c>
    </row>
    <row r="248" spans="1:19" x14ac:dyDescent="0.45">
      <c r="A248">
        <v>224</v>
      </c>
      <c r="B248">
        <v>10.359056462091988</v>
      </c>
      <c r="C248">
        <v>6.4057870163198416E-2</v>
      </c>
      <c r="R248" s="3">
        <v>39630</v>
      </c>
      <c r="S248">
        <v>3.3438390337730439E-2</v>
      </c>
    </row>
    <row r="249" spans="1:19" x14ac:dyDescent="0.45">
      <c r="A249">
        <v>225</v>
      </c>
      <c r="B249">
        <v>10.364460142762288</v>
      </c>
      <c r="C249">
        <v>6.1475233367618287E-2</v>
      </c>
      <c r="R249" s="3">
        <v>39722</v>
      </c>
      <c r="S249">
        <v>1.6651454482623507E-2</v>
      </c>
    </row>
    <row r="250" spans="1:19" x14ac:dyDescent="0.45">
      <c r="A250">
        <v>226</v>
      </c>
      <c r="B250">
        <v>10.369863823432588</v>
      </c>
      <c r="C250">
        <v>6.5251480498792702E-2</v>
      </c>
      <c r="R250" s="3">
        <v>39814</v>
      </c>
      <c r="S250">
        <v>6.690956791727487E-3</v>
      </c>
    </row>
    <row r="251" spans="1:19" x14ac:dyDescent="0.45">
      <c r="A251">
        <v>227</v>
      </c>
      <c r="B251">
        <v>10.375267504102887</v>
      </c>
      <c r="C251">
        <v>7.1416052229682947E-2</v>
      </c>
      <c r="R251" s="3">
        <v>39904</v>
      </c>
      <c r="S251">
        <v>-5.6979398181429275E-3</v>
      </c>
    </row>
    <row r="252" spans="1:19" x14ac:dyDescent="0.45">
      <c r="A252">
        <v>228</v>
      </c>
      <c r="B252">
        <v>10.380671184773187</v>
      </c>
      <c r="C252">
        <v>7.0475241574280645E-2</v>
      </c>
      <c r="R252" s="3">
        <v>39995</v>
      </c>
      <c r="S252">
        <v>-6.7060090154047458E-3</v>
      </c>
    </row>
    <row r="253" spans="1:19" x14ac:dyDescent="0.45">
      <c r="A253">
        <v>229</v>
      </c>
      <c r="B253">
        <v>10.386074865443486</v>
      </c>
      <c r="C253">
        <v>7.2417862470381067E-2</v>
      </c>
      <c r="R253" s="3">
        <v>40087</v>
      </c>
      <c r="S253">
        <v>-1.5508374931787472E-2</v>
      </c>
    </row>
    <row r="254" spans="1:19" x14ac:dyDescent="0.45">
      <c r="A254">
        <v>230</v>
      </c>
      <c r="B254">
        <v>10.391478546113786</v>
      </c>
      <c r="C254">
        <v>7.0252424517486034E-2</v>
      </c>
      <c r="R254" s="3">
        <v>40179</v>
      </c>
      <c r="S254">
        <v>-1.7127259316705334E-2</v>
      </c>
    </row>
    <row r="255" spans="1:19" x14ac:dyDescent="0.45">
      <c r="A255">
        <v>231</v>
      </c>
      <c r="B255">
        <v>10.396882226784086</v>
      </c>
      <c r="C255">
        <v>7.4047549936928192E-2</v>
      </c>
      <c r="R255" s="3">
        <v>40269</v>
      </c>
      <c r="S255">
        <v>-1.552416561066039E-2</v>
      </c>
    </row>
    <row r="256" spans="1:19" x14ac:dyDescent="0.45">
      <c r="A256">
        <v>232</v>
      </c>
      <c r="B256">
        <v>10.402285907454385</v>
      </c>
      <c r="C256">
        <v>7.7421673612397157E-2</v>
      </c>
      <c r="R256" s="3">
        <v>40360</v>
      </c>
      <c r="S256">
        <v>-1.5929542942176411E-2</v>
      </c>
    </row>
    <row r="257" spans="1:19" x14ac:dyDescent="0.45">
      <c r="A257">
        <v>233</v>
      </c>
      <c r="B257">
        <v>10.407689588124684</v>
      </c>
      <c r="C257">
        <v>7.6224274907270129E-2</v>
      </c>
      <c r="R257" s="3">
        <v>40452</v>
      </c>
      <c r="S257">
        <v>-1.7390483334370543E-2</v>
      </c>
    </row>
    <row r="258" spans="1:19" x14ac:dyDescent="0.45">
      <c r="A258">
        <v>234</v>
      </c>
      <c r="B258">
        <v>10.413093268794984</v>
      </c>
      <c r="C258">
        <v>7.9707560555876356E-2</v>
      </c>
      <c r="R258" s="3">
        <v>40544</v>
      </c>
      <c r="S258">
        <v>-2.0760899101832209E-2</v>
      </c>
    </row>
    <row r="259" spans="1:19" x14ac:dyDescent="0.45">
      <c r="A259">
        <v>235</v>
      </c>
      <c r="B259">
        <v>10.418496949465284</v>
      </c>
      <c r="C259">
        <v>8.0028690520469681E-2</v>
      </c>
      <c r="R259" s="3">
        <v>40634</v>
      </c>
      <c r="S259">
        <v>-2.6950285389707673E-2</v>
      </c>
    </row>
    <row r="260" spans="1:19" x14ac:dyDescent="0.45">
      <c r="A260">
        <v>236</v>
      </c>
      <c r="B260">
        <v>10.423900630135584</v>
      </c>
      <c r="C260">
        <v>7.3962940860468507E-2</v>
      </c>
      <c r="R260" s="3">
        <v>40725</v>
      </c>
      <c r="S260">
        <v>-3.1459935684702955E-2</v>
      </c>
    </row>
    <row r="261" spans="1:19" x14ac:dyDescent="0.45">
      <c r="A261">
        <v>237</v>
      </c>
      <c r="B261">
        <v>10.429304310805882</v>
      </c>
      <c r="C261">
        <v>7.7214230347081525E-2</v>
      </c>
      <c r="R261" s="3">
        <v>40817</v>
      </c>
      <c r="S261">
        <v>-3.7215714729507354E-2</v>
      </c>
    </row>
    <row r="262" spans="1:19" x14ac:dyDescent="0.45">
      <c r="A262">
        <v>238</v>
      </c>
      <c r="B262">
        <v>10.434707991476182</v>
      </c>
      <c r="C262">
        <v>7.4733529917512698E-2</v>
      </c>
      <c r="R262" s="3">
        <v>40909</v>
      </c>
      <c r="S262">
        <v>-3.7216167341425077E-2</v>
      </c>
    </row>
    <row r="263" spans="1:19" x14ac:dyDescent="0.45">
      <c r="A263">
        <v>239</v>
      </c>
      <c r="B263">
        <v>10.440111672146482</v>
      </c>
      <c r="C263">
        <v>7.3141452010540675E-2</v>
      </c>
      <c r="R263" s="3">
        <v>41000</v>
      </c>
      <c r="S263">
        <v>-4.2646791659088024E-2</v>
      </c>
    </row>
    <row r="264" spans="1:19" x14ac:dyDescent="0.45">
      <c r="A264">
        <v>240</v>
      </c>
      <c r="B264">
        <v>10.445515352816782</v>
      </c>
      <c r="C264">
        <v>7.4670208115884762E-2</v>
      </c>
      <c r="R264" s="3">
        <v>41091</v>
      </c>
      <c r="S264">
        <v>-4.8104361802092654E-2</v>
      </c>
    </row>
    <row r="265" spans="1:19" x14ac:dyDescent="0.45">
      <c r="A265">
        <v>241</v>
      </c>
      <c r="B265">
        <v>10.450919033487082</v>
      </c>
      <c r="C265">
        <v>7.3198768769813682E-2</v>
      </c>
      <c r="R265" s="3">
        <v>41183</v>
      </c>
      <c r="S265">
        <v>-5.1596742341455837E-2</v>
      </c>
    </row>
    <row r="266" spans="1:19" x14ac:dyDescent="0.45">
      <c r="A266">
        <v>242</v>
      </c>
      <c r="B266">
        <v>10.45632271415738</v>
      </c>
      <c r="C266">
        <v>6.8171341161010091E-2</v>
      </c>
      <c r="R266" s="3">
        <v>41275</v>
      </c>
      <c r="S266">
        <v>-5.2144416581530351E-2</v>
      </c>
    </row>
    <row r="267" spans="1:19" x14ac:dyDescent="0.45">
      <c r="A267">
        <v>243</v>
      </c>
      <c r="B267">
        <v>10.46172639482768</v>
      </c>
      <c r="C267">
        <v>6.6843607354263312E-2</v>
      </c>
      <c r="R267" s="3">
        <v>41365</v>
      </c>
      <c r="S267">
        <v>-5.6397918579873973E-2</v>
      </c>
    </row>
    <row r="268" spans="1:19" x14ac:dyDescent="0.45">
      <c r="A268">
        <v>244</v>
      </c>
      <c r="B268">
        <v>10.46713007549798</v>
      </c>
      <c r="C268">
        <v>6.2830524330101056E-2</v>
      </c>
      <c r="R268" s="3">
        <v>41456</v>
      </c>
      <c r="S268">
        <v>-5.9825314021962228E-2</v>
      </c>
    </row>
    <row r="269" spans="1:19" x14ac:dyDescent="0.45">
      <c r="A269">
        <v>245</v>
      </c>
      <c r="B269">
        <v>10.47253375616828</v>
      </c>
      <c r="C269">
        <v>5.3866263245341273E-2</v>
      </c>
      <c r="R269" s="3">
        <v>41548</v>
      </c>
      <c r="S269">
        <v>-5.8581094869904149E-2</v>
      </c>
    </row>
    <row r="270" spans="1:19" x14ac:dyDescent="0.45">
      <c r="A270">
        <v>246</v>
      </c>
      <c r="B270">
        <v>10.477937436838578</v>
      </c>
      <c r="C270">
        <v>4.9025623008175145E-2</v>
      </c>
      <c r="R270" s="3">
        <v>41640</v>
      </c>
      <c r="S270">
        <v>-6.2210622100487001E-2</v>
      </c>
    </row>
    <row r="271" spans="1:19" x14ac:dyDescent="0.45">
      <c r="A271">
        <v>247</v>
      </c>
      <c r="B271">
        <v>10.483341117508878</v>
      </c>
      <c r="C271">
        <v>3.3438390337730439E-2</v>
      </c>
      <c r="R271" s="3">
        <v>41730</v>
      </c>
      <c r="S271">
        <v>-5.9866207611831257E-2</v>
      </c>
    </row>
    <row r="272" spans="1:19" x14ac:dyDescent="0.45">
      <c r="A272">
        <v>248</v>
      </c>
      <c r="B272">
        <v>10.488744798179178</v>
      </c>
      <c r="C272">
        <v>1.6651454482623507E-2</v>
      </c>
      <c r="R272" s="3">
        <v>41821</v>
      </c>
      <c r="S272">
        <v>-5.7607416334070294E-2</v>
      </c>
    </row>
    <row r="273" spans="1:19" x14ac:dyDescent="0.45">
      <c r="A273">
        <v>249</v>
      </c>
      <c r="B273">
        <v>10.494148478849478</v>
      </c>
      <c r="C273">
        <v>6.690956791727487E-3</v>
      </c>
      <c r="R273" s="3">
        <v>41913</v>
      </c>
      <c r="S273">
        <v>-5.3727760964468629E-2</v>
      </c>
    </row>
    <row r="274" spans="1:19" x14ac:dyDescent="0.45">
      <c r="A274">
        <v>250</v>
      </c>
      <c r="B274">
        <v>10.499552159519776</v>
      </c>
      <c r="C274">
        <v>-5.6979398181429275E-3</v>
      </c>
      <c r="R274" s="3">
        <v>42005</v>
      </c>
      <c r="S274">
        <v>-5.3212437272826207E-2</v>
      </c>
    </row>
    <row r="275" spans="1:19" x14ac:dyDescent="0.45">
      <c r="A275">
        <v>251</v>
      </c>
      <c r="B275">
        <v>10.504955840190076</v>
      </c>
      <c r="C275">
        <v>-6.7060090154047458E-3</v>
      </c>
      <c r="R275" s="3">
        <v>42095</v>
      </c>
      <c r="S275">
        <v>-5.3548539530817507E-2</v>
      </c>
    </row>
    <row r="276" spans="1:19" x14ac:dyDescent="0.45">
      <c r="A276">
        <v>252</v>
      </c>
      <c r="B276">
        <v>10.510359520860376</v>
      </c>
      <c r="C276">
        <v>-1.5508374931787472E-2</v>
      </c>
      <c r="R276" s="3">
        <v>42186</v>
      </c>
      <c r="S276">
        <v>-5.4062608503441467E-2</v>
      </c>
    </row>
    <row r="277" spans="1:19" x14ac:dyDescent="0.45">
      <c r="A277">
        <v>253</v>
      </c>
      <c r="B277">
        <v>10.515763201530676</v>
      </c>
      <c r="C277">
        <v>-1.7127259316705334E-2</v>
      </c>
      <c r="R277" s="3">
        <v>42278</v>
      </c>
      <c r="S277">
        <v>-5.7512048230995205E-2</v>
      </c>
    </row>
    <row r="278" spans="1:19" x14ac:dyDescent="0.45">
      <c r="A278">
        <v>254</v>
      </c>
      <c r="B278">
        <v>10.521166882200976</v>
      </c>
      <c r="C278">
        <v>-1.552416561066039E-2</v>
      </c>
      <c r="R278" s="3">
        <v>42370</v>
      </c>
      <c r="S278">
        <v>-5.7176650866272993E-2</v>
      </c>
    </row>
    <row r="279" spans="1:19" x14ac:dyDescent="0.45">
      <c r="A279">
        <v>255</v>
      </c>
      <c r="B279">
        <v>10.526570562871274</v>
      </c>
      <c r="C279">
        <v>-1.5929542942176411E-2</v>
      </c>
      <c r="R279" s="3">
        <v>42461</v>
      </c>
      <c r="S279">
        <v>-5.9434052244977664E-2</v>
      </c>
    </row>
    <row r="280" spans="1:19" x14ac:dyDescent="0.45">
      <c r="A280">
        <v>256</v>
      </c>
      <c r="B280">
        <v>10.531974243541574</v>
      </c>
      <c r="C280">
        <v>-1.7390483334370543E-2</v>
      </c>
      <c r="R280" s="3">
        <v>42552</v>
      </c>
      <c r="S280">
        <v>-5.9924210871393768E-2</v>
      </c>
    </row>
    <row r="281" spans="1:19" x14ac:dyDescent="0.45">
      <c r="A281">
        <v>257</v>
      </c>
      <c r="B281">
        <v>10.537377924211874</v>
      </c>
      <c r="C281">
        <v>-2.0760899101832209E-2</v>
      </c>
      <c r="R281" s="3">
        <v>42644</v>
      </c>
      <c r="S281">
        <v>-6.213204342066625E-2</v>
      </c>
    </row>
    <row r="282" spans="1:19" x14ac:dyDescent="0.45">
      <c r="A282">
        <v>258</v>
      </c>
      <c r="B282">
        <v>10.542781604882174</v>
      </c>
      <c r="C282">
        <v>-2.6950285389707673E-2</v>
      </c>
      <c r="R282" s="3">
        <v>42736</v>
      </c>
      <c r="S282">
        <v>-6.1397457573120207E-2</v>
      </c>
    </row>
    <row r="283" spans="1:19" x14ac:dyDescent="0.45">
      <c r="A283">
        <v>259</v>
      </c>
      <c r="B283">
        <v>10.548185285552474</v>
      </c>
      <c r="C283">
        <v>-3.1459935684702955E-2</v>
      </c>
      <c r="R283" s="3">
        <v>42826</v>
      </c>
      <c r="S283">
        <v>-6.3387996821536063E-2</v>
      </c>
    </row>
    <row r="284" spans="1:19" x14ac:dyDescent="0.45">
      <c r="A284">
        <v>260</v>
      </c>
      <c r="B284">
        <v>10.553588966222772</v>
      </c>
      <c r="C284">
        <v>-3.7215714729507354E-2</v>
      </c>
      <c r="R284" s="3">
        <v>42917</v>
      </c>
      <c r="S284">
        <v>-6.3841111367167969E-2</v>
      </c>
    </row>
    <row r="285" spans="1:19" x14ac:dyDescent="0.45">
      <c r="A285">
        <v>261</v>
      </c>
      <c r="B285">
        <v>10.558992646893072</v>
      </c>
      <c r="C285">
        <v>-3.7216167341425077E-2</v>
      </c>
      <c r="R285" s="3">
        <v>43009</v>
      </c>
      <c r="S285">
        <v>-6.0049324944367655E-2</v>
      </c>
    </row>
    <row r="286" spans="1:19" x14ac:dyDescent="0.45">
      <c r="A286">
        <v>262</v>
      </c>
      <c r="B286">
        <v>10.564396327563372</v>
      </c>
      <c r="C286">
        <v>-4.2646791659088024E-2</v>
      </c>
      <c r="R286" s="3">
        <v>43101</v>
      </c>
      <c r="S286">
        <v>-5.9458060291037285E-2</v>
      </c>
    </row>
    <row r="287" spans="1:19" x14ac:dyDescent="0.45">
      <c r="A287">
        <v>263</v>
      </c>
      <c r="B287">
        <v>10.569800008233672</v>
      </c>
      <c r="C287">
        <v>-4.8104361802092654E-2</v>
      </c>
      <c r="R287" s="3">
        <v>43191</v>
      </c>
      <c r="S287">
        <v>-6.085284842080263E-2</v>
      </c>
    </row>
    <row r="288" spans="1:19" x14ac:dyDescent="0.45">
      <c r="A288">
        <v>264</v>
      </c>
      <c r="B288">
        <v>10.575203688903972</v>
      </c>
      <c r="C288">
        <v>-5.1596742341455837E-2</v>
      </c>
      <c r="R288" s="3">
        <v>43282</v>
      </c>
      <c r="S288">
        <v>-6.3224327701595584E-2</v>
      </c>
    </row>
    <row r="289" spans="1:19" x14ac:dyDescent="0.45">
      <c r="A289">
        <v>265</v>
      </c>
      <c r="B289">
        <v>10.58060736957427</v>
      </c>
      <c r="C289">
        <v>-5.2144416581530351E-2</v>
      </c>
      <c r="R289" s="3">
        <v>43374</v>
      </c>
      <c r="S289">
        <v>-6.6971404989544681E-2</v>
      </c>
    </row>
    <row r="290" spans="1:19" x14ac:dyDescent="0.45">
      <c r="A290">
        <v>266</v>
      </c>
      <c r="B290">
        <v>10.58601105024457</v>
      </c>
      <c r="C290">
        <v>-5.6397918579873973E-2</v>
      </c>
      <c r="R290" s="3">
        <v>43466</v>
      </c>
      <c r="S290">
        <v>-7.1823493823806928E-2</v>
      </c>
    </row>
    <row r="291" spans="1:19" x14ac:dyDescent="0.45">
      <c r="A291">
        <v>267</v>
      </c>
      <c r="B291">
        <v>10.59141473091487</v>
      </c>
      <c r="C291">
        <v>-5.9825314021962228E-2</v>
      </c>
      <c r="R291" s="3">
        <v>43556</v>
      </c>
      <c r="S291">
        <v>-6.9893609229238152E-2</v>
      </c>
    </row>
    <row r="292" spans="1:19" x14ac:dyDescent="0.45">
      <c r="A292">
        <v>268</v>
      </c>
      <c r="B292">
        <v>10.59681841158517</v>
      </c>
      <c r="C292">
        <v>-5.8581094869904149E-2</v>
      </c>
      <c r="R292" s="3">
        <v>43647</v>
      </c>
      <c r="S292">
        <v>-6.546856085338959E-2</v>
      </c>
    </row>
    <row r="293" spans="1:19" x14ac:dyDescent="0.45">
      <c r="A293">
        <v>269</v>
      </c>
      <c r="B293">
        <v>10.60222209225547</v>
      </c>
      <c r="C293">
        <v>-6.2210622100487001E-2</v>
      </c>
      <c r="R293" s="3">
        <v>43739</v>
      </c>
      <c r="S293">
        <v>-6.5771089169762931E-2</v>
      </c>
    </row>
    <row r="294" spans="1:19" x14ac:dyDescent="0.45">
      <c r="A294">
        <v>270</v>
      </c>
      <c r="B294">
        <v>10.607625772925768</v>
      </c>
      <c r="C294">
        <v>-5.9866207611831257E-2</v>
      </c>
      <c r="R294" s="3">
        <v>43831</v>
      </c>
      <c r="S294">
        <v>-8.9203507144201666E-2</v>
      </c>
    </row>
    <row r="295" spans="1:19" x14ac:dyDescent="0.45">
      <c r="A295">
        <v>271</v>
      </c>
      <c r="B295">
        <v>10.613029453596068</v>
      </c>
      <c r="C295">
        <v>-5.7607416334070294E-2</v>
      </c>
      <c r="R295" s="3">
        <v>43922</v>
      </c>
      <c r="S295">
        <v>-0.1857813498293055</v>
      </c>
    </row>
    <row r="296" spans="1:19" x14ac:dyDescent="0.45">
      <c r="A296">
        <v>272</v>
      </c>
      <c r="B296">
        <v>10.618433134266368</v>
      </c>
      <c r="C296">
        <v>-5.3727760964468629E-2</v>
      </c>
      <c r="R296" s="3">
        <v>44013</v>
      </c>
      <c r="S296">
        <v>-0.10650183150306347</v>
      </c>
    </row>
    <row r="297" spans="1:19" x14ac:dyDescent="0.45">
      <c r="A297">
        <v>273</v>
      </c>
      <c r="B297">
        <v>10.623836814936668</v>
      </c>
      <c r="C297">
        <v>-5.3212437272826207E-2</v>
      </c>
      <c r="R297" s="3">
        <v>44105</v>
      </c>
      <c r="S297">
        <v>-9.8918006584703733E-2</v>
      </c>
    </row>
    <row r="298" spans="1:19" x14ac:dyDescent="0.45">
      <c r="A298">
        <v>274</v>
      </c>
      <c r="B298">
        <v>10.629240495606966</v>
      </c>
      <c r="C298">
        <v>-5.3548539530817507E-2</v>
      </c>
      <c r="R298" s="3">
        <v>44197</v>
      </c>
      <c r="S298">
        <v>-8.1690185364848844E-2</v>
      </c>
    </row>
    <row r="299" spans="1:19" x14ac:dyDescent="0.45">
      <c r="A299">
        <v>275</v>
      </c>
      <c r="B299">
        <v>10.634644176277266</v>
      </c>
      <c r="C299">
        <v>-5.4062608503441467E-2</v>
      </c>
      <c r="R299" s="3">
        <v>44287</v>
      </c>
      <c r="S299">
        <v>-5.3237920321642207E-2</v>
      </c>
    </row>
    <row r="300" spans="1:19" x14ac:dyDescent="0.45">
      <c r="A300">
        <v>276</v>
      </c>
      <c r="B300">
        <v>10.640047856947566</v>
      </c>
      <c r="C300">
        <v>-5.7512048230995205E-2</v>
      </c>
      <c r="R300" s="3">
        <v>44378</v>
      </c>
      <c r="S300">
        <v>-5.1605060281529447E-2</v>
      </c>
    </row>
    <row r="301" spans="1:19" x14ac:dyDescent="0.45">
      <c r="A301">
        <v>277</v>
      </c>
      <c r="B301">
        <v>10.645451537617866</v>
      </c>
      <c r="C301">
        <v>-5.7176650866272993E-2</v>
      </c>
      <c r="R301" s="3">
        <v>44470</v>
      </c>
      <c r="S301">
        <v>-4.8850497600826159E-2</v>
      </c>
    </row>
    <row r="302" spans="1:19" x14ac:dyDescent="0.45">
      <c r="A302">
        <v>278</v>
      </c>
      <c r="B302">
        <v>10.650855218288164</v>
      </c>
      <c r="C302">
        <v>-5.9434052244977664E-2</v>
      </c>
      <c r="R302" s="3">
        <v>44562</v>
      </c>
      <c r="S302">
        <v>-5.4408742896006501E-2</v>
      </c>
    </row>
    <row r="303" spans="1:19" x14ac:dyDescent="0.45">
      <c r="A303">
        <v>279</v>
      </c>
      <c r="B303">
        <v>10.656258898958464</v>
      </c>
      <c r="C303">
        <v>-5.9924210871393768E-2</v>
      </c>
      <c r="R303" s="3">
        <v>44652</v>
      </c>
      <c r="S303">
        <v>-5.3165687237404669E-2</v>
      </c>
    </row>
    <row r="304" spans="1:19" x14ac:dyDescent="0.45">
      <c r="A304">
        <v>280</v>
      </c>
      <c r="B304">
        <v>10.661662579628764</v>
      </c>
      <c r="C304">
        <v>-6.213204342066625E-2</v>
      </c>
      <c r="R304" s="3">
        <v>44743</v>
      </c>
      <c r="S304">
        <v>-5.587486371986472E-2</v>
      </c>
    </row>
    <row r="305" spans="1:19" x14ac:dyDescent="0.45">
      <c r="A305">
        <v>281</v>
      </c>
      <c r="B305">
        <v>10.667066260299064</v>
      </c>
      <c r="C305">
        <v>-6.1397457573120207E-2</v>
      </c>
      <c r="R305" s="3">
        <v>44835</v>
      </c>
      <c r="S305">
        <v>-6.1453576115111375E-2</v>
      </c>
    </row>
    <row r="306" spans="1:19" x14ac:dyDescent="0.45">
      <c r="A306">
        <v>282</v>
      </c>
      <c r="B306">
        <v>10.672469940969364</v>
      </c>
      <c r="C306">
        <v>-6.3387996821536063E-2</v>
      </c>
      <c r="R306" s="3">
        <v>44927</v>
      </c>
      <c r="S306">
        <v>-5.773093967110654E-2</v>
      </c>
    </row>
    <row r="307" spans="1:19" x14ac:dyDescent="0.45">
      <c r="A307">
        <v>283</v>
      </c>
      <c r="B307">
        <v>10.677873621639662</v>
      </c>
      <c r="C307">
        <v>-6.3841111367167969E-2</v>
      </c>
      <c r="R307" s="3">
        <v>45017</v>
      </c>
      <c r="S307">
        <v>-6.1358267029977043E-2</v>
      </c>
    </row>
    <row r="308" spans="1:19" x14ac:dyDescent="0.45">
      <c r="A308">
        <v>284</v>
      </c>
      <c r="B308">
        <v>10.683277302309962</v>
      </c>
      <c r="C308">
        <v>-6.0049324944367655E-2</v>
      </c>
      <c r="R308" s="3">
        <v>45108</v>
      </c>
      <c r="S308">
        <v>-6.1580924518276348E-2</v>
      </c>
    </row>
    <row r="309" spans="1:19" x14ac:dyDescent="0.45">
      <c r="A309">
        <v>285</v>
      </c>
      <c r="B309">
        <v>10.688680982980262</v>
      </c>
      <c r="C309">
        <v>-5.9458060291037285E-2</v>
      </c>
      <c r="R309" s="3">
        <v>45200</v>
      </c>
      <c r="S309">
        <v>-6.200166998722878E-2</v>
      </c>
    </row>
    <row r="310" spans="1:19" x14ac:dyDescent="0.45">
      <c r="A310">
        <v>286</v>
      </c>
      <c r="B310">
        <v>10.694084663650562</v>
      </c>
      <c r="C310">
        <v>-6.085284842080263E-2</v>
      </c>
      <c r="R310" s="3">
        <v>45292</v>
      </c>
      <c r="S310">
        <v>-6.530792672279162E-2</v>
      </c>
    </row>
    <row r="311" spans="1:19" x14ac:dyDescent="0.45">
      <c r="A311">
        <v>287</v>
      </c>
      <c r="B311">
        <v>10.699488344320862</v>
      </c>
      <c r="C311">
        <v>-6.3224327701595584E-2</v>
      </c>
      <c r="R311" s="3">
        <v>45383</v>
      </c>
      <c r="S311">
        <v>-6.3511201353223967E-2</v>
      </c>
    </row>
    <row r="312" spans="1:19" x14ac:dyDescent="0.45">
      <c r="A312">
        <v>288</v>
      </c>
      <c r="B312">
        <v>10.70489202499116</v>
      </c>
      <c r="C312">
        <v>-6.6971404989544681E-2</v>
      </c>
      <c r="R312" s="3">
        <v>45474</v>
      </c>
      <c r="S312">
        <v>-6.1218144727563484E-2</v>
      </c>
    </row>
    <row r="313" spans="1:19" x14ac:dyDescent="0.45">
      <c r="A313">
        <v>289</v>
      </c>
      <c r="B313">
        <v>10.71029570566146</v>
      </c>
      <c r="C313">
        <v>-7.1823493823806928E-2</v>
      </c>
      <c r="R313" s="3">
        <v>45566</v>
      </c>
      <c r="S313">
        <v>-5.852410555930021E-2</v>
      </c>
    </row>
    <row r="314" spans="1:19" x14ac:dyDescent="0.45">
      <c r="A314">
        <v>290</v>
      </c>
      <c r="B314">
        <v>10.71569938633176</v>
      </c>
      <c r="C314">
        <v>-6.9893609229238152E-2</v>
      </c>
      <c r="R314" s="3">
        <v>45658</v>
      </c>
      <c r="S314">
        <v>-6.3509996747638908E-2</v>
      </c>
    </row>
    <row r="315" spans="1:19" x14ac:dyDescent="0.45">
      <c r="A315">
        <v>291</v>
      </c>
      <c r="B315">
        <v>10.72110306700206</v>
      </c>
      <c r="C315">
        <v>-6.546856085338959E-2</v>
      </c>
      <c r="R315" s="3">
        <v>45748</v>
      </c>
      <c r="S315">
        <v>-6.3996898413462233E-2</v>
      </c>
    </row>
    <row r="316" spans="1:19" x14ac:dyDescent="0.45">
      <c r="A316">
        <v>292</v>
      </c>
      <c r="B316">
        <v>10.72650674767236</v>
      </c>
      <c r="C316">
        <v>-6.5771089169762931E-2</v>
      </c>
      <c r="R316" s="3">
        <v>45839</v>
      </c>
      <c r="S316">
        <v>-6.2049812464424647E-2</v>
      </c>
    </row>
    <row r="317" spans="1:19" ht="14.65" thickBot="1" x14ac:dyDescent="0.5">
      <c r="A317">
        <v>293</v>
      </c>
      <c r="B317">
        <v>10.731910428342658</v>
      </c>
      <c r="C317">
        <v>-8.9203507144201666E-2</v>
      </c>
      <c r="R317" s="3">
        <v>45931</v>
      </c>
      <c r="S317" s="4">
        <v>-6.3335888700528642E-2</v>
      </c>
    </row>
    <row r="318" spans="1:19" x14ac:dyDescent="0.45">
      <c r="A318">
        <v>294</v>
      </c>
      <c r="B318">
        <v>10.737314109012958</v>
      </c>
      <c r="C318">
        <v>-0.1857813498293055</v>
      </c>
    </row>
    <row r="319" spans="1:19" x14ac:dyDescent="0.45">
      <c r="A319">
        <v>295</v>
      </c>
      <c r="B319">
        <v>10.742717789683258</v>
      </c>
      <c r="C319">
        <v>-0.10650183150306347</v>
      </c>
    </row>
    <row r="320" spans="1:19" x14ac:dyDescent="0.45">
      <c r="A320">
        <v>296</v>
      </c>
      <c r="B320">
        <v>10.748121470353558</v>
      </c>
      <c r="C320">
        <v>-9.8918006584703733E-2</v>
      </c>
    </row>
    <row r="321" spans="1:3" x14ac:dyDescent="0.45">
      <c r="A321">
        <v>297</v>
      </c>
      <c r="B321">
        <v>10.753525151023858</v>
      </c>
      <c r="C321">
        <v>-8.1690185364848844E-2</v>
      </c>
    </row>
    <row r="322" spans="1:3" x14ac:dyDescent="0.45">
      <c r="A322">
        <v>298</v>
      </c>
      <c r="B322">
        <v>10.758928831694156</v>
      </c>
      <c r="C322">
        <v>-5.3237920321642207E-2</v>
      </c>
    </row>
    <row r="323" spans="1:3" x14ac:dyDescent="0.45">
      <c r="A323">
        <v>299</v>
      </c>
      <c r="B323">
        <v>10.764332512364456</v>
      </c>
      <c r="C323">
        <v>-5.1605060281529447E-2</v>
      </c>
    </row>
    <row r="324" spans="1:3" x14ac:dyDescent="0.45">
      <c r="A324">
        <v>300</v>
      </c>
      <c r="B324">
        <v>10.769736193034756</v>
      </c>
      <c r="C324">
        <v>-4.8850497600826159E-2</v>
      </c>
    </row>
    <row r="325" spans="1:3" x14ac:dyDescent="0.45">
      <c r="A325">
        <v>301</v>
      </c>
      <c r="B325">
        <v>10.775139873705056</v>
      </c>
      <c r="C325">
        <v>-5.4408742896006501E-2</v>
      </c>
    </row>
    <row r="326" spans="1:3" x14ac:dyDescent="0.45">
      <c r="A326">
        <v>302</v>
      </c>
      <c r="B326">
        <v>10.780543554375354</v>
      </c>
      <c r="C326">
        <v>-5.3165687237404669E-2</v>
      </c>
    </row>
    <row r="327" spans="1:3" x14ac:dyDescent="0.45">
      <c r="A327">
        <v>303</v>
      </c>
      <c r="B327">
        <v>10.785947235045654</v>
      </c>
      <c r="C327">
        <v>-5.587486371986472E-2</v>
      </c>
    </row>
    <row r="328" spans="1:3" x14ac:dyDescent="0.45">
      <c r="A328">
        <v>304</v>
      </c>
      <c r="B328">
        <v>10.791350915715954</v>
      </c>
      <c r="C328">
        <v>-6.1453576115111375E-2</v>
      </c>
    </row>
    <row r="329" spans="1:3" x14ac:dyDescent="0.45">
      <c r="A329">
        <v>305</v>
      </c>
      <c r="B329">
        <v>10.796754596386254</v>
      </c>
      <c r="C329">
        <v>-5.773093967110654E-2</v>
      </c>
    </row>
    <row r="330" spans="1:3" x14ac:dyDescent="0.45">
      <c r="A330">
        <v>306</v>
      </c>
      <c r="B330">
        <v>10.802158277056552</v>
      </c>
      <c r="C330">
        <v>-6.1358267029977043E-2</v>
      </c>
    </row>
    <row r="331" spans="1:3" x14ac:dyDescent="0.45">
      <c r="A331">
        <v>307</v>
      </c>
      <c r="B331">
        <v>10.807561957726852</v>
      </c>
      <c r="C331">
        <v>-6.1580924518276348E-2</v>
      </c>
    </row>
    <row r="332" spans="1:3" x14ac:dyDescent="0.45">
      <c r="A332">
        <v>308</v>
      </c>
      <c r="B332">
        <v>10.812965638397152</v>
      </c>
      <c r="C332">
        <v>-6.200166998722878E-2</v>
      </c>
    </row>
    <row r="333" spans="1:3" x14ac:dyDescent="0.45">
      <c r="A333">
        <v>309</v>
      </c>
      <c r="B333">
        <v>10.818369319067452</v>
      </c>
      <c r="C333">
        <v>-6.530792672279162E-2</v>
      </c>
    </row>
    <row r="334" spans="1:3" x14ac:dyDescent="0.45">
      <c r="A334">
        <v>310</v>
      </c>
      <c r="B334">
        <v>10.823772999737752</v>
      </c>
      <c r="C334">
        <v>-6.3511201353223967E-2</v>
      </c>
    </row>
    <row r="335" spans="1:3" x14ac:dyDescent="0.45">
      <c r="A335">
        <v>311</v>
      </c>
      <c r="B335">
        <v>10.82917668040805</v>
      </c>
      <c r="C335">
        <v>-6.1218144727563484E-2</v>
      </c>
    </row>
    <row r="336" spans="1:3" x14ac:dyDescent="0.45">
      <c r="A336">
        <v>312</v>
      </c>
      <c r="B336">
        <v>10.83458036107835</v>
      </c>
      <c r="C336">
        <v>-5.852410555930021E-2</v>
      </c>
    </row>
    <row r="337" spans="1:7" x14ac:dyDescent="0.45">
      <c r="A337">
        <v>313</v>
      </c>
      <c r="B337">
        <v>10.83998404174865</v>
      </c>
      <c r="C337">
        <v>-6.3509996747638908E-2</v>
      </c>
    </row>
    <row r="338" spans="1:7" x14ac:dyDescent="0.45">
      <c r="A338">
        <v>314</v>
      </c>
      <c r="B338">
        <v>10.84538772241895</v>
      </c>
      <c r="C338">
        <v>-6.3996898413462233E-2</v>
      </c>
    </row>
    <row r="339" spans="1:7" x14ac:dyDescent="0.45">
      <c r="A339">
        <v>315</v>
      </c>
      <c r="B339">
        <v>10.85079140308925</v>
      </c>
      <c r="C339">
        <v>-6.2049812464424647E-2</v>
      </c>
      <c r="E339" t="s">
        <v>44</v>
      </c>
      <c r="G339">
        <v>4</v>
      </c>
    </row>
    <row r="340" spans="1:7" ht="14.65" thickBot="1" x14ac:dyDescent="0.5">
      <c r="A340" s="4">
        <v>316</v>
      </c>
      <c r="B340" s="4">
        <v>10.856195083759548</v>
      </c>
      <c r="C340" s="4">
        <v>-6.3335888700528642E-2</v>
      </c>
    </row>
    <row r="341" spans="1:7" x14ac:dyDescent="0.45">
      <c r="C341">
        <f>STDEV(C25:C340)</f>
        <v>5.0912021019470788E-2</v>
      </c>
      <c r="E341" t="s">
        <v>42</v>
      </c>
    </row>
    <row r="342" spans="1:7" x14ac:dyDescent="0.45">
      <c r="C342">
        <f>C341^2</f>
        <v>2.5920338842870352E-3</v>
      </c>
      <c r="E342" t="s">
        <v>43</v>
      </c>
    </row>
    <row r="343" spans="1:7" x14ac:dyDescent="0.45">
      <c r="C343">
        <f>0.5*(G339*C342)</f>
        <v>5.1840677685740704E-3</v>
      </c>
      <c r="E343" t="s">
        <v>45</v>
      </c>
    </row>
    <row r="344" spans="1:7" x14ac:dyDescent="0.45">
      <c r="C344">
        <f>1-EXP(-0.5*G339*C342)</f>
        <v>5.1706536791193969E-3</v>
      </c>
      <c r="E344" t="s">
        <v>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ED17-A12B-47C4-914C-B77A863BF20C}">
  <dimension ref="A1:I340"/>
  <sheetViews>
    <sheetView workbookViewId="0">
      <selection activeCell="S1" sqref="S1"/>
    </sheetView>
  </sheetViews>
  <sheetFormatPr defaultRowHeight="14.25" x14ac:dyDescent="0.45"/>
  <sheetData>
    <row r="1" spans="1:9" x14ac:dyDescent="0.45">
      <c r="A1" t="s">
        <v>13</v>
      </c>
    </row>
    <row r="2" spans="1:9" ht="14.65" thickBot="1" x14ac:dyDescent="0.5"/>
    <row r="3" spans="1:9" x14ac:dyDescent="0.45">
      <c r="A3" s="10" t="s">
        <v>14</v>
      </c>
      <c r="B3" s="10"/>
    </row>
    <row r="4" spans="1:9" x14ac:dyDescent="0.45">
      <c r="A4" s="7" t="s">
        <v>15</v>
      </c>
      <c r="B4" s="7">
        <v>0.9947250386329205</v>
      </c>
    </row>
    <row r="5" spans="1:9" x14ac:dyDescent="0.45">
      <c r="A5" s="7" t="s">
        <v>16</v>
      </c>
      <c r="B5" s="7">
        <v>0.98947790248326517</v>
      </c>
    </row>
    <row r="6" spans="1:9" x14ac:dyDescent="0.45">
      <c r="A6" s="7" t="s">
        <v>17</v>
      </c>
      <c r="B6" s="7">
        <v>0.98944439261856221</v>
      </c>
    </row>
    <row r="7" spans="1:9" x14ac:dyDescent="0.45">
      <c r="A7" s="7" t="s">
        <v>18</v>
      </c>
      <c r="B7" s="7">
        <v>5.099302667295641E-2</v>
      </c>
    </row>
    <row r="8" spans="1:9" ht="14.65" thickBot="1" x14ac:dyDescent="0.5">
      <c r="A8" s="8" t="s">
        <v>19</v>
      </c>
      <c r="B8" s="8">
        <v>316</v>
      </c>
    </row>
    <row r="10" spans="1:9" ht="14.65" thickBot="1" x14ac:dyDescent="0.5">
      <c r="A10" t="s">
        <v>20</v>
      </c>
    </row>
    <row r="11" spans="1:9" x14ac:dyDescent="0.45">
      <c r="A11" s="9"/>
      <c r="B11" s="9" t="s">
        <v>25</v>
      </c>
      <c r="C11" s="9" t="s">
        <v>26</v>
      </c>
      <c r="D11" s="9" t="s">
        <v>27</v>
      </c>
      <c r="E11" s="9" t="s">
        <v>28</v>
      </c>
      <c r="F11" s="9" t="s">
        <v>29</v>
      </c>
    </row>
    <row r="12" spans="1:9" x14ac:dyDescent="0.45">
      <c r="A12" s="7" t="s">
        <v>21</v>
      </c>
      <c r="B12" s="7">
        <v>1</v>
      </c>
      <c r="C12" s="7">
        <v>76.781219502755448</v>
      </c>
      <c r="D12" s="7">
        <v>76.781219502755448</v>
      </c>
      <c r="E12" s="7">
        <v>29527.958744499363</v>
      </c>
      <c r="F12" s="7">
        <v>0</v>
      </c>
    </row>
    <row r="13" spans="1:9" x14ac:dyDescent="0.45">
      <c r="A13" s="7" t="s">
        <v>22</v>
      </c>
      <c r="B13" s="7">
        <v>314</v>
      </c>
      <c r="C13" s="7">
        <v>0.81649067355041705</v>
      </c>
      <c r="D13" s="7">
        <v>2.600288769268844E-3</v>
      </c>
      <c r="E13" s="7"/>
      <c r="F13" s="7"/>
    </row>
    <row r="14" spans="1:9" ht="14.65" thickBot="1" x14ac:dyDescent="0.5">
      <c r="A14" s="8" t="s">
        <v>23</v>
      </c>
      <c r="B14" s="8">
        <v>315</v>
      </c>
      <c r="C14" s="8">
        <v>77.597710176305867</v>
      </c>
      <c r="D14" s="8"/>
      <c r="E14" s="8"/>
      <c r="F14" s="8"/>
    </row>
    <row r="15" spans="1:9" ht="14.65" thickBot="1" x14ac:dyDescent="0.5"/>
    <row r="16" spans="1:9" x14ac:dyDescent="0.45">
      <c r="A16" s="9"/>
      <c r="B16" s="9" t="s">
        <v>30</v>
      </c>
      <c r="C16" s="9" t="s">
        <v>18</v>
      </c>
      <c r="D16" s="9" t="s">
        <v>31</v>
      </c>
      <c r="E16" s="9" t="s">
        <v>32</v>
      </c>
      <c r="F16" s="9" t="s">
        <v>33</v>
      </c>
      <c r="G16" s="9" t="s">
        <v>34</v>
      </c>
      <c r="H16" s="9" t="s">
        <v>35</v>
      </c>
      <c r="I16" s="9" t="s">
        <v>36</v>
      </c>
    </row>
    <row r="17" spans="1:9" x14ac:dyDescent="0.45">
      <c r="A17" s="7" t="s">
        <v>24</v>
      </c>
      <c r="B17" s="7">
        <v>9.1486319919448853</v>
      </c>
      <c r="C17" s="7">
        <v>5.7508074245885858E-3</v>
      </c>
      <c r="D17" s="7">
        <v>1590.8430445485453</v>
      </c>
      <c r="E17" s="7">
        <v>0</v>
      </c>
      <c r="F17" s="7">
        <v>9.1373170040345038</v>
      </c>
      <c r="G17" s="7">
        <v>9.1599469798552668</v>
      </c>
      <c r="H17" s="7">
        <v>9.1373170040345038</v>
      </c>
      <c r="I17" s="7">
        <v>9.1599469798552668</v>
      </c>
    </row>
    <row r="18" spans="1:9" ht="14.65" thickBot="1" x14ac:dyDescent="0.5">
      <c r="A18" s="8" t="s">
        <v>37</v>
      </c>
      <c r="B18" s="8">
        <v>5.4036806702995686E-3</v>
      </c>
      <c r="C18" s="8">
        <v>3.1446546949939892E-5</v>
      </c>
      <c r="D18" s="8">
        <v>171.83701214959302</v>
      </c>
      <c r="E18" s="8">
        <v>0</v>
      </c>
      <c r="F18" s="8">
        <v>5.3418080892354784E-3</v>
      </c>
      <c r="G18" s="8">
        <v>5.4655532513636588E-3</v>
      </c>
      <c r="H18" s="8">
        <v>5.3418080892354784E-3</v>
      </c>
      <c r="I18" s="8">
        <v>5.4655532513636588E-3</v>
      </c>
    </row>
    <row r="22" spans="1:9" x14ac:dyDescent="0.45">
      <c r="A22" t="s">
        <v>38</v>
      </c>
    </row>
    <row r="23" spans="1:9" ht="14.65" thickBot="1" x14ac:dyDescent="0.5"/>
    <row r="24" spans="1:9" x14ac:dyDescent="0.45">
      <c r="A24" s="9" t="s">
        <v>39</v>
      </c>
      <c r="B24" s="9" t="s">
        <v>40</v>
      </c>
      <c r="C24" s="9" t="s">
        <v>41</v>
      </c>
    </row>
    <row r="25" spans="1:9" x14ac:dyDescent="0.45">
      <c r="A25" s="7">
        <v>1</v>
      </c>
      <c r="B25" s="7">
        <v>9.1540356726151852</v>
      </c>
      <c r="C25" s="7">
        <v>-1.2184868826690121E-3</v>
      </c>
    </row>
    <row r="26" spans="1:9" x14ac:dyDescent="0.45">
      <c r="A26" s="7">
        <v>2</v>
      </c>
      <c r="B26" s="7">
        <v>9.1594393532854852</v>
      </c>
      <c r="C26" s="7">
        <v>5.3805033888885134E-3</v>
      </c>
    </row>
    <row r="27" spans="1:9" x14ac:dyDescent="0.45">
      <c r="A27" s="7">
        <v>3</v>
      </c>
      <c r="B27" s="7">
        <v>9.1648430339557834</v>
      </c>
      <c r="C27" s="7">
        <v>-1.3846478797319151E-3</v>
      </c>
    </row>
    <row r="28" spans="1:9" x14ac:dyDescent="0.45">
      <c r="A28" s="7">
        <v>4</v>
      </c>
      <c r="B28" s="7">
        <v>9.1702467146260833</v>
      </c>
      <c r="C28" s="7">
        <v>-1.1094379419333222E-2</v>
      </c>
    </row>
    <row r="29" spans="1:9" x14ac:dyDescent="0.45">
      <c r="A29" s="7">
        <v>5</v>
      </c>
      <c r="B29" s="7">
        <v>9.1756503952963833</v>
      </c>
      <c r="C29" s="7">
        <v>-1.5551239756947055E-2</v>
      </c>
    </row>
    <row r="30" spans="1:9" x14ac:dyDescent="0.45">
      <c r="A30" s="7">
        <v>6</v>
      </c>
      <c r="B30" s="7">
        <v>9.1810540759666832</v>
      </c>
      <c r="C30" s="7">
        <v>-1.3412458523616166E-2</v>
      </c>
    </row>
    <row r="31" spans="1:9" x14ac:dyDescent="0.45">
      <c r="A31" s="7">
        <v>7</v>
      </c>
      <c r="B31" s="7">
        <v>9.1864577566369832</v>
      </c>
      <c r="C31" s="7">
        <v>-2.1637899962609453E-2</v>
      </c>
    </row>
    <row r="32" spans="1:9" x14ac:dyDescent="0.45">
      <c r="A32" s="7">
        <v>8</v>
      </c>
      <c r="B32" s="7">
        <v>9.1918614373072813</v>
      </c>
      <c r="C32" s="7">
        <v>-2.3698144230284157E-2</v>
      </c>
    </row>
    <row r="33" spans="1:3" x14ac:dyDescent="0.45">
      <c r="A33" s="7">
        <v>9</v>
      </c>
      <c r="B33" s="7">
        <v>9.1972651179775813</v>
      </c>
      <c r="C33" s="7">
        <v>-3.1922111932134456E-2</v>
      </c>
    </row>
    <row r="34" spans="1:3" x14ac:dyDescent="0.45">
      <c r="A34" s="7">
        <v>10</v>
      </c>
      <c r="B34" s="7">
        <v>9.2026687986478812</v>
      </c>
      <c r="C34" s="7">
        <v>-2.6092056824507992E-2</v>
      </c>
    </row>
    <row r="35" spans="1:3" x14ac:dyDescent="0.45">
      <c r="A35" s="7">
        <v>11</v>
      </c>
      <c r="B35" s="7">
        <v>9.2080724793181812</v>
      </c>
      <c r="C35" s="7">
        <v>-3.3462917297796935E-2</v>
      </c>
    </row>
    <row r="36" spans="1:3" x14ac:dyDescent="0.45">
      <c r="A36" s="7">
        <v>12</v>
      </c>
      <c r="B36" s="7">
        <v>9.2134761599884794</v>
      </c>
      <c r="C36" s="7">
        <v>-2.8863936585027616E-2</v>
      </c>
    </row>
    <row r="37" spans="1:3" x14ac:dyDescent="0.45">
      <c r="A37" s="7">
        <v>13</v>
      </c>
      <c r="B37" s="7">
        <v>9.2188798406587793</v>
      </c>
      <c r="C37" s="7">
        <v>-2.192870580161177E-2</v>
      </c>
    </row>
    <row r="38" spans="1:3" x14ac:dyDescent="0.45">
      <c r="A38" s="7">
        <v>14</v>
      </c>
      <c r="B38" s="7">
        <v>9.2242835213290792</v>
      </c>
      <c r="C38" s="7">
        <v>-1.4543329424929752E-2</v>
      </c>
    </row>
    <row r="39" spans="1:3" x14ac:dyDescent="0.45">
      <c r="A39" s="7">
        <v>15</v>
      </c>
      <c r="B39" s="7">
        <v>9.2296872019993792</v>
      </c>
      <c r="C39" s="7">
        <v>2.5913301381667253E-2</v>
      </c>
    </row>
    <row r="40" spans="1:3" x14ac:dyDescent="0.45">
      <c r="A40" s="7">
        <v>16</v>
      </c>
      <c r="B40" s="7">
        <v>9.2350908826696791</v>
      </c>
      <c r="C40" s="7">
        <v>-1.460217964168109E-2</v>
      </c>
    </row>
    <row r="41" spans="1:3" x14ac:dyDescent="0.45">
      <c r="A41" s="7">
        <v>17</v>
      </c>
      <c r="B41" s="7">
        <v>9.2404945633399773</v>
      </c>
      <c r="C41" s="7">
        <v>-3.041693949086266E-4</v>
      </c>
    </row>
    <row r="42" spans="1:3" x14ac:dyDescent="0.45">
      <c r="A42" s="7">
        <v>18</v>
      </c>
      <c r="B42" s="7">
        <v>9.2458982440102773</v>
      </c>
      <c r="C42" s="7">
        <v>-3.8361799366828819E-2</v>
      </c>
    </row>
    <row r="43" spans="1:3" x14ac:dyDescent="0.45">
      <c r="A43" s="7">
        <v>19</v>
      </c>
      <c r="B43" s="7">
        <v>9.2513019246805772</v>
      </c>
      <c r="C43" s="7">
        <v>-3.677034808592694E-2</v>
      </c>
    </row>
    <row r="44" spans="1:3" x14ac:dyDescent="0.45">
      <c r="A44" s="7">
        <v>20</v>
      </c>
      <c r="B44" s="7">
        <v>9.2567056053508772</v>
      </c>
      <c r="C44" s="7">
        <v>-4.1079228945456236E-2</v>
      </c>
    </row>
    <row r="45" spans="1:3" x14ac:dyDescent="0.45">
      <c r="A45" s="7">
        <v>21</v>
      </c>
      <c r="B45" s="7">
        <v>9.2621092860211771</v>
      </c>
      <c r="C45" s="7">
        <v>-4.8275024790738641E-2</v>
      </c>
    </row>
    <row r="46" spans="1:3" x14ac:dyDescent="0.45">
      <c r="A46" s="7">
        <v>22</v>
      </c>
      <c r="B46" s="7">
        <v>9.2675129666914753</v>
      </c>
      <c r="C46" s="7">
        <v>-3.8154588879530493E-2</v>
      </c>
    </row>
    <row r="47" spans="1:3" x14ac:dyDescent="0.45">
      <c r="A47" s="7">
        <v>23</v>
      </c>
      <c r="B47" s="7">
        <v>9.2729166473617752</v>
      </c>
      <c r="C47" s="7">
        <v>-4.3067808997548696E-2</v>
      </c>
    </row>
    <row r="48" spans="1:3" x14ac:dyDescent="0.45">
      <c r="A48" s="7">
        <v>24</v>
      </c>
      <c r="B48" s="7">
        <v>9.2783203280320752</v>
      </c>
      <c r="C48" s="7">
        <v>-1.8428177226644138E-2</v>
      </c>
    </row>
    <row r="49" spans="1:3" x14ac:dyDescent="0.45">
      <c r="A49" s="7">
        <v>25</v>
      </c>
      <c r="B49" s="7">
        <v>9.2837240087023751</v>
      </c>
      <c r="C49" s="7">
        <v>-1.5869730525585268E-2</v>
      </c>
    </row>
    <row r="50" spans="1:3" x14ac:dyDescent="0.45">
      <c r="A50" s="7">
        <v>26</v>
      </c>
      <c r="B50" s="7">
        <v>9.2891276893726733</v>
      </c>
      <c r="C50" s="7">
        <v>-1.8915920359100724E-2</v>
      </c>
    </row>
    <row r="51" spans="1:3" x14ac:dyDescent="0.45">
      <c r="A51" s="7">
        <v>27</v>
      </c>
      <c r="B51" s="7">
        <v>9.2945313700429733</v>
      </c>
      <c r="C51" s="7">
        <v>-3.1313958466023806E-2</v>
      </c>
    </row>
    <row r="52" spans="1:3" x14ac:dyDescent="0.45">
      <c r="A52" s="7">
        <v>28</v>
      </c>
      <c r="B52" s="7">
        <v>9.2999350507132732</v>
      </c>
      <c r="C52" s="7">
        <v>-4.806893190859185E-2</v>
      </c>
    </row>
    <row r="53" spans="1:3" x14ac:dyDescent="0.45">
      <c r="A53" s="7">
        <v>29</v>
      </c>
      <c r="B53" s="7">
        <v>9.3053387313835731</v>
      </c>
      <c r="C53" s="7">
        <v>-5.4144365399125149E-2</v>
      </c>
    </row>
    <row r="54" spans="1:3" x14ac:dyDescent="0.45">
      <c r="A54" s="7">
        <v>30</v>
      </c>
      <c r="B54" s="7">
        <v>9.3107424120538731</v>
      </c>
      <c r="C54" s="7">
        <v>-5.065994818287578E-2</v>
      </c>
    </row>
    <row r="55" spans="1:3" x14ac:dyDescent="0.45">
      <c r="A55" s="7">
        <v>31</v>
      </c>
      <c r="B55" s="7">
        <v>9.3161460927241713</v>
      </c>
      <c r="C55" s="7">
        <v>-4.725383379837389E-2</v>
      </c>
    </row>
    <row r="56" spans="1:3" x14ac:dyDescent="0.45">
      <c r="A56" s="7">
        <v>32</v>
      </c>
      <c r="B56" s="7">
        <v>9.3215497733944712</v>
      </c>
      <c r="C56" s="7">
        <v>-3.675149050027926E-2</v>
      </c>
    </row>
    <row r="57" spans="1:3" x14ac:dyDescent="0.45">
      <c r="A57" s="7">
        <v>33</v>
      </c>
      <c r="B57" s="7">
        <v>9.3269534540647712</v>
      </c>
      <c r="C57" s="7">
        <v>-2.4125062653437723E-2</v>
      </c>
    </row>
    <row r="58" spans="1:3" x14ac:dyDescent="0.45">
      <c r="A58" s="7">
        <v>34</v>
      </c>
      <c r="B58" s="7">
        <v>9.3323571347350711</v>
      </c>
      <c r="C58" s="7">
        <v>-1.4508555043603266E-2</v>
      </c>
    </row>
    <row r="59" spans="1:3" x14ac:dyDescent="0.45">
      <c r="A59" s="7">
        <v>35</v>
      </c>
      <c r="B59" s="7">
        <v>9.3377608154053711</v>
      </c>
      <c r="C59" s="7">
        <v>-1.2218513740505088E-2</v>
      </c>
    </row>
    <row r="60" spans="1:3" x14ac:dyDescent="0.45">
      <c r="A60" s="7">
        <v>36</v>
      </c>
      <c r="B60" s="7">
        <v>9.3431644960756692</v>
      </c>
      <c r="C60" s="7">
        <v>-9.9872141404233616E-3</v>
      </c>
    </row>
    <row r="61" spans="1:3" x14ac:dyDescent="0.45">
      <c r="A61" s="7">
        <v>37</v>
      </c>
      <c r="B61" s="7">
        <v>9.3485681767459692</v>
      </c>
      <c r="C61" s="7">
        <v>-1.7870308106052946E-2</v>
      </c>
    </row>
    <row r="62" spans="1:3" x14ac:dyDescent="0.45">
      <c r="A62" s="7">
        <v>38</v>
      </c>
      <c r="B62" s="7">
        <v>9.3539718574162691</v>
      </c>
      <c r="C62" s="7">
        <v>-2.398352317419139E-2</v>
      </c>
    </row>
    <row r="63" spans="1:3" x14ac:dyDescent="0.45">
      <c r="A63" s="7">
        <v>39</v>
      </c>
      <c r="B63" s="7">
        <v>9.3593755380865691</v>
      </c>
      <c r="C63" s="7">
        <v>-3.1785606060147131E-2</v>
      </c>
    </row>
    <row r="64" spans="1:3" x14ac:dyDescent="0.45">
      <c r="A64" s="7">
        <v>40</v>
      </c>
      <c r="B64" s="7">
        <v>9.3647792187568673</v>
      </c>
      <c r="C64" s="7">
        <v>-2.8511290182894555E-2</v>
      </c>
    </row>
    <row r="65" spans="1:3" x14ac:dyDescent="0.45">
      <c r="A65" s="7">
        <v>41</v>
      </c>
      <c r="B65" s="7">
        <v>9.3701828994271672</v>
      </c>
      <c r="C65" s="7">
        <v>-3.1449312682585884E-2</v>
      </c>
    </row>
    <row r="66" spans="1:3" x14ac:dyDescent="0.45">
      <c r="A66" s="7">
        <v>42</v>
      </c>
      <c r="B66" s="7">
        <v>9.3755865800974671</v>
      </c>
      <c r="C66" s="7">
        <v>-3.9230487538423731E-2</v>
      </c>
    </row>
    <row r="67" spans="1:3" x14ac:dyDescent="0.45">
      <c r="A67" s="7">
        <v>43</v>
      </c>
      <c r="B67" s="7">
        <v>9.3809902607677671</v>
      </c>
      <c r="C67" s="7">
        <v>-4.1201821604698097E-2</v>
      </c>
    </row>
    <row r="68" spans="1:3" x14ac:dyDescent="0.45">
      <c r="A68" s="7">
        <v>44</v>
      </c>
      <c r="B68" s="7">
        <v>9.386393941438067</v>
      </c>
      <c r="C68" s="7">
        <v>-5.0743378496438396E-2</v>
      </c>
    </row>
    <row r="69" spans="1:3" x14ac:dyDescent="0.45">
      <c r="A69" s="7">
        <v>45</v>
      </c>
      <c r="B69" s="7">
        <v>9.3917976221083652</v>
      </c>
      <c r="C69" s="7">
        <v>-7.3859239534163734E-2</v>
      </c>
    </row>
    <row r="70" spans="1:3" x14ac:dyDescent="0.45">
      <c r="A70" s="7">
        <v>46</v>
      </c>
      <c r="B70" s="7">
        <v>9.3972013027786652</v>
      </c>
      <c r="C70" s="7">
        <v>-7.4872428854435569E-2</v>
      </c>
    </row>
    <row r="71" spans="1:3" x14ac:dyDescent="0.45">
      <c r="A71" s="7">
        <v>47</v>
      </c>
      <c r="B71" s="7">
        <v>9.4026049834489651</v>
      </c>
      <c r="C71" s="7">
        <v>-6.8101968852360528E-2</v>
      </c>
    </row>
    <row r="72" spans="1:3" x14ac:dyDescent="0.45">
      <c r="A72" s="7">
        <v>48</v>
      </c>
      <c r="B72" s="7">
        <v>9.4080086641192651</v>
      </c>
      <c r="C72" s="7">
        <v>-6.4624518385317131E-2</v>
      </c>
    </row>
    <row r="73" spans="1:3" x14ac:dyDescent="0.45">
      <c r="A73" s="7">
        <v>49</v>
      </c>
      <c r="B73" s="7">
        <v>9.413412344789565</v>
      </c>
      <c r="C73" s="7">
        <v>-5.6204897003830467E-2</v>
      </c>
    </row>
    <row r="74" spans="1:3" x14ac:dyDescent="0.45">
      <c r="A74" s="7">
        <v>50</v>
      </c>
      <c r="B74" s="7">
        <v>9.4188160254598632</v>
      </c>
      <c r="C74" s="7">
        <v>-5.0105317512239012E-2</v>
      </c>
    </row>
    <row r="75" spans="1:3" x14ac:dyDescent="0.45">
      <c r="A75" s="7">
        <v>51</v>
      </c>
      <c r="B75" s="7">
        <v>9.4242197061301631</v>
      </c>
      <c r="C75" s="7">
        <v>-4.9382362272577751E-2</v>
      </c>
    </row>
    <row r="76" spans="1:3" x14ac:dyDescent="0.45">
      <c r="A76" s="7">
        <v>52</v>
      </c>
      <c r="B76" s="7">
        <v>9.4296233868004631</v>
      </c>
      <c r="C76" s="7">
        <v>-5.809997723289051E-2</v>
      </c>
    </row>
    <row r="77" spans="1:3" x14ac:dyDescent="0.45">
      <c r="A77" s="7">
        <v>53</v>
      </c>
      <c r="B77" s="7">
        <v>9.435027067470763</v>
      </c>
      <c r="C77" s="7">
        <v>-5.9850453041645935E-2</v>
      </c>
    </row>
    <row r="78" spans="1:3" x14ac:dyDescent="0.45">
      <c r="A78" s="7">
        <v>54</v>
      </c>
      <c r="B78" s="7">
        <v>9.4404307481410612</v>
      </c>
      <c r="C78" s="7">
        <v>-5.8745510084555974E-2</v>
      </c>
    </row>
    <row r="79" spans="1:3" x14ac:dyDescent="0.45">
      <c r="A79" s="7">
        <v>55</v>
      </c>
      <c r="B79" s="7">
        <v>9.4458344288113611</v>
      </c>
      <c r="C79" s="7">
        <v>-7.312013785091942E-2</v>
      </c>
    </row>
    <row r="80" spans="1:3" x14ac:dyDescent="0.45">
      <c r="A80" s="7">
        <v>56</v>
      </c>
      <c r="B80" s="7">
        <v>9.4512381094816611</v>
      </c>
      <c r="C80" s="7">
        <v>-8.1162679384320313E-2</v>
      </c>
    </row>
    <row r="81" spans="1:3" x14ac:dyDescent="0.45">
      <c r="A81" s="7">
        <v>57</v>
      </c>
      <c r="B81" s="7">
        <v>9.456641790151961</v>
      </c>
      <c r="C81" s="7">
        <v>-9.0323836721426076E-2</v>
      </c>
    </row>
    <row r="82" spans="1:3" x14ac:dyDescent="0.45">
      <c r="A82" s="7">
        <v>58</v>
      </c>
      <c r="B82" s="7">
        <v>9.462045470822261</v>
      </c>
      <c r="C82" s="7">
        <v>-8.483564661104559E-2</v>
      </c>
    </row>
    <row r="83" spans="1:3" x14ac:dyDescent="0.45">
      <c r="A83" s="7">
        <v>59</v>
      </c>
      <c r="B83" s="7">
        <v>9.4674491514925592</v>
      </c>
      <c r="C83" s="7">
        <v>-8.9562508304576127E-2</v>
      </c>
    </row>
    <row r="84" spans="1:3" x14ac:dyDescent="0.45">
      <c r="A84" s="7">
        <v>60</v>
      </c>
      <c r="B84" s="7">
        <v>9.4728528321628591</v>
      </c>
      <c r="C84" s="7">
        <v>-7.9274656608369298E-2</v>
      </c>
    </row>
    <row r="85" spans="1:3" x14ac:dyDescent="0.45">
      <c r="A85" s="7">
        <v>61</v>
      </c>
      <c r="B85" s="7">
        <v>9.4782565128331591</v>
      </c>
      <c r="C85" s="7">
        <v>-7.7709089789031793E-2</v>
      </c>
    </row>
    <row r="86" spans="1:3" x14ac:dyDescent="0.45">
      <c r="A86" s="7">
        <v>62</v>
      </c>
      <c r="B86" s="7">
        <v>9.483660193503459</v>
      </c>
      <c r="C86" s="7">
        <v>-7.4386998928124726E-2</v>
      </c>
    </row>
    <row r="87" spans="1:3" x14ac:dyDescent="0.45">
      <c r="A87" s="7">
        <v>63</v>
      </c>
      <c r="B87" s="7">
        <v>9.489063874173759</v>
      </c>
      <c r="C87" s="7">
        <v>-7.5619406221093755E-2</v>
      </c>
    </row>
    <row r="88" spans="1:3" x14ac:dyDescent="0.45">
      <c r="A88" s="7">
        <v>64</v>
      </c>
      <c r="B88" s="7">
        <v>9.4944675548440571</v>
      </c>
      <c r="C88" s="7">
        <v>-7.1033967407165832E-2</v>
      </c>
    </row>
    <row r="89" spans="1:3" x14ac:dyDescent="0.45">
      <c r="A89" s="7">
        <v>65</v>
      </c>
      <c r="B89" s="7">
        <v>9.4998712355143571</v>
      </c>
      <c r="C89" s="7">
        <v>-7.2727367970163215E-2</v>
      </c>
    </row>
    <row r="90" spans="1:3" x14ac:dyDescent="0.45">
      <c r="A90" s="7">
        <v>66</v>
      </c>
      <c r="B90" s="7">
        <v>9.505274916184657</v>
      </c>
      <c r="C90" s="7">
        <v>-7.1951005695629178E-2</v>
      </c>
    </row>
    <row r="91" spans="1:3" x14ac:dyDescent="0.45">
      <c r="A91" s="7">
        <v>67</v>
      </c>
      <c r="B91" s="7">
        <v>9.510678596854957</v>
      </c>
      <c r="C91" s="7">
        <v>-6.7719703202046233E-2</v>
      </c>
    </row>
    <row r="92" spans="1:3" x14ac:dyDescent="0.45">
      <c r="A92" s="7">
        <v>68</v>
      </c>
      <c r="B92" s="7">
        <v>9.5160822775252552</v>
      </c>
      <c r="C92" s="7">
        <v>-6.8695449065870662E-2</v>
      </c>
    </row>
    <row r="93" spans="1:3" x14ac:dyDescent="0.45">
      <c r="A93" s="7">
        <v>69</v>
      </c>
      <c r="B93" s="7">
        <v>9.5214859581955551</v>
      </c>
      <c r="C93" s="7">
        <v>-5.7744447744465077E-2</v>
      </c>
    </row>
    <row r="94" spans="1:3" x14ac:dyDescent="0.45">
      <c r="A94" s="7">
        <v>70</v>
      </c>
      <c r="B94" s="7">
        <v>9.526889638865855</v>
      </c>
      <c r="C94" s="7">
        <v>-4.8814832247586537E-2</v>
      </c>
    </row>
    <row r="95" spans="1:3" x14ac:dyDescent="0.45">
      <c r="A95" s="7">
        <v>71</v>
      </c>
      <c r="B95" s="7">
        <v>9.532293319536155</v>
      </c>
      <c r="C95" s="7">
        <v>-3.9559837041801771E-2</v>
      </c>
    </row>
    <row r="96" spans="1:3" x14ac:dyDescent="0.45">
      <c r="A96" s="7">
        <v>72</v>
      </c>
      <c r="B96" s="7">
        <v>9.5376970002064549</v>
      </c>
      <c r="C96" s="7">
        <v>-4.5642327558283569E-2</v>
      </c>
    </row>
    <row r="97" spans="1:3" x14ac:dyDescent="0.45">
      <c r="A97" s="7">
        <v>73</v>
      </c>
      <c r="B97" s="7">
        <v>9.5431006808767531</v>
      </c>
      <c r="C97" s="7">
        <v>-3.1693216838666771E-2</v>
      </c>
    </row>
    <row r="98" spans="1:3" x14ac:dyDescent="0.45">
      <c r="A98" s="7">
        <v>74</v>
      </c>
      <c r="B98" s="7">
        <v>9.5485043615470531</v>
      </c>
      <c r="C98" s="7">
        <v>-2.8842742015608991E-2</v>
      </c>
    </row>
    <row r="99" spans="1:3" x14ac:dyDescent="0.45">
      <c r="A99" s="7">
        <v>75</v>
      </c>
      <c r="B99" s="7">
        <v>9.553908042217353</v>
      </c>
      <c r="C99" s="7">
        <v>-2.0614983707469392E-2</v>
      </c>
    </row>
    <row r="100" spans="1:3" x14ac:dyDescent="0.45">
      <c r="A100" s="7">
        <v>76</v>
      </c>
      <c r="B100" s="7">
        <v>9.559311722887653</v>
      </c>
      <c r="C100" s="7">
        <v>-1.488525341653002E-3</v>
      </c>
    </row>
    <row r="101" spans="1:3" x14ac:dyDescent="0.45">
      <c r="A101" s="7">
        <v>77</v>
      </c>
      <c r="B101" s="7">
        <v>9.5647154035579529</v>
      </c>
      <c r="C101" s="7">
        <v>5.2555401825955528E-3</v>
      </c>
    </row>
    <row r="102" spans="1:3" x14ac:dyDescent="0.45">
      <c r="A102" s="7">
        <v>78</v>
      </c>
      <c r="B102" s="7">
        <v>9.5701190842282511</v>
      </c>
      <c r="C102" s="7">
        <v>-2.1793633487909858E-4</v>
      </c>
    </row>
    <row r="103" spans="1:3" x14ac:dyDescent="0.45">
      <c r="A103" s="7">
        <v>79</v>
      </c>
      <c r="B103" s="7">
        <v>9.575522764898551</v>
      </c>
      <c r="C103" s="7">
        <v>2.7192946308307597E-3</v>
      </c>
    </row>
    <row r="104" spans="1:3" x14ac:dyDescent="0.45">
      <c r="A104" s="7">
        <v>80</v>
      </c>
      <c r="B104" s="7">
        <v>9.580926445568851</v>
      </c>
      <c r="C104" s="7">
        <v>-1.6466468339544349E-3</v>
      </c>
    </row>
    <row r="105" spans="1:3" x14ac:dyDescent="0.45">
      <c r="A105" s="7">
        <v>81</v>
      </c>
      <c r="B105" s="7">
        <v>9.5863301262391509</v>
      </c>
      <c r="C105" s="7">
        <v>-3.7367803609171801E-3</v>
      </c>
    </row>
    <row r="106" spans="1:3" x14ac:dyDescent="0.45">
      <c r="A106" s="7">
        <v>82</v>
      </c>
      <c r="B106" s="7">
        <v>9.5917338069094491</v>
      </c>
      <c r="C106" s="7">
        <v>1.9623875867971208E-3</v>
      </c>
    </row>
    <row r="107" spans="1:3" x14ac:dyDescent="0.45">
      <c r="A107" s="7">
        <v>83</v>
      </c>
      <c r="B107" s="7">
        <v>9.597137487579749</v>
      </c>
      <c r="C107" s="7">
        <v>-1.1266348235814405E-3</v>
      </c>
    </row>
    <row r="108" spans="1:3" x14ac:dyDescent="0.45">
      <c r="A108" s="7">
        <v>84</v>
      </c>
      <c r="B108" s="7">
        <v>9.602541168250049</v>
      </c>
      <c r="C108" s="7">
        <v>-3.2038808730092683E-3</v>
      </c>
    </row>
    <row r="109" spans="1:3" x14ac:dyDescent="0.45">
      <c r="A109" s="7">
        <v>85</v>
      </c>
      <c r="B109" s="7">
        <v>9.6079448489203489</v>
      </c>
      <c r="C109" s="7">
        <v>1.2914505466676829E-2</v>
      </c>
    </row>
    <row r="110" spans="1:3" x14ac:dyDescent="0.45">
      <c r="A110" s="7">
        <v>86</v>
      </c>
      <c r="B110" s="7">
        <v>9.6133485295906489</v>
      </c>
      <c r="C110" s="7">
        <v>2.0362354362532642E-2</v>
      </c>
    </row>
    <row r="111" spans="1:3" x14ac:dyDescent="0.45">
      <c r="A111" s="7">
        <v>87</v>
      </c>
      <c r="B111" s="7">
        <v>9.6187522102609471</v>
      </c>
      <c r="C111" s="7">
        <v>3.0810366621533802E-2</v>
      </c>
    </row>
    <row r="112" spans="1:3" x14ac:dyDescent="0.45">
      <c r="A112" s="7">
        <v>88</v>
      </c>
      <c r="B112" s="7">
        <v>9.624155890931247</v>
      </c>
      <c r="C112" s="7">
        <v>2.7209764551651361E-2</v>
      </c>
    </row>
    <row r="113" spans="1:3" x14ac:dyDescent="0.45">
      <c r="A113" s="7">
        <v>89</v>
      </c>
      <c r="B113" s="7">
        <v>9.629559571601547</v>
      </c>
      <c r="C113" s="7">
        <v>3.0773030532877499E-2</v>
      </c>
    </row>
    <row r="114" spans="1:3" x14ac:dyDescent="0.45">
      <c r="A114" s="7">
        <v>90</v>
      </c>
      <c r="B114" s="7">
        <v>9.6349632522718469</v>
      </c>
      <c r="C114" s="7">
        <v>2.9505399791780462E-2</v>
      </c>
    </row>
    <row r="115" spans="1:3" x14ac:dyDescent="0.45">
      <c r="A115" s="7">
        <v>91</v>
      </c>
      <c r="B115" s="7">
        <v>9.6403669329421469</v>
      </c>
      <c r="C115" s="7">
        <v>2.613166145771828E-2</v>
      </c>
    </row>
    <row r="116" spans="1:3" x14ac:dyDescent="0.45">
      <c r="A116" s="7">
        <v>92</v>
      </c>
      <c r="B116" s="7">
        <v>9.645770613612445</v>
      </c>
      <c r="C116" s="7">
        <v>2.5784881576393914E-2</v>
      </c>
    </row>
    <row r="117" spans="1:3" x14ac:dyDescent="0.45">
      <c r="A117" s="7">
        <v>93</v>
      </c>
      <c r="B117" s="7">
        <v>9.651174294282745</v>
      </c>
      <c r="C117" s="7">
        <v>2.4094349072390386E-2</v>
      </c>
    </row>
    <row r="118" spans="1:3" x14ac:dyDescent="0.45">
      <c r="A118" s="7">
        <v>94</v>
      </c>
      <c r="B118" s="7">
        <v>9.6565779749530449</v>
      </c>
      <c r="C118" s="7">
        <v>2.0134440034823342E-2</v>
      </c>
    </row>
    <row r="119" spans="1:3" x14ac:dyDescent="0.45">
      <c r="A119" s="7">
        <v>95</v>
      </c>
      <c r="B119" s="7">
        <v>9.6619816556233449</v>
      </c>
      <c r="C119" s="7">
        <v>2.0048423370230495E-2</v>
      </c>
    </row>
    <row r="120" spans="1:3" x14ac:dyDescent="0.45">
      <c r="A120" s="7">
        <v>96</v>
      </c>
      <c r="B120" s="7">
        <v>9.6673853362936448</v>
      </c>
      <c r="C120" s="7">
        <v>8.4485094503872205E-3</v>
      </c>
    </row>
    <row r="121" spans="1:3" x14ac:dyDescent="0.45">
      <c r="A121" s="7">
        <v>97</v>
      </c>
      <c r="B121" s="7">
        <v>9.672789016963943</v>
      </c>
      <c r="C121" s="7">
        <v>1.8989361883638978E-2</v>
      </c>
    </row>
    <row r="122" spans="1:3" x14ac:dyDescent="0.45">
      <c r="A122" s="7">
        <v>98</v>
      </c>
      <c r="B122" s="7">
        <v>9.6781926976342429</v>
      </c>
      <c r="C122" s="7">
        <v>1.9868424392834427E-2</v>
      </c>
    </row>
    <row r="123" spans="1:3" x14ac:dyDescent="0.45">
      <c r="A123" s="7">
        <v>99</v>
      </c>
      <c r="B123" s="7">
        <v>9.6835963783045429</v>
      </c>
      <c r="C123" s="7">
        <v>1.9303808630738217E-2</v>
      </c>
    </row>
    <row r="124" spans="1:3" x14ac:dyDescent="0.45">
      <c r="A124" s="7">
        <v>100</v>
      </c>
      <c r="B124" s="7">
        <v>9.6890000589748428</v>
      </c>
      <c r="C124" s="7">
        <v>2.7253892406310598E-2</v>
      </c>
    </row>
    <row r="125" spans="1:3" x14ac:dyDescent="0.45">
      <c r="A125" s="7">
        <v>101</v>
      </c>
      <c r="B125" s="7">
        <v>9.694403739645141</v>
      </c>
      <c r="C125" s="7">
        <v>3.258526939982076E-2</v>
      </c>
    </row>
    <row r="126" spans="1:3" x14ac:dyDescent="0.45">
      <c r="A126" s="7">
        <v>102</v>
      </c>
      <c r="B126" s="7">
        <v>9.699807420315441</v>
      </c>
      <c r="C126" s="7">
        <v>4.368742090979616E-2</v>
      </c>
    </row>
    <row r="127" spans="1:3" x14ac:dyDescent="0.45">
      <c r="A127" s="7">
        <v>103</v>
      </c>
      <c r="B127" s="7">
        <v>9.7052111009857409</v>
      </c>
      <c r="C127" s="7">
        <v>5.0993799400949058E-2</v>
      </c>
    </row>
    <row r="128" spans="1:3" x14ac:dyDescent="0.45">
      <c r="A128" s="7">
        <v>104</v>
      </c>
      <c r="B128" s="7">
        <v>9.7106147816560409</v>
      </c>
      <c r="C128" s="7">
        <v>6.6118362534588471E-2</v>
      </c>
    </row>
    <row r="129" spans="1:3" x14ac:dyDescent="0.45">
      <c r="A129" s="7">
        <v>105</v>
      </c>
      <c r="B129" s="7">
        <v>9.7160184623263408</v>
      </c>
      <c r="C129" s="7">
        <v>7.6649255104543457E-2</v>
      </c>
    </row>
    <row r="130" spans="1:3" x14ac:dyDescent="0.45">
      <c r="A130" s="7">
        <v>106</v>
      </c>
      <c r="B130" s="7">
        <v>9.721422142996639</v>
      </c>
      <c r="C130" s="7">
        <v>6.8560708742667842E-2</v>
      </c>
    </row>
    <row r="131" spans="1:3" x14ac:dyDescent="0.45">
      <c r="A131" s="7">
        <v>107</v>
      </c>
      <c r="B131" s="7">
        <v>9.7268258236669389</v>
      </c>
      <c r="C131" s="7">
        <v>6.4220649523440088E-2</v>
      </c>
    </row>
    <row r="132" spans="1:3" x14ac:dyDescent="0.45">
      <c r="A132" s="7">
        <v>108</v>
      </c>
      <c r="B132" s="7">
        <v>9.7322295043372389</v>
      </c>
      <c r="C132" s="7">
        <v>5.337500754217217E-2</v>
      </c>
    </row>
    <row r="133" spans="1:3" x14ac:dyDescent="0.45">
      <c r="A133" s="7">
        <v>109</v>
      </c>
      <c r="B133" s="7">
        <v>9.7376331850075388</v>
      </c>
      <c r="C133" s="7">
        <v>3.6940867435250269E-2</v>
      </c>
    </row>
    <row r="134" spans="1:3" x14ac:dyDescent="0.45">
      <c r="A134" s="7">
        <v>110</v>
      </c>
      <c r="B134" s="7">
        <v>9.743036865677837</v>
      </c>
      <c r="C134" s="7">
        <v>3.2958166343014739E-2</v>
      </c>
    </row>
    <row r="135" spans="1:3" x14ac:dyDescent="0.45">
      <c r="A135" s="7">
        <v>111</v>
      </c>
      <c r="B135" s="7">
        <v>9.7484405463481369</v>
      </c>
      <c r="C135" s="7">
        <v>2.9313700722227054E-2</v>
      </c>
    </row>
    <row r="136" spans="1:3" x14ac:dyDescent="0.45">
      <c r="A136" s="7">
        <v>112</v>
      </c>
      <c r="B136" s="7">
        <v>9.7538442270184369</v>
      </c>
      <c r="C136" s="7">
        <v>6.6386311006869647E-3</v>
      </c>
    </row>
    <row r="137" spans="1:3" x14ac:dyDescent="0.45">
      <c r="A137" s="7">
        <v>113</v>
      </c>
      <c r="B137" s="7">
        <v>9.7592479076887368</v>
      </c>
      <c r="C137" s="7">
        <v>7.5604459321372275E-3</v>
      </c>
    </row>
    <row r="138" spans="1:3" x14ac:dyDescent="0.45">
      <c r="A138" s="7">
        <v>114</v>
      </c>
      <c r="B138" s="7">
        <v>9.7646515883590368</v>
      </c>
      <c r="C138" s="7">
        <v>1.6046668084470639E-2</v>
      </c>
    </row>
    <row r="139" spans="1:3" x14ac:dyDescent="0.45">
      <c r="A139" s="7">
        <v>115</v>
      </c>
      <c r="B139" s="7">
        <v>9.770055269029335</v>
      </c>
      <c r="C139" s="7">
        <v>2.1830106925490256E-2</v>
      </c>
    </row>
    <row r="140" spans="1:3" x14ac:dyDescent="0.45">
      <c r="A140" s="7">
        <v>116</v>
      </c>
      <c r="B140" s="7">
        <v>9.7754589496996349</v>
      </c>
      <c r="C140" s="7">
        <v>2.4499742007636272E-2</v>
      </c>
    </row>
    <row r="141" spans="1:3" x14ac:dyDescent="0.45">
      <c r="A141" s="7">
        <v>117</v>
      </c>
      <c r="B141" s="7">
        <v>9.7808626303699349</v>
      </c>
      <c r="C141" s="7">
        <v>3.6740183009023042E-2</v>
      </c>
    </row>
    <row r="142" spans="1:3" x14ac:dyDescent="0.45">
      <c r="A142" s="7">
        <v>118</v>
      </c>
      <c r="B142" s="7">
        <v>9.7862663110402348</v>
      </c>
      <c r="C142" s="7">
        <v>3.8394460949922049E-2</v>
      </c>
    </row>
    <row r="143" spans="1:3" x14ac:dyDescent="0.45">
      <c r="A143" s="7">
        <v>119</v>
      </c>
      <c r="B143" s="7">
        <v>9.7916699917105348</v>
      </c>
      <c r="C143" s="7">
        <v>4.0912147309818181E-2</v>
      </c>
    </row>
    <row r="144" spans="1:3" x14ac:dyDescent="0.45">
      <c r="A144" s="7">
        <v>120</v>
      </c>
      <c r="B144" s="7">
        <v>9.7970736723808329</v>
      </c>
      <c r="C144" s="7">
        <v>4.5708005037900179E-2</v>
      </c>
    </row>
    <row r="145" spans="1:3" x14ac:dyDescent="0.45">
      <c r="A145" s="7">
        <v>121</v>
      </c>
      <c r="B145" s="7">
        <v>9.8024773530511329</v>
      </c>
      <c r="C145" s="7">
        <v>4.9716905097444197E-2</v>
      </c>
    </row>
    <row r="146" spans="1:3" x14ac:dyDescent="0.45">
      <c r="A146" s="7">
        <v>122</v>
      </c>
      <c r="B146" s="7">
        <v>9.8078810337214328</v>
      </c>
      <c r="C146" s="7">
        <v>4.7308733406943304E-2</v>
      </c>
    </row>
    <row r="147" spans="1:3" x14ac:dyDescent="0.45">
      <c r="A147" s="7">
        <v>123</v>
      </c>
      <c r="B147" s="7">
        <v>9.8132847143917328</v>
      </c>
      <c r="C147" s="7">
        <v>4.8495034744604482E-2</v>
      </c>
    </row>
    <row r="148" spans="1:3" x14ac:dyDescent="0.45">
      <c r="A148" s="7">
        <v>124</v>
      </c>
      <c r="B148" s="7">
        <v>9.8186883950620327</v>
      </c>
      <c r="C148" s="7">
        <v>5.5215854932420427E-2</v>
      </c>
    </row>
    <row r="149" spans="1:3" x14ac:dyDescent="0.45">
      <c r="A149" s="7">
        <v>125</v>
      </c>
      <c r="B149" s="7">
        <v>9.8240920757323309</v>
      </c>
      <c r="C149" s="7">
        <v>5.3051501464194573E-2</v>
      </c>
    </row>
    <row r="150" spans="1:3" x14ac:dyDescent="0.45">
      <c r="A150" s="7">
        <v>126</v>
      </c>
      <c r="B150" s="7">
        <v>9.8294957564026308</v>
      </c>
      <c r="C150" s="7">
        <v>6.6261998071555084E-2</v>
      </c>
    </row>
    <row r="151" spans="1:3" x14ac:dyDescent="0.45">
      <c r="A151" s="7">
        <v>127</v>
      </c>
      <c r="B151" s="7">
        <v>9.8348994370729308</v>
      </c>
      <c r="C151" s="7">
        <v>6.2117224332885357E-2</v>
      </c>
    </row>
    <row r="152" spans="1:3" x14ac:dyDescent="0.45">
      <c r="A152" s="7">
        <v>128</v>
      </c>
      <c r="B152" s="7">
        <v>9.8403031177432307</v>
      </c>
      <c r="C152" s="7">
        <v>6.1833522721940426E-2</v>
      </c>
    </row>
    <row r="153" spans="1:3" x14ac:dyDescent="0.45">
      <c r="A153" s="7">
        <v>129</v>
      </c>
      <c r="B153" s="7">
        <v>9.8457067984135289</v>
      </c>
      <c r="C153" s="7">
        <v>5.9079909854219181E-2</v>
      </c>
    </row>
    <row r="154" spans="1:3" x14ac:dyDescent="0.45">
      <c r="A154" s="7">
        <v>130</v>
      </c>
      <c r="B154" s="7">
        <v>9.8511104790838289</v>
      </c>
      <c r="C154" s="7">
        <v>5.0425169727054353E-2</v>
      </c>
    </row>
    <row r="155" spans="1:3" x14ac:dyDescent="0.45">
      <c r="A155" s="7">
        <v>131</v>
      </c>
      <c r="B155" s="7">
        <v>9.8565141597541288</v>
      </c>
      <c r="C155" s="7">
        <v>5.1662382268130358E-2</v>
      </c>
    </row>
    <row r="156" spans="1:3" x14ac:dyDescent="0.45">
      <c r="A156" s="7">
        <v>132</v>
      </c>
      <c r="B156" s="7">
        <v>9.8619178404244288</v>
      </c>
      <c r="C156" s="7">
        <v>4.5661330014953094E-2</v>
      </c>
    </row>
    <row r="157" spans="1:3" x14ac:dyDescent="0.45">
      <c r="A157" s="7">
        <v>133</v>
      </c>
      <c r="B157" s="7">
        <v>9.8673215210947287</v>
      </c>
      <c r="C157" s="7">
        <v>3.6016020190274389E-2</v>
      </c>
    </row>
    <row r="158" spans="1:3" x14ac:dyDescent="0.45">
      <c r="A158" s="7">
        <v>134</v>
      </c>
      <c r="B158" s="7">
        <v>9.8727252017650269</v>
      </c>
      <c r="C158" s="7">
        <v>5.0342021983702523E-3</v>
      </c>
    </row>
    <row r="159" spans="1:3" x14ac:dyDescent="0.45">
      <c r="A159" s="7">
        <v>135</v>
      </c>
      <c r="B159" s="7">
        <v>9.8781288824353268</v>
      </c>
      <c r="C159" s="7">
        <v>7.5510514508358995E-3</v>
      </c>
    </row>
    <row r="160" spans="1:3" x14ac:dyDescent="0.45">
      <c r="A160" s="7">
        <v>136</v>
      </c>
      <c r="B160" s="7">
        <v>9.8835325631056268</v>
      </c>
      <c r="C160" s="7">
        <v>1.2829664487911785E-2</v>
      </c>
    </row>
    <row r="161" spans="1:3" x14ac:dyDescent="0.45">
      <c r="A161" s="7">
        <v>137</v>
      </c>
      <c r="B161" s="7">
        <v>9.8889362437759267</v>
      </c>
      <c r="C161" s="7">
        <v>8.73442343863573E-3</v>
      </c>
    </row>
    <row r="162" spans="1:3" x14ac:dyDescent="0.45">
      <c r="A162" s="7">
        <v>138</v>
      </c>
      <c r="B162" s="7">
        <v>9.8943399244462249</v>
      </c>
      <c r="C162" s="7">
        <v>1.1658583482461182E-3</v>
      </c>
    </row>
    <row r="163" spans="1:3" x14ac:dyDescent="0.45">
      <c r="A163" s="7">
        <v>139</v>
      </c>
      <c r="B163" s="7">
        <v>9.8997436051165248</v>
      </c>
      <c r="C163" s="7">
        <v>-2.3747335885744292E-3</v>
      </c>
    </row>
    <row r="164" spans="1:3" x14ac:dyDescent="0.45">
      <c r="A164" s="7">
        <v>140</v>
      </c>
      <c r="B164" s="7">
        <v>9.9051472857868248</v>
      </c>
      <c r="C164" s="7">
        <v>-1.7230328241653936E-2</v>
      </c>
    </row>
    <row r="165" spans="1:3" x14ac:dyDescent="0.45">
      <c r="A165" s="7">
        <v>141</v>
      </c>
      <c r="B165" s="7">
        <v>9.9105509664571247</v>
      </c>
      <c r="C165" s="7">
        <v>-1.7416826000488328E-2</v>
      </c>
    </row>
    <row r="166" spans="1:3" x14ac:dyDescent="0.45">
      <c r="A166" s="7">
        <v>142</v>
      </c>
      <c r="B166" s="7">
        <v>9.9159546471274247</v>
      </c>
      <c r="C166" s="7">
        <v>-2.2012507434828521E-2</v>
      </c>
    </row>
    <row r="167" spans="1:3" x14ac:dyDescent="0.45">
      <c r="A167" s="7">
        <v>143</v>
      </c>
      <c r="B167" s="7">
        <v>9.9213583277977229</v>
      </c>
      <c r="C167" s="7">
        <v>-2.3285407963093974E-2</v>
      </c>
    </row>
    <row r="168" spans="1:3" x14ac:dyDescent="0.45">
      <c r="A168" s="7">
        <v>144</v>
      </c>
      <c r="B168" s="7">
        <v>9.9267620084680228</v>
      </c>
      <c r="C168" s="7">
        <v>-1.3769768917649472E-2</v>
      </c>
    </row>
    <row r="169" spans="1:3" x14ac:dyDescent="0.45">
      <c r="A169" s="7">
        <v>145</v>
      </c>
      <c r="B169" s="7">
        <v>9.9321656891383228</v>
      </c>
      <c r="C169" s="7">
        <v>-1.137863952413376E-2</v>
      </c>
    </row>
    <row r="170" spans="1:3" x14ac:dyDescent="0.45">
      <c r="A170" s="7">
        <v>146</v>
      </c>
      <c r="B170" s="7">
        <v>9.9375693698086227</v>
      </c>
      <c r="C170" s="7">
        <v>1.3335879484603907E-3</v>
      </c>
    </row>
    <row r="171" spans="1:3" x14ac:dyDescent="0.45">
      <c r="A171" s="7">
        <v>147</v>
      </c>
      <c r="B171" s="7">
        <v>9.9429730504789227</v>
      </c>
      <c r="C171" s="7">
        <v>1.1255143760388719E-2</v>
      </c>
    </row>
    <row r="172" spans="1:3" x14ac:dyDescent="0.45">
      <c r="A172" s="7">
        <v>148</v>
      </c>
      <c r="B172" s="7">
        <v>9.9483767311492208</v>
      </c>
      <c r="C172" s="7">
        <v>1.9305533428903843E-2</v>
      </c>
    </row>
    <row r="173" spans="1:3" x14ac:dyDescent="0.45">
      <c r="A173" s="7">
        <v>149</v>
      </c>
      <c r="B173" s="7">
        <v>9.9537804118195208</v>
      </c>
      <c r="C173" s="7">
        <v>2.0258796667551593E-2</v>
      </c>
    </row>
    <row r="174" spans="1:3" x14ac:dyDescent="0.45">
      <c r="A174" s="7">
        <v>150</v>
      </c>
      <c r="B174" s="7">
        <v>9.9591840924898207</v>
      </c>
      <c r="C174" s="7">
        <v>2.6712596287024937E-2</v>
      </c>
    </row>
    <row r="175" spans="1:3" x14ac:dyDescent="0.45">
      <c r="A175" s="7">
        <v>151</v>
      </c>
      <c r="B175" s="7">
        <v>9.9645877731601207</v>
      </c>
      <c r="C175" s="7">
        <v>2.6269425512914779E-2</v>
      </c>
    </row>
    <row r="176" spans="1:3" x14ac:dyDescent="0.45">
      <c r="A176" s="7">
        <v>152</v>
      </c>
      <c r="B176" s="7">
        <v>9.9699914538304206</v>
      </c>
      <c r="C176" s="7">
        <v>3.1303158708618994E-2</v>
      </c>
    </row>
    <row r="177" spans="1:3" x14ac:dyDescent="0.45">
      <c r="A177" s="7">
        <v>153</v>
      </c>
      <c r="B177" s="7">
        <v>9.9753951345007188</v>
      </c>
      <c r="C177" s="7">
        <v>4.0929911298778876E-2</v>
      </c>
    </row>
    <row r="178" spans="1:3" x14ac:dyDescent="0.45">
      <c r="A178" s="7">
        <v>154</v>
      </c>
      <c r="B178" s="7">
        <v>9.9807988151710187</v>
      </c>
      <c r="C178" s="7">
        <v>4.2514130433458419E-2</v>
      </c>
    </row>
    <row r="179" spans="1:3" x14ac:dyDescent="0.45">
      <c r="A179" s="7">
        <v>155</v>
      </c>
      <c r="B179" s="7">
        <v>9.9862024958413187</v>
      </c>
      <c r="C179" s="7">
        <v>5.338813968714895E-2</v>
      </c>
    </row>
    <row r="180" spans="1:3" x14ac:dyDescent="0.45">
      <c r="A180" s="7">
        <v>156</v>
      </c>
      <c r="B180" s="7">
        <v>9.9916061765116186</v>
      </c>
      <c r="C180" s="7">
        <v>4.7635297002129207E-2</v>
      </c>
    </row>
    <row r="181" spans="1:3" x14ac:dyDescent="0.45">
      <c r="A181" s="7">
        <v>157</v>
      </c>
      <c r="B181" s="7">
        <v>9.9970098571819168</v>
      </c>
      <c r="C181" s="7">
        <v>4.8975023582755739E-2</v>
      </c>
    </row>
    <row r="182" spans="1:3" x14ac:dyDescent="0.45">
      <c r="A182" s="7">
        <v>158</v>
      </c>
      <c r="B182" s="7">
        <v>10.002413537852217</v>
      </c>
      <c r="C182" s="7">
        <v>5.229182642653285E-2</v>
      </c>
    </row>
    <row r="183" spans="1:3" x14ac:dyDescent="0.45">
      <c r="A183" s="7">
        <v>159</v>
      </c>
      <c r="B183" s="7">
        <v>10.007817218522517</v>
      </c>
      <c r="C183" s="7">
        <v>6.1947193638710374E-2</v>
      </c>
    </row>
    <row r="184" spans="1:3" x14ac:dyDescent="0.45">
      <c r="A184" s="7">
        <v>160</v>
      </c>
      <c r="B184" s="7">
        <v>10.013220899192817</v>
      </c>
      <c r="C184" s="7">
        <v>6.0262560446629365E-2</v>
      </c>
    </row>
    <row r="185" spans="1:3" x14ac:dyDescent="0.45">
      <c r="A185" s="7">
        <v>161</v>
      </c>
      <c r="B185" s="7">
        <v>10.018624579863117</v>
      </c>
      <c r="C185" s="7">
        <v>5.3845965027784715E-2</v>
      </c>
    </row>
    <row r="186" spans="1:3" x14ac:dyDescent="0.45">
      <c r="A186" s="7">
        <v>162</v>
      </c>
      <c r="B186" s="7">
        <v>10.024028260533415</v>
      </c>
      <c r="C186" s="7">
        <v>5.9862342974037475E-2</v>
      </c>
    </row>
    <row r="187" spans="1:3" x14ac:dyDescent="0.45">
      <c r="A187" s="7">
        <v>163</v>
      </c>
      <c r="B187" s="7">
        <v>10.029431941203715</v>
      </c>
      <c r="C187" s="7">
        <v>6.335278186279325E-2</v>
      </c>
    </row>
    <row r="188" spans="1:3" x14ac:dyDescent="0.45">
      <c r="A188" s="7">
        <v>164</v>
      </c>
      <c r="B188" s="7">
        <v>10.034835621874015</v>
      </c>
      <c r="C188" s="7">
        <v>5.7576638589640794E-2</v>
      </c>
    </row>
    <row r="189" spans="1:3" x14ac:dyDescent="0.45">
      <c r="A189" s="7">
        <v>165</v>
      </c>
      <c r="B189" s="7">
        <v>10.040239302544315</v>
      </c>
      <c r="C189" s="7">
        <v>6.769815885876973E-2</v>
      </c>
    </row>
    <row r="190" spans="1:3" x14ac:dyDescent="0.45">
      <c r="A190" s="7">
        <v>166</v>
      </c>
      <c r="B190" s="7">
        <v>10.045642983214613</v>
      </c>
      <c r="C190" s="7">
        <v>6.7578613725791215E-2</v>
      </c>
    </row>
    <row r="191" spans="1:3" x14ac:dyDescent="0.45">
      <c r="A191" s="7">
        <v>167</v>
      </c>
      <c r="B191" s="7">
        <v>10.051046663884913</v>
      </c>
      <c r="C191" s="7">
        <v>6.8398684150700717E-2</v>
      </c>
    </row>
    <row r="192" spans="1:3" x14ac:dyDescent="0.45">
      <c r="A192" s="7">
        <v>168</v>
      </c>
      <c r="B192" s="7">
        <v>10.056450344555213</v>
      </c>
      <c r="C192" s="7">
        <v>7.1819415963632949E-2</v>
      </c>
    </row>
    <row r="193" spans="1:3" x14ac:dyDescent="0.45">
      <c r="A193" s="7">
        <v>169</v>
      </c>
      <c r="B193" s="7">
        <v>10.061854025225513</v>
      </c>
      <c r="C193" s="7">
        <v>6.904794547547155E-2</v>
      </c>
    </row>
    <row r="194" spans="1:3" x14ac:dyDescent="0.45">
      <c r="A194" s="7">
        <v>170</v>
      </c>
      <c r="B194" s="7">
        <v>10.067257705895813</v>
      </c>
      <c r="C194" s="7">
        <v>6.6031185618591337E-2</v>
      </c>
    </row>
    <row r="195" spans="1:3" x14ac:dyDescent="0.45">
      <c r="A195" s="7">
        <v>171</v>
      </c>
      <c r="B195" s="7">
        <v>10.072661386566111</v>
      </c>
      <c r="C195" s="7">
        <v>6.7517529829496326E-2</v>
      </c>
    </row>
    <row r="196" spans="1:3" x14ac:dyDescent="0.45">
      <c r="A196" s="7">
        <v>172</v>
      </c>
      <c r="B196" s="7">
        <v>10.078065067236411</v>
      </c>
      <c r="C196" s="7">
        <v>6.3730473133698951E-2</v>
      </c>
    </row>
    <row r="197" spans="1:3" x14ac:dyDescent="0.45">
      <c r="A197" s="7">
        <v>173</v>
      </c>
      <c r="B197" s="7">
        <v>10.083468747906711</v>
      </c>
      <c r="C197" s="7">
        <v>6.445407007791637E-2</v>
      </c>
    </row>
    <row r="198" spans="1:3" x14ac:dyDescent="0.45">
      <c r="A198" s="7">
        <v>174</v>
      </c>
      <c r="B198" s="7">
        <v>10.088872428577011</v>
      </c>
      <c r="C198" s="7">
        <v>5.8972071672524606E-2</v>
      </c>
    </row>
    <row r="199" spans="1:3" x14ac:dyDescent="0.45">
      <c r="A199" s="7">
        <v>175</v>
      </c>
      <c r="B199" s="7">
        <v>10.094276109247311</v>
      </c>
      <c r="C199" s="7">
        <v>5.3999062660897934E-2</v>
      </c>
    </row>
    <row r="200" spans="1:3" x14ac:dyDescent="0.45">
      <c r="A200" s="7">
        <v>176</v>
      </c>
      <c r="B200" s="7">
        <v>10.099679789917609</v>
      </c>
      <c r="C200" s="7">
        <v>3.741636378049229E-2</v>
      </c>
    </row>
    <row r="201" spans="1:3" x14ac:dyDescent="0.45">
      <c r="A201" s="7">
        <v>177</v>
      </c>
      <c r="B201" s="7">
        <v>10.105083470587909</v>
      </c>
      <c r="C201" s="7">
        <v>2.5141168772560007E-2</v>
      </c>
    </row>
    <row r="202" spans="1:3" x14ac:dyDescent="0.45">
      <c r="A202" s="7">
        <v>178</v>
      </c>
      <c r="B202" s="7">
        <v>10.110487151258209</v>
      </c>
      <c r="C202" s="7">
        <v>2.4826152974963378E-2</v>
      </c>
    </row>
    <row r="203" spans="1:3" x14ac:dyDescent="0.45">
      <c r="A203" s="7">
        <v>179</v>
      </c>
      <c r="B203" s="7">
        <v>10.115890831928509</v>
      </c>
      <c r="C203" s="7">
        <v>2.0849006070116971E-2</v>
      </c>
    </row>
    <row r="204" spans="1:3" x14ac:dyDescent="0.45">
      <c r="A204" s="7">
        <v>180</v>
      </c>
      <c r="B204" s="7">
        <v>10.121294512598809</v>
      </c>
      <c r="C204" s="7">
        <v>1.1517450326611112E-2</v>
      </c>
    </row>
    <row r="205" spans="1:3" x14ac:dyDescent="0.45">
      <c r="A205" s="7">
        <v>181</v>
      </c>
      <c r="B205" s="7">
        <v>10.126698193269107</v>
      </c>
      <c r="C205" s="7">
        <v>2.1733540540083141E-2</v>
      </c>
    </row>
    <row r="206" spans="1:3" x14ac:dyDescent="0.45">
      <c r="A206" s="7">
        <v>182</v>
      </c>
      <c r="B206" s="7">
        <v>10.132101873939407</v>
      </c>
      <c r="C206" s="7">
        <v>1.9729030932673197E-2</v>
      </c>
    </row>
    <row r="207" spans="1:3" x14ac:dyDescent="0.45">
      <c r="A207" s="7">
        <v>183</v>
      </c>
      <c r="B207" s="7">
        <v>10.137505554609707</v>
      </c>
      <c r="C207" s="7">
        <v>2.1321647456948867E-2</v>
      </c>
    </row>
    <row r="208" spans="1:3" x14ac:dyDescent="0.45">
      <c r="A208" s="7">
        <v>184</v>
      </c>
      <c r="B208" s="7">
        <v>10.142909235280007</v>
      </c>
      <c r="C208" s="7">
        <v>2.4287830316993109E-2</v>
      </c>
    </row>
    <row r="209" spans="1:3" x14ac:dyDescent="0.45">
      <c r="A209" s="7">
        <v>185</v>
      </c>
      <c r="B209" s="7">
        <v>10.148312915950305</v>
      </c>
      <c r="C209" s="7">
        <v>1.9767185812572308E-2</v>
      </c>
    </row>
    <row r="210" spans="1:3" x14ac:dyDescent="0.45">
      <c r="A210" s="7">
        <v>186</v>
      </c>
      <c r="B210" s="7">
        <v>10.153716596620605</v>
      </c>
      <c r="C210" s="7">
        <v>2.0408593758045157E-2</v>
      </c>
    </row>
    <row r="211" spans="1:3" x14ac:dyDescent="0.45">
      <c r="A211" s="7">
        <v>187</v>
      </c>
      <c r="B211" s="7">
        <v>10.159120277290905</v>
      </c>
      <c r="C211" s="7">
        <v>2.2642743997431936E-2</v>
      </c>
    </row>
    <row r="212" spans="1:3" x14ac:dyDescent="0.45">
      <c r="A212" s="7">
        <v>188</v>
      </c>
      <c r="B212" s="7">
        <v>10.164523957961205</v>
      </c>
      <c r="C212" s="7">
        <v>2.2788236699399889E-2</v>
      </c>
    </row>
    <row r="213" spans="1:3" x14ac:dyDescent="0.45">
      <c r="A213" s="7">
        <v>189</v>
      </c>
      <c r="B213" s="7">
        <v>10.169927638631505</v>
      </c>
      <c r="C213" s="7">
        <v>2.6080262996654113E-2</v>
      </c>
    </row>
    <row r="214" spans="1:3" x14ac:dyDescent="0.45">
      <c r="A214" s="7">
        <v>190</v>
      </c>
      <c r="B214" s="7">
        <v>10.175331319301803</v>
      </c>
      <c r="C214" s="7">
        <v>2.5479182722786931E-2</v>
      </c>
    </row>
    <row r="215" spans="1:3" x14ac:dyDescent="0.45">
      <c r="A215" s="7">
        <v>191</v>
      </c>
      <c r="B215" s="7">
        <v>10.180734999972103</v>
      </c>
      <c r="C215" s="7">
        <v>2.4448470776224696E-2</v>
      </c>
    </row>
    <row r="216" spans="1:3" x14ac:dyDescent="0.45">
      <c r="A216" s="7">
        <v>192</v>
      </c>
      <c r="B216" s="7">
        <v>10.186138680642403</v>
      </c>
      <c r="C216" s="7">
        <v>2.6743511251156704E-2</v>
      </c>
    </row>
    <row r="217" spans="1:3" x14ac:dyDescent="0.45">
      <c r="A217" s="7">
        <v>193</v>
      </c>
      <c r="B217" s="7">
        <v>10.191542361312703</v>
      </c>
      <c r="C217" s="7">
        <v>2.1156340975027277E-2</v>
      </c>
    </row>
    <row r="218" spans="1:3" x14ac:dyDescent="0.45">
      <c r="A218" s="7">
        <v>194</v>
      </c>
      <c r="B218" s="7">
        <v>10.196946041983001</v>
      </c>
      <c r="C218" s="7">
        <v>2.164417858089962E-2</v>
      </c>
    </row>
    <row r="219" spans="1:3" x14ac:dyDescent="0.45">
      <c r="A219" s="7">
        <v>195</v>
      </c>
      <c r="B219" s="7">
        <v>10.202349722653301</v>
      </c>
      <c r="C219" s="7">
        <v>2.2061236114410576E-2</v>
      </c>
    </row>
    <row r="220" spans="1:3" x14ac:dyDescent="0.45">
      <c r="A220" s="7">
        <v>196</v>
      </c>
      <c r="B220" s="7">
        <v>10.207753403323601</v>
      </c>
      <c r="C220" s="7">
        <v>2.05313542532366E-2</v>
      </c>
    </row>
    <row r="221" spans="1:3" x14ac:dyDescent="0.45">
      <c r="A221" s="7">
        <v>197</v>
      </c>
      <c r="B221" s="7">
        <v>10.213157083993901</v>
      </c>
      <c r="C221" s="7">
        <v>2.1826056450217735E-2</v>
      </c>
    </row>
    <row r="222" spans="1:3" x14ac:dyDescent="0.45">
      <c r="A222" s="7">
        <v>198</v>
      </c>
      <c r="B222" s="7">
        <v>10.2185607646642</v>
      </c>
      <c r="C222" s="7">
        <v>2.4252093475546133E-2</v>
      </c>
    </row>
    <row r="223" spans="1:3" x14ac:dyDescent="0.45">
      <c r="A223" s="7">
        <v>199</v>
      </c>
      <c r="B223" s="7">
        <v>10.223964445334499</v>
      </c>
      <c r="C223" s="7">
        <v>2.1657852943301137E-2</v>
      </c>
    </row>
    <row r="224" spans="1:3" x14ac:dyDescent="0.45">
      <c r="A224" s="7">
        <v>200</v>
      </c>
      <c r="B224" s="7">
        <v>10.229368126004799</v>
      </c>
      <c r="C224" s="7">
        <v>2.1001577207195865E-2</v>
      </c>
    </row>
    <row r="225" spans="1:3" x14ac:dyDescent="0.45">
      <c r="A225" s="7">
        <v>201</v>
      </c>
      <c r="B225" s="7">
        <v>10.234771806675099</v>
      </c>
      <c r="C225" s="7">
        <v>2.3413736915539829E-2</v>
      </c>
    </row>
    <row r="226" spans="1:3" x14ac:dyDescent="0.45">
      <c r="A226" s="7">
        <v>202</v>
      </c>
      <c r="B226" s="7">
        <v>10.240175487345399</v>
      </c>
      <c r="C226" s="7">
        <v>1.965695466748052E-2</v>
      </c>
    </row>
    <row r="227" spans="1:3" x14ac:dyDescent="0.45">
      <c r="A227" s="7">
        <v>203</v>
      </c>
      <c r="B227" s="7">
        <v>10.245579168015698</v>
      </c>
      <c r="C227" s="7">
        <v>2.7849936559547928E-2</v>
      </c>
    </row>
    <row r="228" spans="1:3" x14ac:dyDescent="0.45">
      <c r="A228" s="7">
        <v>204</v>
      </c>
      <c r="B228" s="7">
        <v>10.250982848685997</v>
      </c>
      <c r="C228" s="7">
        <v>3.1180836868081485E-2</v>
      </c>
    </row>
    <row r="229" spans="1:3" x14ac:dyDescent="0.45">
      <c r="A229" s="7">
        <v>205</v>
      </c>
      <c r="B229" s="7">
        <v>10.256386529356297</v>
      </c>
      <c r="C229" s="7">
        <v>3.3281369876128508E-2</v>
      </c>
    </row>
    <row r="230" spans="1:3" x14ac:dyDescent="0.45">
      <c r="A230" s="7">
        <v>206</v>
      </c>
      <c r="B230" s="7">
        <v>10.261790210026597</v>
      </c>
      <c r="C230" s="7">
        <v>4.2618810567823573E-2</v>
      </c>
    </row>
    <row r="231" spans="1:3" x14ac:dyDescent="0.45">
      <c r="A231" s="7">
        <v>207</v>
      </c>
      <c r="B231" s="7">
        <v>10.267193890696896</v>
      </c>
      <c r="C231" s="7">
        <v>4.7044774376633569E-2</v>
      </c>
    </row>
    <row r="232" spans="1:3" x14ac:dyDescent="0.45">
      <c r="A232" s="7">
        <v>208</v>
      </c>
      <c r="B232" s="7">
        <v>10.272597571367196</v>
      </c>
      <c r="C232" s="7">
        <v>5.2949962848932941E-2</v>
      </c>
    </row>
    <row r="233" spans="1:3" x14ac:dyDescent="0.45">
      <c r="A233" s="7">
        <v>209</v>
      </c>
      <c r="B233" s="7">
        <v>10.278001252037495</v>
      </c>
      <c r="C233" s="7">
        <v>5.5253701129762689E-2</v>
      </c>
    </row>
    <row r="234" spans="1:3" x14ac:dyDescent="0.45">
      <c r="A234" s="7">
        <v>210</v>
      </c>
      <c r="B234" s="7">
        <v>10.283404932707795</v>
      </c>
      <c r="C234" s="7">
        <v>6.2297441966530087E-2</v>
      </c>
    </row>
    <row r="235" spans="1:3" x14ac:dyDescent="0.45">
      <c r="A235" s="7">
        <v>211</v>
      </c>
      <c r="B235" s="7">
        <v>10.288808613378094</v>
      </c>
      <c r="C235" s="7">
        <v>6.4894316004270536E-2</v>
      </c>
    </row>
    <row r="236" spans="1:3" x14ac:dyDescent="0.45">
      <c r="A236" s="7">
        <v>212</v>
      </c>
      <c r="B236" s="7">
        <v>10.294212294048394</v>
      </c>
      <c r="C236" s="7">
        <v>7.1026177606489327E-2</v>
      </c>
    </row>
    <row r="237" spans="1:3" x14ac:dyDescent="0.45">
      <c r="A237" s="7">
        <v>213</v>
      </c>
      <c r="B237" s="7">
        <v>10.299615974718694</v>
      </c>
      <c r="C237" s="7">
        <v>7.8085083086692819E-2</v>
      </c>
    </row>
    <row r="238" spans="1:3" x14ac:dyDescent="0.45">
      <c r="A238" s="7">
        <v>214</v>
      </c>
      <c r="B238" s="7">
        <v>10.305019655388993</v>
      </c>
      <c r="C238" s="7">
        <v>7.9504192102373139E-2</v>
      </c>
    </row>
    <row r="239" spans="1:3" x14ac:dyDescent="0.45">
      <c r="A239" s="7">
        <v>215</v>
      </c>
      <c r="B239" s="7">
        <v>10.310423336059293</v>
      </c>
      <c r="C239" s="7">
        <v>8.090776385090237E-2</v>
      </c>
    </row>
    <row r="240" spans="1:3" x14ac:dyDescent="0.45">
      <c r="A240" s="7">
        <v>216</v>
      </c>
      <c r="B240" s="7">
        <v>10.315827016729592</v>
      </c>
      <c r="C240" s="7">
        <v>8.1563780376576744E-2</v>
      </c>
    </row>
    <row r="241" spans="1:3" x14ac:dyDescent="0.45">
      <c r="A241" s="7">
        <v>217</v>
      </c>
      <c r="B241" s="7">
        <v>10.321230697399892</v>
      </c>
      <c r="C241" s="7">
        <v>7.7501726935203408E-2</v>
      </c>
    </row>
    <row r="242" spans="1:3" x14ac:dyDescent="0.45">
      <c r="A242" s="7">
        <v>218</v>
      </c>
      <c r="B242" s="7">
        <v>10.326634378070191</v>
      </c>
      <c r="C242" s="7">
        <v>7.1732326402241142E-2</v>
      </c>
    </row>
    <row r="243" spans="1:3" x14ac:dyDescent="0.45">
      <c r="A243" s="7">
        <v>219</v>
      </c>
      <c r="B243" s="7">
        <v>10.332038058740491</v>
      </c>
      <c r="C243" s="7">
        <v>6.7212239884582914E-2</v>
      </c>
    </row>
    <row r="244" spans="1:3" x14ac:dyDescent="0.45">
      <c r="A244" s="7">
        <v>220</v>
      </c>
      <c r="B244" s="7">
        <v>10.33744173941079</v>
      </c>
      <c r="C244" s="7">
        <v>7.527015552435401E-2</v>
      </c>
    </row>
    <row r="245" spans="1:3" x14ac:dyDescent="0.45">
      <c r="A245" s="7">
        <v>221</v>
      </c>
      <c r="B245" s="7">
        <v>10.34284542008109</v>
      </c>
      <c r="C245" s="7">
        <v>6.9896522479542256E-2</v>
      </c>
    </row>
    <row r="246" spans="1:3" x14ac:dyDescent="0.45">
      <c r="A246" s="7">
        <v>222</v>
      </c>
      <c r="B246" s="7">
        <v>10.348249100751389</v>
      </c>
      <c r="C246" s="7">
        <v>6.7313294951162561E-2</v>
      </c>
    </row>
    <row r="247" spans="1:3" x14ac:dyDescent="0.45">
      <c r="A247" s="7">
        <v>223</v>
      </c>
      <c r="B247" s="7">
        <v>10.353652781421689</v>
      </c>
      <c r="C247" s="7">
        <v>6.6364097797107391E-2</v>
      </c>
    </row>
    <row r="248" spans="1:3" x14ac:dyDescent="0.45">
      <c r="A248" s="7">
        <v>224</v>
      </c>
      <c r="B248" s="7">
        <v>10.359056462091988</v>
      </c>
      <c r="C248" s="7">
        <v>6.4057870163198416E-2</v>
      </c>
    </row>
    <row r="249" spans="1:3" x14ac:dyDescent="0.45">
      <c r="A249" s="7">
        <v>225</v>
      </c>
      <c r="B249" s="7">
        <v>10.364460142762288</v>
      </c>
      <c r="C249" s="7">
        <v>6.1475233367618287E-2</v>
      </c>
    </row>
    <row r="250" spans="1:3" x14ac:dyDescent="0.45">
      <c r="A250" s="7">
        <v>226</v>
      </c>
      <c r="B250" s="7">
        <v>10.369863823432588</v>
      </c>
      <c r="C250" s="7">
        <v>6.5251480498792702E-2</v>
      </c>
    </row>
    <row r="251" spans="1:3" x14ac:dyDescent="0.45">
      <c r="A251" s="7">
        <v>227</v>
      </c>
      <c r="B251" s="7">
        <v>10.375267504102887</v>
      </c>
      <c r="C251" s="7">
        <v>7.1416052229682947E-2</v>
      </c>
    </row>
    <row r="252" spans="1:3" x14ac:dyDescent="0.45">
      <c r="A252" s="7">
        <v>228</v>
      </c>
      <c r="B252" s="7">
        <v>10.380671184773187</v>
      </c>
      <c r="C252" s="7">
        <v>7.0475241574280645E-2</v>
      </c>
    </row>
    <row r="253" spans="1:3" x14ac:dyDescent="0.45">
      <c r="A253" s="7">
        <v>229</v>
      </c>
      <c r="B253" s="7">
        <v>10.386074865443486</v>
      </c>
      <c r="C253" s="7">
        <v>7.2417862470381067E-2</v>
      </c>
    </row>
    <row r="254" spans="1:3" x14ac:dyDescent="0.45">
      <c r="A254" s="7">
        <v>230</v>
      </c>
      <c r="B254" s="7">
        <v>10.391478546113786</v>
      </c>
      <c r="C254" s="7">
        <v>7.0252424517486034E-2</v>
      </c>
    </row>
    <row r="255" spans="1:3" x14ac:dyDescent="0.45">
      <c r="A255" s="7">
        <v>231</v>
      </c>
      <c r="B255" s="7">
        <v>10.396882226784086</v>
      </c>
      <c r="C255" s="7">
        <v>7.4047549936928192E-2</v>
      </c>
    </row>
    <row r="256" spans="1:3" x14ac:dyDescent="0.45">
      <c r="A256" s="7">
        <v>232</v>
      </c>
      <c r="B256" s="7">
        <v>10.402285907454385</v>
      </c>
      <c r="C256" s="7">
        <v>7.7421673612397157E-2</v>
      </c>
    </row>
    <row r="257" spans="1:3" x14ac:dyDescent="0.45">
      <c r="A257" s="7">
        <v>233</v>
      </c>
      <c r="B257" s="7">
        <v>10.407689588124684</v>
      </c>
      <c r="C257" s="7">
        <v>7.6224274907270129E-2</v>
      </c>
    </row>
    <row r="258" spans="1:3" x14ac:dyDescent="0.45">
      <c r="A258" s="7">
        <v>234</v>
      </c>
      <c r="B258" s="7">
        <v>10.413093268794984</v>
      </c>
      <c r="C258" s="7">
        <v>7.9707560555876356E-2</v>
      </c>
    </row>
    <row r="259" spans="1:3" x14ac:dyDescent="0.45">
      <c r="A259" s="7">
        <v>235</v>
      </c>
      <c r="B259" s="7">
        <v>10.418496949465284</v>
      </c>
      <c r="C259" s="7">
        <v>8.0028690520469681E-2</v>
      </c>
    </row>
    <row r="260" spans="1:3" x14ac:dyDescent="0.45">
      <c r="A260" s="7">
        <v>236</v>
      </c>
      <c r="B260" s="7">
        <v>10.423900630135584</v>
      </c>
      <c r="C260" s="7">
        <v>7.3962940860468507E-2</v>
      </c>
    </row>
    <row r="261" spans="1:3" x14ac:dyDescent="0.45">
      <c r="A261" s="7">
        <v>237</v>
      </c>
      <c r="B261" s="7">
        <v>10.429304310805882</v>
      </c>
      <c r="C261" s="7">
        <v>7.7214230347081525E-2</v>
      </c>
    </row>
    <row r="262" spans="1:3" x14ac:dyDescent="0.45">
      <c r="A262" s="7">
        <v>238</v>
      </c>
      <c r="B262" s="7">
        <v>10.434707991476182</v>
      </c>
      <c r="C262" s="7">
        <v>7.4733529917512698E-2</v>
      </c>
    </row>
    <row r="263" spans="1:3" x14ac:dyDescent="0.45">
      <c r="A263" s="7">
        <v>239</v>
      </c>
      <c r="B263" s="7">
        <v>10.440111672146482</v>
      </c>
      <c r="C263" s="7">
        <v>7.3141452010540675E-2</v>
      </c>
    </row>
    <row r="264" spans="1:3" x14ac:dyDescent="0.45">
      <c r="A264" s="7">
        <v>240</v>
      </c>
      <c r="B264" s="7">
        <v>10.445515352816782</v>
      </c>
      <c r="C264" s="7">
        <v>7.4670208115884762E-2</v>
      </c>
    </row>
    <row r="265" spans="1:3" x14ac:dyDescent="0.45">
      <c r="A265" s="7">
        <v>241</v>
      </c>
      <c r="B265" s="7">
        <v>10.450919033487082</v>
      </c>
      <c r="C265" s="7">
        <v>7.3198768769813682E-2</v>
      </c>
    </row>
    <row r="266" spans="1:3" x14ac:dyDescent="0.45">
      <c r="A266" s="7">
        <v>242</v>
      </c>
      <c r="B266" s="7">
        <v>10.45632271415738</v>
      </c>
      <c r="C266" s="7">
        <v>6.8171341161010091E-2</v>
      </c>
    </row>
    <row r="267" spans="1:3" x14ac:dyDescent="0.45">
      <c r="A267" s="7">
        <v>243</v>
      </c>
      <c r="B267" s="7">
        <v>10.46172639482768</v>
      </c>
      <c r="C267" s="7">
        <v>6.6843607354263312E-2</v>
      </c>
    </row>
    <row r="268" spans="1:3" x14ac:dyDescent="0.45">
      <c r="A268" s="7">
        <v>244</v>
      </c>
      <c r="B268" s="7">
        <v>10.46713007549798</v>
      </c>
      <c r="C268" s="7">
        <v>6.2830524330101056E-2</v>
      </c>
    </row>
    <row r="269" spans="1:3" x14ac:dyDescent="0.45">
      <c r="A269" s="7">
        <v>245</v>
      </c>
      <c r="B269" s="7">
        <v>10.47253375616828</v>
      </c>
      <c r="C269" s="7">
        <v>5.3866263245341273E-2</v>
      </c>
    </row>
    <row r="270" spans="1:3" x14ac:dyDescent="0.45">
      <c r="A270" s="7">
        <v>246</v>
      </c>
      <c r="B270" s="7">
        <v>10.477937436838578</v>
      </c>
      <c r="C270" s="7">
        <v>4.9025623008175145E-2</v>
      </c>
    </row>
    <row r="271" spans="1:3" x14ac:dyDescent="0.45">
      <c r="A271" s="7">
        <v>247</v>
      </c>
      <c r="B271" s="7">
        <v>10.483341117508878</v>
      </c>
      <c r="C271" s="7">
        <v>3.3438390337730439E-2</v>
      </c>
    </row>
    <row r="272" spans="1:3" x14ac:dyDescent="0.45">
      <c r="A272" s="7">
        <v>248</v>
      </c>
      <c r="B272" s="7">
        <v>10.488744798179178</v>
      </c>
      <c r="C272" s="7">
        <v>1.6651454482623507E-2</v>
      </c>
    </row>
    <row r="273" spans="1:3" x14ac:dyDescent="0.45">
      <c r="A273" s="7">
        <v>249</v>
      </c>
      <c r="B273" s="7">
        <v>10.494148478849478</v>
      </c>
      <c r="C273" s="7">
        <v>6.690956791727487E-3</v>
      </c>
    </row>
    <row r="274" spans="1:3" x14ac:dyDescent="0.45">
      <c r="A274" s="7">
        <v>250</v>
      </c>
      <c r="B274" s="7">
        <v>10.499552159519776</v>
      </c>
      <c r="C274" s="7">
        <v>-5.6979398181429275E-3</v>
      </c>
    </row>
    <row r="275" spans="1:3" x14ac:dyDescent="0.45">
      <c r="A275" s="7">
        <v>251</v>
      </c>
      <c r="B275" s="7">
        <v>10.504955840190076</v>
      </c>
      <c r="C275" s="7">
        <v>-6.7060090154047458E-3</v>
      </c>
    </row>
    <row r="276" spans="1:3" x14ac:dyDescent="0.45">
      <c r="A276" s="7">
        <v>252</v>
      </c>
      <c r="B276" s="7">
        <v>10.510359520860376</v>
      </c>
      <c r="C276" s="7">
        <v>-1.5508374931787472E-2</v>
      </c>
    </row>
    <row r="277" spans="1:3" x14ac:dyDescent="0.45">
      <c r="A277" s="7">
        <v>253</v>
      </c>
      <c r="B277" s="7">
        <v>10.515763201530676</v>
      </c>
      <c r="C277" s="7">
        <v>-1.7127259316705334E-2</v>
      </c>
    </row>
    <row r="278" spans="1:3" x14ac:dyDescent="0.45">
      <c r="A278" s="7">
        <v>254</v>
      </c>
      <c r="B278" s="7">
        <v>10.521166882200976</v>
      </c>
      <c r="C278" s="7">
        <v>-1.552416561066039E-2</v>
      </c>
    </row>
    <row r="279" spans="1:3" x14ac:dyDescent="0.45">
      <c r="A279" s="7">
        <v>255</v>
      </c>
      <c r="B279" s="7">
        <v>10.526570562871274</v>
      </c>
      <c r="C279" s="7">
        <v>-1.5929542942176411E-2</v>
      </c>
    </row>
    <row r="280" spans="1:3" x14ac:dyDescent="0.45">
      <c r="A280" s="7">
        <v>256</v>
      </c>
      <c r="B280" s="7">
        <v>10.531974243541574</v>
      </c>
      <c r="C280" s="7">
        <v>-1.7390483334370543E-2</v>
      </c>
    </row>
    <row r="281" spans="1:3" x14ac:dyDescent="0.45">
      <c r="A281" s="7">
        <v>257</v>
      </c>
      <c r="B281" s="7">
        <v>10.537377924211874</v>
      </c>
      <c r="C281" s="7">
        <v>-2.0760899101832209E-2</v>
      </c>
    </row>
    <row r="282" spans="1:3" x14ac:dyDescent="0.45">
      <c r="A282" s="7">
        <v>258</v>
      </c>
      <c r="B282" s="7">
        <v>10.542781604882174</v>
      </c>
      <c r="C282" s="7">
        <v>-2.6950285389707673E-2</v>
      </c>
    </row>
    <row r="283" spans="1:3" x14ac:dyDescent="0.45">
      <c r="A283" s="7">
        <v>259</v>
      </c>
      <c r="B283" s="7">
        <v>10.548185285552474</v>
      </c>
      <c r="C283" s="7">
        <v>-3.1459935684702955E-2</v>
      </c>
    </row>
    <row r="284" spans="1:3" x14ac:dyDescent="0.45">
      <c r="A284" s="7">
        <v>260</v>
      </c>
      <c r="B284" s="7">
        <v>10.553588966222772</v>
      </c>
      <c r="C284" s="7">
        <v>-3.7215714729507354E-2</v>
      </c>
    </row>
    <row r="285" spans="1:3" x14ac:dyDescent="0.45">
      <c r="A285" s="7">
        <v>261</v>
      </c>
      <c r="B285" s="7">
        <v>10.558992646893072</v>
      </c>
      <c r="C285" s="7">
        <v>-3.7216167341425077E-2</v>
      </c>
    </row>
    <row r="286" spans="1:3" x14ac:dyDescent="0.45">
      <c r="A286" s="7">
        <v>262</v>
      </c>
      <c r="B286" s="7">
        <v>10.564396327563372</v>
      </c>
      <c r="C286" s="7">
        <v>-4.2646791659088024E-2</v>
      </c>
    </row>
    <row r="287" spans="1:3" x14ac:dyDescent="0.45">
      <c r="A287" s="7">
        <v>263</v>
      </c>
      <c r="B287" s="7">
        <v>10.569800008233672</v>
      </c>
      <c r="C287" s="7">
        <v>-4.8104361802092654E-2</v>
      </c>
    </row>
    <row r="288" spans="1:3" x14ac:dyDescent="0.45">
      <c r="A288" s="7">
        <v>264</v>
      </c>
      <c r="B288" s="7">
        <v>10.575203688903972</v>
      </c>
      <c r="C288" s="7">
        <v>-5.1596742341455837E-2</v>
      </c>
    </row>
    <row r="289" spans="1:3" x14ac:dyDescent="0.45">
      <c r="A289" s="7">
        <v>265</v>
      </c>
      <c r="B289" s="7">
        <v>10.58060736957427</v>
      </c>
      <c r="C289" s="7">
        <v>-5.2144416581530351E-2</v>
      </c>
    </row>
    <row r="290" spans="1:3" x14ac:dyDescent="0.45">
      <c r="A290" s="7">
        <v>266</v>
      </c>
      <c r="B290" s="7">
        <v>10.58601105024457</v>
      </c>
      <c r="C290" s="7">
        <v>-5.6397918579873973E-2</v>
      </c>
    </row>
    <row r="291" spans="1:3" x14ac:dyDescent="0.45">
      <c r="A291" s="7">
        <v>267</v>
      </c>
      <c r="B291" s="7">
        <v>10.59141473091487</v>
      </c>
      <c r="C291" s="7">
        <v>-5.9825314021962228E-2</v>
      </c>
    </row>
    <row r="292" spans="1:3" x14ac:dyDescent="0.45">
      <c r="A292" s="7">
        <v>268</v>
      </c>
      <c r="B292" s="7">
        <v>10.59681841158517</v>
      </c>
      <c r="C292" s="7">
        <v>-5.8581094869904149E-2</v>
      </c>
    </row>
    <row r="293" spans="1:3" x14ac:dyDescent="0.45">
      <c r="A293" s="7">
        <v>269</v>
      </c>
      <c r="B293" s="7">
        <v>10.60222209225547</v>
      </c>
      <c r="C293" s="7">
        <v>-6.2210622100487001E-2</v>
      </c>
    </row>
    <row r="294" spans="1:3" x14ac:dyDescent="0.45">
      <c r="A294" s="7">
        <v>270</v>
      </c>
      <c r="B294" s="7">
        <v>10.607625772925768</v>
      </c>
      <c r="C294" s="7">
        <v>-5.9866207611831257E-2</v>
      </c>
    </row>
    <row r="295" spans="1:3" x14ac:dyDescent="0.45">
      <c r="A295" s="7">
        <v>271</v>
      </c>
      <c r="B295" s="7">
        <v>10.613029453596068</v>
      </c>
      <c r="C295" s="7">
        <v>-5.7607416334070294E-2</v>
      </c>
    </row>
    <row r="296" spans="1:3" x14ac:dyDescent="0.45">
      <c r="A296" s="7">
        <v>272</v>
      </c>
      <c r="B296" s="7">
        <v>10.618433134266368</v>
      </c>
      <c r="C296" s="7">
        <v>-5.3727760964468629E-2</v>
      </c>
    </row>
    <row r="297" spans="1:3" x14ac:dyDescent="0.45">
      <c r="A297" s="7">
        <v>273</v>
      </c>
      <c r="B297" s="7">
        <v>10.623836814936668</v>
      </c>
      <c r="C297" s="7">
        <v>-5.3212437272826207E-2</v>
      </c>
    </row>
    <row r="298" spans="1:3" x14ac:dyDescent="0.45">
      <c r="A298" s="7">
        <v>274</v>
      </c>
      <c r="B298" s="7">
        <v>10.629240495606966</v>
      </c>
      <c r="C298" s="7">
        <v>-5.3548539530817507E-2</v>
      </c>
    </row>
    <row r="299" spans="1:3" x14ac:dyDescent="0.45">
      <c r="A299" s="7">
        <v>275</v>
      </c>
      <c r="B299" s="7">
        <v>10.634644176277266</v>
      </c>
      <c r="C299" s="7">
        <v>-5.4062608503441467E-2</v>
      </c>
    </row>
    <row r="300" spans="1:3" x14ac:dyDescent="0.45">
      <c r="A300" s="7">
        <v>276</v>
      </c>
      <c r="B300" s="7">
        <v>10.640047856947566</v>
      </c>
      <c r="C300" s="7">
        <v>-5.7512048230995205E-2</v>
      </c>
    </row>
    <row r="301" spans="1:3" x14ac:dyDescent="0.45">
      <c r="A301" s="7">
        <v>277</v>
      </c>
      <c r="B301" s="7">
        <v>10.645451537617866</v>
      </c>
      <c r="C301" s="7">
        <v>-5.7176650866272993E-2</v>
      </c>
    </row>
    <row r="302" spans="1:3" x14ac:dyDescent="0.45">
      <c r="A302" s="7">
        <v>278</v>
      </c>
      <c r="B302" s="7">
        <v>10.650855218288164</v>
      </c>
      <c r="C302" s="7">
        <v>-5.9434052244977664E-2</v>
      </c>
    </row>
    <row r="303" spans="1:3" x14ac:dyDescent="0.45">
      <c r="A303" s="7">
        <v>279</v>
      </c>
      <c r="B303" s="7">
        <v>10.656258898958464</v>
      </c>
      <c r="C303" s="7">
        <v>-5.9924210871393768E-2</v>
      </c>
    </row>
    <row r="304" spans="1:3" x14ac:dyDescent="0.45">
      <c r="A304" s="7">
        <v>280</v>
      </c>
      <c r="B304" s="7">
        <v>10.661662579628764</v>
      </c>
      <c r="C304" s="7">
        <v>-6.213204342066625E-2</v>
      </c>
    </row>
    <row r="305" spans="1:3" x14ac:dyDescent="0.45">
      <c r="A305" s="7">
        <v>281</v>
      </c>
      <c r="B305" s="7">
        <v>10.667066260299064</v>
      </c>
      <c r="C305" s="7">
        <v>-6.1397457573120207E-2</v>
      </c>
    </row>
    <row r="306" spans="1:3" x14ac:dyDescent="0.45">
      <c r="A306" s="7">
        <v>282</v>
      </c>
      <c r="B306" s="7">
        <v>10.672469940969364</v>
      </c>
      <c r="C306" s="7">
        <v>-6.3387996821536063E-2</v>
      </c>
    </row>
    <row r="307" spans="1:3" x14ac:dyDescent="0.45">
      <c r="A307" s="7">
        <v>283</v>
      </c>
      <c r="B307" s="7">
        <v>10.677873621639662</v>
      </c>
      <c r="C307" s="7">
        <v>-6.3841111367167969E-2</v>
      </c>
    </row>
    <row r="308" spans="1:3" x14ac:dyDescent="0.45">
      <c r="A308" s="7">
        <v>284</v>
      </c>
      <c r="B308" s="7">
        <v>10.683277302309962</v>
      </c>
      <c r="C308" s="7">
        <v>-6.0049324944367655E-2</v>
      </c>
    </row>
    <row r="309" spans="1:3" x14ac:dyDescent="0.45">
      <c r="A309" s="7">
        <v>285</v>
      </c>
      <c r="B309" s="7">
        <v>10.688680982980262</v>
      </c>
      <c r="C309" s="7">
        <v>-5.9458060291037285E-2</v>
      </c>
    </row>
    <row r="310" spans="1:3" x14ac:dyDescent="0.45">
      <c r="A310" s="7">
        <v>286</v>
      </c>
      <c r="B310" s="7">
        <v>10.694084663650562</v>
      </c>
      <c r="C310" s="7">
        <v>-6.085284842080263E-2</v>
      </c>
    </row>
    <row r="311" spans="1:3" x14ac:dyDescent="0.45">
      <c r="A311" s="7">
        <v>287</v>
      </c>
      <c r="B311" s="7">
        <v>10.699488344320862</v>
      </c>
      <c r="C311" s="7">
        <v>-6.3224327701595584E-2</v>
      </c>
    </row>
    <row r="312" spans="1:3" x14ac:dyDescent="0.45">
      <c r="A312" s="7">
        <v>288</v>
      </c>
      <c r="B312" s="7">
        <v>10.70489202499116</v>
      </c>
      <c r="C312" s="7">
        <v>-6.6971404989544681E-2</v>
      </c>
    </row>
    <row r="313" spans="1:3" x14ac:dyDescent="0.45">
      <c r="A313" s="7">
        <v>289</v>
      </c>
      <c r="B313" s="7">
        <v>10.71029570566146</v>
      </c>
      <c r="C313" s="7">
        <v>-7.1823493823806928E-2</v>
      </c>
    </row>
    <row r="314" spans="1:3" x14ac:dyDescent="0.45">
      <c r="A314" s="7">
        <v>290</v>
      </c>
      <c r="B314" s="7">
        <v>10.71569938633176</v>
      </c>
      <c r="C314" s="7">
        <v>-6.9893609229238152E-2</v>
      </c>
    </row>
    <row r="315" spans="1:3" x14ac:dyDescent="0.45">
      <c r="A315" s="7">
        <v>291</v>
      </c>
      <c r="B315" s="7">
        <v>10.72110306700206</v>
      </c>
      <c r="C315" s="7">
        <v>-6.546856085338959E-2</v>
      </c>
    </row>
    <row r="316" spans="1:3" x14ac:dyDescent="0.45">
      <c r="A316" s="7">
        <v>292</v>
      </c>
      <c r="B316" s="7">
        <v>10.72650674767236</v>
      </c>
      <c r="C316" s="7">
        <v>-6.5771089169762931E-2</v>
      </c>
    </row>
    <row r="317" spans="1:3" x14ac:dyDescent="0.45">
      <c r="A317" s="7">
        <v>293</v>
      </c>
      <c r="B317" s="7">
        <v>10.731910428342658</v>
      </c>
      <c r="C317" s="7">
        <v>-8.9203507144201666E-2</v>
      </c>
    </row>
    <row r="318" spans="1:3" x14ac:dyDescent="0.45">
      <c r="A318" s="7">
        <v>294</v>
      </c>
      <c r="B318" s="7">
        <v>10.737314109012958</v>
      </c>
      <c r="C318" s="7">
        <v>-0.1857813498293055</v>
      </c>
    </row>
    <row r="319" spans="1:3" x14ac:dyDescent="0.45">
      <c r="A319" s="7">
        <v>295</v>
      </c>
      <c r="B319" s="7">
        <v>10.742717789683258</v>
      </c>
      <c r="C319" s="7">
        <v>-0.10650183150306347</v>
      </c>
    </row>
    <row r="320" spans="1:3" x14ac:dyDescent="0.45">
      <c r="A320" s="7">
        <v>296</v>
      </c>
      <c r="B320" s="7">
        <v>10.748121470353558</v>
      </c>
      <c r="C320" s="7">
        <v>-9.8918006584703733E-2</v>
      </c>
    </row>
    <row r="321" spans="1:3" x14ac:dyDescent="0.45">
      <c r="A321" s="7">
        <v>297</v>
      </c>
      <c r="B321" s="7">
        <v>10.753525151023858</v>
      </c>
      <c r="C321" s="7">
        <v>-8.1690185364848844E-2</v>
      </c>
    </row>
    <row r="322" spans="1:3" x14ac:dyDescent="0.45">
      <c r="A322" s="7">
        <v>298</v>
      </c>
      <c r="B322" s="7">
        <v>10.758928831694156</v>
      </c>
      <c r="C322" s="7">
        <v>-5.3237920321642207E-2</v>
      </c>
    </row>
    <row r="323" spans="1:3" x14ac:dyDescent="0.45">
      <c r="A323" s="7">
        <v>299</v>
      </c>
      <c r="B323" s="7">
        <v>10.764332512364456</v>
      </c>
      <c r="C323" s="7">
        <v>-5.1605060281529447E-2</v>
      </c>
    </row>
    <row r="324" spans="1:3" x14ac:dyDescent="0.45">
      <c r="A324" s="7">
        <v>300</v>
      </c>
      <c r="B324" s="7">
        <v>10.769736193034756</v>
      </c>
      <c r="C324" s="7">
        <v>-4.8850497600826159E-2</v>
      </c>
    </row>
    <row r="325" spans="1:3" x14ac:dyDescent="0.45">
      <c r="A325" s="7">
        <v>301</v>
      </c>
      <c r="B325" s="7">
        <v>10.775139873705056</v>
      </c>
      <c r="C325" s="7">
        <v>-5.4408742896006501E-2</v>
      </c>
    </row>
    <row r="326" spans="1:3" x14ac:dyDescent="0.45">
      <c r="A326" s="7">
        <v>302</v>
      </c>
      <c r="B326" s="7">
        <v>10.780543554375354</v>
      </c>
      <c r="C326" s="7">
        <v>-5.3165687237404669E-2</v>
      </c>
    </row>
    <row r="327" spans="1:3" x14ac:dyDescent="0.45">
      <c r="A327" s="7">
        <v>303</v>
      </c>
      <c r="B327" s="7">
        <v>10.785947235045654</v>
      </c>
      <c r="C327" s="7">
        <v>-5.587486371986472E-2</v>
      </c>
    </row>
    <row r="328" spans="1:3" x14ac:dyDescent="0.45">
      <c r="A328" s="7">
        <v>304</v>
      </c>
      <c r="B328" s="7">
        <v>10.791350915715954</v>
      </c>
      <c r="C328" s="7">
        <v>-6.1453576115111375E-2</v>
      </c>
    </row>
    <row r="329" spans="1:3" x14ac:dyDescent="0.45">
      <c r="A329" s="7">
        <v>305</v>
      </c>
      <c r="B329" s="7">
        <v>10.796754596386254</v>
      </c>
      <c r="C329" s="7">
        <v>-5.773093967110654E-2</v>
      </c>
    </row>
    <row r="330" spans="1:3" x14ac:dyDescent="0.45">
      <c r="A330" s="7">
        <v>306</v>
      </c>
      <c r="B330" s="7">
        <v>10.802158277056552</v>
      </c>
      <c r="C330" s="7">
        <v>-6.1358267029977043E-2</v>
      </c>
    </row>
    <row r="331" spans="1:3" x14ac:dyDescent="0.45">
      <c r="A331" s="7">
        <v>307</v>
      </c>
      <c r="B331" s="7">
        <v>10.807561957726852</v>
      </c>
      <c r="C331" s="7">
        <v>-6.1580924518276348E-2</v>
      </c>
    </row>
    <row r="332" spans="1:3" x14ac:dyDescent="0.45">
      <c r="A332" s="7">
        <v>308</v>
      </c>
      <c r="B332" s="7">
        <v>10.812965638397152</v>
      </c>
      <c r="C332" s="7">
        <v>-6.200166998722878E-2</v>
      </c>
    </row>
    <row r="333" spans="1:3" x14ac:dyDescent="0.45">
      <c r="A333" s="7">
        <v>309</v>
      </c>
      <c r="B333" s="7">
        <v>10.818369319067452</v>
      </c>
      <c r="C333" s="7">
        <v>-6.530792672279162E-2</v>
      </c>
    </row>
    <row r="334" spans="1:3" x14ac:dyDescent="0.45">
      <c r="A334" s="7">
        <v>310</v>
      </c>
      <c r="B334" s="7">
        <v>10.823772999737752</v>
      </c>
      <c r="C334" s="7">
        <v>-6.3511201353223967E-2</v>
      </c>
    </row>
    <row r="335" spans="1:3" x14ac:dyDescent="0.45">
      <c r="A335" s="7">
        <v>311</v>
      </c>
      <c r="B335" s="7">
        <v>10.82917668040805</v>
      </c>
      <c r="C335" s="7">
        <v>-6.1218144727563484E-2</v>
      </c>
    </row>
    <row r="336" spans="1:3" x14ac:dyDescent="0.45">
      <c r="A336" s="7">
        <v>312</v>
      </c>
      <c r="B336" s="7">
        <v>10.83458036107835</v>
      </c>
      <c r="C336" s="7">
        <v>-5.852410555930021E-2</v>
      </c>
    </row>
    <row r="337" spans="1:3" x14ac:dyDescent="0.45">
      <c r="A337" s="7">
        <v>313</v>
      </c>
      <c r="B337" s="7">
        <v>10.83998404174865</v>
      </c>
      <c r="C337" s="7">
        <v>-6.3509996747638908E-2</v>
      </c>
    </row>
    <row r="338" spans="1:3" x14ac:dyDescent="0.45">
      <c r="A338" s="7">
        <v>314</v>
      </c>
      <c r="B338" s="7">
        <v>10.84538772241895</v>
      </c>
      <c r="C338" s="7">
        <v>-6.3996898413462233E-2</v>
      </c>
    </row>
    <row r="339" spans="1:3" x14ac:dyDescent="0.45">
      <c r="A339" s="7">
        <v>315</v>
      </c>
      <c r="B339" s="7">
        <v>10.85079140308925</v>
      </c>
      <c r="C339" s="7">
        <v>-6.2049812464424647E-2</v>
      </c>
    </row>
    <row r="340" spans="1:3" ht="14.65" thickBot="1" x14ac:dyDescent="0.5">
      <c r="A340" s="8">
        <v>316</v>
      </c>
      <c r="B340" s="8">
        <v>10.856195083759548</v>
      </c>
      <c r="C340" s="8">
        <v>-6.3335888700528642E-2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3B97-5290-4CF5-979C-F3C5DD45EBFE}">
  <dimension ref="A1:I340"/>
  <sheetViews>
    <sheetView workbookViewId="0">
      <selection sqref="A1:I340"/>
    </sheetView>
  </sheetViews>
  <sheetFormatPr defaultRowHeight="14.25" x14ac:dyDescent="0.45"/>
  <sheetData>
    <row r="1" spans="1:9" x14ac:dyDescent="0.45">
      <c r="A1" t="s">
        <v>13</v>
      </c>
    </row>
    <row r="2" spans="1:9" ht="14.65" thickBot="1" x14ac:dyDescent="0.5"/>
    <row r="3" spans="1:9" x14ac:dyDescent="0.45">
      <c r="A3" s="10" t="s">
        <v>14</v>
      </c>
      <c r="B3" s="10"/>
    </row>
    <row r="4" spans="1:9" x14ac:dyDescent="0.45">
      <c r="A4" s="7" t="s">
        <v>15</v>
      </c>
      <c r="B4" s="7">
        <v>0.9947250386329205</v>
      </c>
    </row>
    <row r="5" spans="1:9" x14ac:dyDescent="0.45">
      <c r="A5" s="7" t="s">
        <v>16</v>
      </c>
      <c r="B5" s="7">
        <v>0.98947790248326517</v>
      </c>
    </row>
    <row r="6" spans="1:9" x14ac:dyDescent="0.45">
      <c r="A6" s="7" t="s">
        <v>17</v>
      </c>
      <c r="B6" s="7">
        <v>0.98944439261856221</v>
      </c>
    </row>
    <row r="7" spans="1:9" x14ac:dyDescent="0.45">
      <c r="A7" s="7" t="s">
        <v>18</v>
      </c>
      <c r="B7" s="7">
        <v>5.099302667295641E-2</v>
      </c>
    </row>
    <row r="8" spans="1:9" ht="14.65" thickBot="1" x14ac:dyDescent="0.5">
      <c r="A8" s="8" t="s">
        <v>19</v>
      </c>
      <c r="B8" s="8">
        <v>316</v>
      </c>
    </row>
    <row r="10" spans="1:9" ht="14.65" thickBot="1" x14ac:dyDescent="0.5">
      <c r="A10" t="s">
        <v>20</v>
      </c>
    </row>
    <row r="11" spans="1:9" x14ac:dyDescent="0.45">
      <c r="A11" s="9"/>
      <c r="B11" s="9" t="s">
        <v>25</v>
      </c>
      <c r="C11" s="9" t="s">
        <v>26</v>
      </c>
      <c r="D11" s="9" t="s">
        <v>27</v>
      </c>
      <c r="E11" s="9" t="s">
        <v>28</v>
      </c>
      <c r="F11" s="9" t="s">
        <v>29</v>
      </c>
    </row>
    <row r="12" spans="1:9" x14ac:dyDescent="0.45">
      <c r="A12" s="7" t="s">
        <v>21</v>
      </c>
      <c r="B12" s="7">
        <v>1</v>
      </c>
      <c r="C12" s="7">
        <v>76.781219502755448</v>
      </c>
      <c r="D12" s="7">
        <v>76.781219502755448</v>
      </c>
      <c r="E12" s="7">
        <v>29527.958744499363</v>
      </c>
      <c r="F12" s="7">
        <v>0</v>
      </c>
    </row>
    <row r="13" spans="1:9" x14ac:dyDescent="0.45">
      <c r="A13" s="7" t="s">
        <v>22</v>
      </c>
      <c r="B13" s="7">
        <v>314</v>
      </c>
      <c r="C13" s="7">
        <v>0.81649067355041705</v>
      </c>
      <c r="D13" s="7">
        <v>2.600288769268844E-3</v>
      </c>
      <c r="E13" s="7"/>
      <c r="F13" s="7"/>
    </row>
    <row r="14" spans="1:9" ht="14.65" thickBot="1" x14ac:dyDescent="0.5">
      <c r="A14" s="8" t="s">
        <v>23</v>
      </c>
      <c r="B14" s="8">
        <v>315</v>
      </c>
      <c r="C14" s="8">
        <v>77.597710176305867</v>
      </c>
      <c r="D14" s="8"/>
      <c r="E14" s="8"/>
      <c r="F14" s="8"/>
    </row>
    <row r="15" spans="1:9" ht="14.65" thickBot="1" x14ac:dyDescent="0.5"/>
    <row r="16" spans="1:9" x14ac:dyDescent="0.45">
      <c r="A16" s="9"/>
      <c r="B16" s="9" t="s">
        <v>30</v>
      </c>
      <c r="C16" s="9" t="s">
        <v>18</v>
      </c>
      <c r="D16" s="9" t="s">
        <v>31</v>
      </c>
      <c r="E16" s="9" t="s">
        <v>32</v>
      </c>
      <c r="F16" s="9" t="s">
        <v>33</v>
      </c>
      <c r="G16" s="9" t="s">
        <v>34</v>
      </c>
      <c r="H16" s="9" t="s">
        <v>35</v>
      </c>
      <c r="I16" s="9" t="s">
        <v>36</v>
      </c>
    </row>
    <row r="17" spans="1:9" x14ac:dyDescent="0.45">
      <c r="A17" s="7" t="s">
        <v>24</v>
      </c>
      <c r="B17" s="7">
        <v>9.1486319919448853</v>
      </c>
      <c r="C17" s="7">
        <v>5.7508074245885858E-3</v>
      </c>
      <c r="D17" s="7">
        <v>1590.8430445485453</v>
      </c>
      <c r="E17" s="7">
        <v>0</v>
      </c>
      <c r="F17" s="7">
        <v>9.1373170040345038</v>
      </c>
      <c r="G17" s="7">
        <v>9.1599469798552668</v>
      </c>
      <c r="H17" s="7">
        <v>9.1373170040345038</v>
      </c>
      <c r="I17" s="7">
        <v>9.1599469798552668</v>
      </c>
    </row>
    <row r="18" spans="1:9" ht="14.65" thickBot="1" x14ac:dyDescent="0.5">
      <c r="A18" s="8" t="s">
        <v>37</v>
      </c>
      <c r="B18" s="8">
        <v>5.4036806702995686E-3</v>
      </c>
      <c r="C18" s="8">
        <v>3.1446546949939892E-5</v>
      </c>
      <c r="D18" s="8">
        <v>171.83701214959302</v>
      </c>
      <c r="E18" s="8">
        <v>0</v>
      </c>
      <c r="F18" s="8">
        <v>5.3418080892354784E-3</v>
      </c>
      <c r="G18" s="8">
        <v>5.4655532513636588E-3</v>
      </c>
      <c r="H18" s="8">
        <v>5.3418080892354784E-3</v>
      </c>
      <c r="I18" s="8">
        <v>5.4655532513636588E-3</v>
      </c>
    </row>
    <row r="22" spans="1:9" x14ac:dyDescent="0.45">
      <c r="A22" t="s">
        <v>38</v>
      </c>
    </row>
    <row r="23" spans="1:9" ht="14.65" thickBot="1" x14ac:dyDescent="0.5"/>
    <row r="24" spans="1:9" x14ac:dyDescent="0.45">
      <c r="A24" s="9" t="s">
        <v>39</v>
      </c>
      <c r="B24" s="9" t="s">
        <v>40</v>
      </c>
      <c r="C24" s="9" t="s">
        <v>41</v>
      </c>
    </row>
    <row r="25" spans="1:9" x14ac:dyDescent="0.45">
      <c r="A25" s="7">
        <v>1</v>
      </c>
      <c r="B25" s="7">
        <v>9.1540356726151852</v>
      </c>
      <c r="C25" s="7">
        <v>-1.2184868826690121E-3</v>
      </c>
    </row>
    <row r="26" spans="1:9" x14ac:dyDescent="0.45">
      <c r="A26" s="7">
        <v>2</v>
      </c>
      <c r="B26" s="7">
        <v>9.1594393532854852</v>
      </c>
      <c r="C26" s="7">
        <v>5.3805033888885134E-3</v>
      </c>
    </row>
    <row r="27" spans="1:9" x14ac:dyDescent="0.45">
      <c r="A27" s="7">
        <v>3</v>
      </c>
      <c r="B27" s="7">
        <v>9.1648430339557834</v>
      </c>
      <c r="C27" s="7">
        <v>-1.3846478797319151E-3</v>
      </c>
    </row>
    <row r="28" spans="1:9" x14ac:dyDescent="0.45">
      <c r="A28" s="7">
        <v>4</v>
      </c>
      <c r="B28" s="7">
        <v>9.1702467146260833</v>
      </c>
      <c r="C28" s="7">
        <v>-1.1094379419333222E-2</v>
      </c>
    </row>
    <row r="29" spans="1:9" x14ac:dyDescent="0.45">
      <c r="A29" s="7">
        <v>5</v>
      </c>
      <c r="B29" s="7">
        <v>9.1756503952963833</v>
      </c>
      <c r="C29" s="7">
        <v>-1.5551239756947055E-2</v>
      </c>
    </row>
    <row r="30" spans="1:9" x14ac:dyDescent="0.45">
      <c r="A30" s="7">
        <v>6</v>
      </c>
      <c r="B30" s="7">
        <v>9.1810540759666832</v>
      </c>
      <c r="C30" s="7">
        <v>-1.3412458523616166E-2</v>
      </c>
    </row>
    <row r="31" spans="1:9" x14ac:dyDescent="0.45">
      <c r="A31" s="7">
        <v>7</v>
      </c>
      <c r="B31" s="7">
        <v>9.1864577566369832</v>
      </c>
      <c r="C31" s="7">
        <v>-2.1637899962609453E-2</v>
      </c>
    </row>
    <row r="32" spans="1:9" x14ac:dyDescent="0.45">
      <c r="A32" s="7">
        <v>8</v>
      </c>
      <c r="B32" s="7">
        <v>9.1918614373072813</v>
      </c>
      <c r="C32" s="7">
        <v>-2.3698144230284157E-2</v>
      </c>
    </row>
    <row r="33" spans="1:3" x14ac:dyDescent="0.45">
      <c r="A33" s="7">
        <v>9</v>
      </c>
      <c r="B33" s="7">
        <v>9.1972651179775813</v>
      </c>
      <c r="C33" s="7">
        <v>-3.1922111932134456E-2</v>
      </c>
    </row>
    <row r="34" spans="1:3" x14ac:dyDescent="0.45">
      <c r="A34" s="7">
        <v>10</v>
      </c>
      <c r="B34" s="7">
        <v>9.2026687986478812</v>
      </c>
      <c r="C34" s="7">
        <v>-2.6092056824507992E-2</v>
      </c>
    </row>
    <row r="35" spans="1:3" x14ac:dyDescent="0.45">
      <c r="A35" s="7">
        <v>11</v>
      </c>
      <c r="B35" s="7">
        <v>9.2080724793181812</v>
      </c>
      <c r="C35" s="7">
        <v>-3.3462917297796935E-2</v>
      </c>
    </row>
    <row r="36" spans="1:3" x14ac:dyDescent="0.45">
      <c r="A36" s="7">
        <v>12</v>
      </c>
      <c r="B36" s="7">
        <v>9.2134761599884794</v>
      </c>
      <c r="C36" s="7">
        <v>-2.8863936585027616E-2</v>
      </c>
    </row>
    <row r="37" spans="1:3" x14ac:dyDescent="0.45">
      <c r="A37" s="7">
        <v>13</v>
      </c>
      <c r="B37" s="7">
        <v>9.2188798406587793</v>
      </c>
      <c r="C37" s="7">
        <v>-2.192870580161177E-2</v>
      </c>
    </row>
    <row r="38" spans="1:3" x14ac:dyDescent="0.45">
      <c r="A38" s="7">
        <v>14</v>
      </c>
      <c r="B38" s="7">
        <v>9.2242835213290792</v>
      </c>
      <c r="C38" s="7">
        <v>-1.4543329424929752E-2</v>
      </c>
    </row>
    <row r="39" spans="1:3" x14ac:dyDescent="0.45">
      <c r="A39" s="7">
        <v>15</v>
      </c>
      <c r="B39" s="7">
        <v>9.2296872019993792</v>
      </c>
      <c r="C39" s="7">
        <v>2.5913301381667253E-2</v>
      </c>
    </row>
    <row r="40" spans="1:3" x14ac:dyDescent="0.45">
      <c r="A40" s="7">
        <v>16</v>
      </c>
      <c r="B40" s="7">
        <v>9.2350908826696791</v>
      </c>
      <c r="C40" s="7">
        <v>-1.460217964168109E-2</v>
      </c>
    </row>
    <row r="41" spans="1:3" x14ac:dyDescent="0.45">
      <c r="A41" s="7">
        <v>17</v>
      </c>
      <c r="B41" s="7">
        <v>9.2404945633399773</v>
      </c>
      <c r="C41" s="7">
        <v>-3.041693949086266E-4</v>
      </c>
    </row>
    <row r="42" spans="1:3" x14ac:dyDescent="0.45">
      <c r="A42" s="7">
        <v>18</v>
      </c>
      <c r="B42" s="7">
        <v>9.2458982440102773</v>
      </c>
      <c r="C42" s="7">
        <v>-3.8361799366828819E-2</v>
      </c>
    </row>
    <row r="43" spans="1:3" x14ac:dyDescent="0.45">
      <c r="A43" s="7">
        <v>19</v>
      </c>
      <c r="B43" s="7">
        <v>9.2513019246805772</v>
      </c>
      <c r="C43" s="7">
        <v>-3.677034808592694E-2</v>
      </c>
    </row>
    <row r="44" spans="1:3" x14ac:dyDescent="0.45">
      <c r="A44" s="7">
        <v>20</v>
      </c>
      <c r="B44" s="7">
        <v>9.2567056053508772</v>
      </c>
      <c r="C44" s="7">
        <v>-4.1079228945456236E-2</v>
      </c>
    </row>
    <row r="45" spans="1:3" x14ac:dyDescent="0.45">
      <c r="A45" s="7">
        <v>21</v>
      </c>
      <c r="B45" s="7">
        <v>9.2621092860211771</v>
      </c>
      <c r="C45" s="7">
        <v>-4.8275024790738641E-2</v>
      </c>
    </row>
    <row r="46" spans="1:3" x14ac:dyDescent="0.45">
      <c r="A46" s="7">
        <v>22</v>
      </c>
      <c r="B46" s="7">
        <v>9.2675129666914753</v>
      </c>
      <c r="C46" s="7">
        <v>-3.8154588879530493E-2</v>
      </c>
    </row>
    <row r="47" spans="1:3" x14ac:dyDescent="0.45">
      <c r="A47" s="7">
        <v>23</v>
      </c>
      <c r="B47" s="7">
        <v>9.2729166473617752</v>
      </c>
      <c r="C47" s="7">
        <v>-4.3067808997548696E-2</v>
      </c>
    </row>
    <row r="48" spans="1:3" x14ac:dyDescent="0.45">
      <c r="A48" s="7">
        <v>24</v>
      </c>
      <c r="B48" s="7">
        <v>9.2783203280320752</v>
      </c>
      <c r="C48" s="7">
        <v>-1.8428177226644138E-2</v>
      </c>
    </row>
    <row r="49" spans="1:3" x14ac:dyDescent="0.45">
      <c r="A49" s="7">
        <v>25</v>
      </c>
      <c r="B49" s="7">
        <v>9.2837240087023751</v>
      </c>
      <c r="C49" s="7">
        <v>-1.5869730525585268E-2</v>
      </c>
    </row>
    <row r="50" spans="1:3" x14ac:dyDescent="0.45">
      <c r="A50" s="7">
        <v>26</v>
      </c>
      <c r="B50" s="7">
        <v>9.2891276893726733</v>
      </c>
      <c r="C50" s="7">
        <v>-1.8915920359100724E-2</v>
      </c>
    </row>
    <row r="51" spans="1:3" x14ac:dyDescent="0.45">
      <c r="A51" s="7">
        <v>27</v>
      </c>
      <c r="B51" s="7">
        <v>9.2945313700429733</v>
      </c>
      <c r="C51" s="7">
        <v>-3.1313958466023806E-2</v>
      </c>
    </row>
    <row r="52" spans="1:3" x14ac:dyDescent="0.45">
      <c r="A52" s="7">
        <v>28</v>
      </c>
      <c r="B52" s="7">
        <v>9.2999350507132732</v>
      </c>
      <c r="C52" s="7">
        <v>-4.806893190859185E-2</v>
      </c>
    </row>
    <row r="53" spans="1:3" x14ac:dyDescent="0.45">
      <c r="A53" s="7">
        <v>29</v>
      </c>
      <c r="B53" s="7">
        <v>9.3053387313835731</v>
      </c>
      <c r="C53" s="7">
        <v>-5.4144365399125149E-2</v>
      </c>
    </row>
    <row r="54" spans="1:3" x14ac:dyDescent="0.45">
      <c r="A54" s="7">
        <v>30</v>
      </c>
      <c r="B54" s="7">
        <v>9.3107424120538731</v>
      </c>
      <c r="C54" s="7">
        <v>-5.065994818287578E-2</v>
      </c>
    </row>
    <row r="55" spans="1:3" x14ac:dyDescent="0.45">
      <c r="A55" s="7">
        <v>31</v>
      </c>
      <c r="B55" s="7">
        <v>9.3161460927241713</v>
      </c>
      <c r="C55" s="7">
        <v>-4.725383379837389E-2</v>
      </c>
    </row>
    <row r="56" spans="1:3" x14ac:dyDescent="0.45">
      <c r="A56" s="7">
        <v>32</v>
      </c>
      <c r="B56" s="7">
        <v>9.3215497733944712</v>
      </c>
      <c r="C56" s="7">
        <v>-3.675149050027926E-2</v>
      </c>
    </row>
    <row r="57" spans="1:3" x14ac:dyDescent="0.45">
      <c r="A57" s="7">
        <v>33</v>
      </c>
      <c r="B57" s="7">
        <v>9.3269534540647712</v>
      </c>
      <c r="C57" s="7">
        <v>-2.4125062653437723E-2</v>
      </c>
    </row>
    <row r="58" spans="1:3" x14ac:dyDescent="0.45">
      <c r="A58" s="7">
        <v>34</v>
      </c>
      <c r="B58" s="7">
        <v>9.3323571347350711</v>
      </c>
      <c r="C58" s="7">
        <v>-1.4508555043603266E-2</v>
      </c>
    </row>
    <row r="59" spans="1:3" x14ac:dyDescent="0.45">
      <c r="A59" s="7">
        <v>35</v>
      </c>
      <c r="B59" s="7">
        <v>9.3377608154053711</v>
      </c>
      <c r="C59" s="7">
        <v>-1.2218513740505088E-2</v>
      </c>
    </row>
    <row r="60" spans="1:3" x14ac:dyDescent="0.45">
      <c r="A60" s="7">
        <v>36</v>
      </c>
      <c r="B60" s="7">
        <v>9.3431644960756692</v>
      </c>
      <c r="C60" s="7">
        <v>-9.9872141404233616E-3</v>
      </c>
    </row>
    <row r="61" spans="1:3" x14ac:dyDescent="0.45">
      <c r="A61" s="7">
        <v>37</v>
      </c>
      <c r="B61" s="7">
        <v>9.3485681767459692</v>
      </c>
      <c r="C61" s="7">
        <v>-1.7870308106052946E-2</v>
      </c>
    </row>
    <row r="62" spans="1:3" x14ac:dyDescent="0.45">
      <c r="A62" s="7">
        <v>38</v>
      </c>
      <c r="B62" s="7">
        <v>9.3539718574162691</v>
      </c>
      <c r="C62" s="7">
        <v>-2.398352317419139E-2</v>
      </c>
    </row>
    <row r="63" spans="1:3" x14ac:dyDescent="0.45">
      <c r="A63" s="7">
        <v>39</v>
      </c>
      <c r="B63" s="7">
        <v>9.3593755380865691</v>
      </c>
      <c r="C63" s="7">
        <v>-3.1785606060147131E-2</v>
      </c>
    </row>
    <row r="64" spans="1:3" x14ac:dyDescent="0.45">
      <c r="A64" s="7">
        <v>40</v>
      </c>
      <c r="B64" s="7">
        <v>9.3647792187568673</v>
      </c>
      <c r="C64" s="7">
        <v>-2.8511290182894555E-2</v>
      </c>
    </row>
    <row r="65" spans="1:3" x14ac:dyDescent="0.45">
      <c r="A65" s="7">
        <v>41</v>
      </c>
      <c r="B65" s="7">
        <v>9.3701828994271672</v>
      </c>
      <c r="C65" s="7">
        <v>-3.1449312682585884E-2</v>
      </c>
    </row>
    <row r="66" spans="1:3" x14ac:dyDescent="0.45">
      <c r="A66" s="7">
        <v>42</v>
      </c>
      <c r="B66" s="7">
        <v>9.3755865800974671</v>
      </c>
      <c r="C66" s="7">
        <v>-3.9230487538423731E-2</v>
      </c>
    </row>
    <row r="67" spans="1:3" x14ac:dyDescent="0.45">
      <c r="A67" s="7">
        <v>43</v>
      </c>
      <c r="B67" s="7">
        <v>9.3809902607677671</v>
      </c>
      <c r="C67" s="7">
        <v>-4.1201821604698097E-2</v>
      </c>
    </row>
    <row r="68" spans="1:3" x14ac:dyDescent="0.45">
      <c r="A68" s="7">
        <v>44</v>
      </c>
      <c r="B68" s="7">
        <v>9.386393941438067</v>
      </c>
      <c r="C68" s="7">
        <v>-5.0743378496438396E-2</v>
      </c>
    </row>
    <row r="69" spans="1:3" x14ac:dyDescent="0.45">
      <c r="A69" s="7">
        <v>45</v>
      </c>
      <c r="B69" s="7">
        <v>9.3917976221083652</v>
      </c>
      <c r="C69" s="7">
        <v>-7.3859239534163734E-2</v>
      </c>
    </row>
    <row r="70" spans="1:3" x14ac:dyDescent="0.45">
      <c r="A70" s="7">
        <v>46</v>
      </c>
      <c r="B70" s="7">
        <v>9.3972013027786652</v>
      </c>
      <c r="C70" s="7">
        <v>-7.4872428854435569E-2</v>
      </c>
    </row>
    <row r="71" spans="1:3" x14ac:dyDescent="0.45">
      <c r="A71" s="7">
        <v>47</v>
      </c>
      <c r="B71" s="7">
        <v>9.4026049834489651</v>
      </c>
      <c r="C71" s="7">
        <v>-6.8101968852360528E-2</v>
      </c>
    </row>
    <row r="72" spans="1:3" x14ac:dyDescent="0.45">
      <c r="A72" s="7">
        <v>48</v>
      </c>
      <c r="B72" s="7">
        <v>9.4080086641192651</v>
      </c>
      <c r="C72" s="7">
        <v>-6.4624518385317131E-2</v>
      </c>
    </row>
    <row r="73" spans="1:3" x14ac:dyDescent="0.45">
      <c r="A73" s="7">
        <v>49</v>
      </c>
      <c r="B73" s="7">
        <v>9.413412344789565</v>
      </c>
      <c r="C73" s="7">
        <v>-5.6204897003830467E-2</v>
      </c>
    </row>
    <row r="74" spans="1:3" x14ac:dyDescent="0.45">
      <c r="A74" s="7">
        <v>50</v>
      </c>
      <c r="B74" s="7">
        <v>9.4188160254598632</v>
      </c>
      <c r="C74" s="7">
        <v>-5.0105317512239012E-2</v>
      </c>
    </row>
    <row r="75" spans="1:3" x14ac:dyDescent="0.45">
      <c r="A75" s="7">
        <v>51</v>
      </c>
      <c r="B75" s="7">
        <v>9.4242197061301631</v>
      </c>
      <c r="C75" s="7">
        <v>-4.9382362272577751E-2</v>
      </c>
    </row>
    <row r="76" spans="1:3" x14ac:dyDescent="0.45">
      <c r="A76" s="7">
        <v>52</v>
      </c>
      <c r="B76" s="7">
        <v>9.4296233868004631</v>
      </c>
      <c r="C76" s="7">
        <v>-5.809997723289051E-2</v>
      </c>
    </row>
    <row r="77" spans="1:3" x14ac:dyDescent="0.45">
      <c r="A77" s="7">
        <v>53</v>
      </c>
      <c r="B77" s="7">
        <v>9.435027067470763</v>
      </c>
      <c r="C77" s="7">
        <v>-5.9850453041645935E-2</v>
      </c>
    </row>
    <row r="78" spans="1:3" x14ac:dyDescent="0.45">
      <c r="A78" s="7">
        <v>54</v>
      </c>
      <c r="B78" s="7">
        <v>9.4404307481410612</v>
      </c>
      <c r="C78" s="7">
        <v>-5.8745510084555974E-2</v>
      </c>
    </row>
    <row r="79" spans="1:3" x14ac:dyDescent="0.45">
      <c r="A79" s="7">
        <v>55</v>
      </c>
      <c r="B79" s="7">
        <v>9.4458344288113611</v>
      </c>
      <c r="C79" s="7">
        <v>-7.312013785091942E-2</v>
      </c>
    </row>
    <row r="80" spans="1:3" x14ac:dyDescent="0.45">
      <c r="A80" s="7">
        <v>56</v>
      </c>
      <c r="B80" s="7">
        <v>9.4512381094816611</v>
      </c>
      <c r="C80" s="7">
        <v>-8.1162679384320313E-2</v>
      </c>
    </row>
    <row r="81" spans="1:3" x14ac:dyDescent="0.45">
      <c r="A81" s="7">
        <v>57</v>
      </c>
      <c r="B81" s="7">
        <v>9.456641790151961</v>
      </c>
      <c r="C81" s="7">
        <v>-9.0323836721426076E-2</v>
      </c>
    </row>
    <row r="82" spans="1:3" x14ac:dyDescent="0.45">
      <c r="A82" s="7">
        <v>58</v>
      </c>
      <c r="B82" s="7">
        <v>9.462045470822261</v>
      </c>
      <c r="C82" s="7">
        <v>-8.483564661104559E-2</v>
      </c>
    </row>
    <row r="83" spans="1:3" x14ac:dyDescent="0.45">
      <c r="A83" s="7">
        <v>59</v>
      </c>
      <c r="B83" s="7">
        <v>9.4674491514925592</v>
      </c>
      <c r="C83" s="7">
        <v>-8.9562508304576127E-2</v>
      </c>
    </row>
    <row r="84" spans="1:3" x14ac:dyDescent="0.45">
      <c r="A84" s="7">
        <v>60</v>
      </c>
      <c r="B84" s="7">
        <v>9.4728528321628591</v>
      </c>
      <c r="C84" s="7">
        <v>-7.9274656608369298E-2</v>
      </c>
    </row>
    <row r="85" spans="1:3" x14ac:dyDescent="0.45">
      <c r="A85" s="7">
        <v>61</v>
      </c>
      <c r="B85" s="7">
        <v>9.4782565128331591</v>
      </c>
      <c r="C85" s="7">
        <v>-7.7709089789031793E-2</v>
      </c>
    </row>
    <row r="86" spans="1:3" x14ac:dyDescent="0.45">
      <c r="A86" s="7">
        <v>62</v>
      </c>
      <c r="B86" s="7">
        <v>9.483660193503459</v>
      </c>
      <c r="C86" s="7">
        <v>-7.4386998928124726E-2</v>
      </c>
    </row>
    <row r="87" spans="1:3" x14ac:dyDescent="0.45">
      <c r="A87" s="7">
        <v>63</v>
      </c>
      <c r="B87" s="7">
        <v>9.489063874173759</v>
      </c>
      <c r="C87" s="7">
        <v>-7.5619406221093755E-2</v>
      </c>
    </row>
    <row r="88" spans="1:3" x14ac:dyDescent="0.45">
      <c r="A88" s="7">
        <v>64</v>
      </c>
      <c r="B88" s="7">
        <v>9.4944675548440571</v>
      </c>
      <c r="C88" s="7">
        <v>-7.1033967407165832E-2</v>
      </c>
    </row>
    <row r="89" spans="1:3" x14ac:dyDescent="0.45">
      <c r="A89" s="7">
        <v>65</v>
      </c>
      <c r="B89" s="7">
        <v>9.4998712355143571</v>
      </c>
      <c r="C89" s="7">
        <v>-7.2727367970163215E-2</v>
      </c>
    </row>
    <row r="90" spans="1:3" x14ac:dyDescent="0.45">
      <c r="A90" s="7">
        <v>66</v>
      </c>
      <c r="B90" s="7">
        <v>9.505274916184657</v>
      </c>
      <c r="C90" s="7">
        <v>-7.1951005695629178E-2</v>
      </c>
    </row>
    <row r="91" spans="1:3" x14ac:dyDescent="0.45">
      <c r="A91" s="7">
        <v>67</v>
      </c>
      <c r="B91" s="7">
        <v>9.510678596854957</v>
      </c>
      <c r="C91" s="7">
        <v>-6.7719703202046233E-2</v>
      </c>
    </row>
    <row r="92" spans="1:3" x14ac:dyDescent="0.45">
      <c r="A92" s="7">
        <v>68</v>
      </c>
      <c r="B92" s="7">
        <v>9.5160822775252552</v>
      </c>
      <c r="C92" s="7">
        <v>-6.8695449065870662E-2</v>
      </c>
    </row>
    <row r="93" spans="1:3" x14ac:dyDescent="0.45">
      <c r="A93" s="7">
        <v>69</v>
      </c>
      <c r="B93" s="7">
        <v>9.5214859581955551</v>
      </c>
      <c r="C93" s="7">
        <v>-5.7744447744465077E-2</v>
      </c>
    </row>
    <row r="94" spans="1:3" x14ac:dyDescent="0.45">
      <c r="A94" s="7">
        <v>70</v>
      </c>
      <c r="B94" s="7">
        <v>9.526889638865855</v>
      </c>
      <c r="C94" s="7">
        <v>-4.8814832247586537E-2</v>
      </c>
    </row>
    <row r="95" spans="1:3" x14ac:dyDescent="0.45">
      <c r="A95" s="7">
        <v>71</v>
      </c>
      <c r="B95" s="7">
        <v>9.532293319536155</v>
      </c>
      <c r="C95" s="7">
        <v>-3.9559837041801771E-2</v>
      </c>
    </row>
    <row r="96" spans="1:3" x14ac:dyDescent="0.45">
      <c r="A96" s="7">
        <v>72</v>
      </c>
      <c r="B96" s="7">
        <v>9.5376970002064549</v>
      </c>
      <c r="C96" s="7">
        <v>-4.5642327558283569E-2</v>
      </c>
    </row>
    <row r="97" spans="1:3" x14ac:dyDescent="0.45">
      <c r="A97" s="7">
        <v>73</v>
      </c>
      <c r="B97" s="7">
        <v>9.5431006808767531</v>
      </c>
      <c r="C97" s="7">
        <v>-3.1693216838666771E-2</v>
      </c>
    </row>
    <row r="98" spans="1:3" x14ac:dyDescent="0.45">
      <c r="A98" s="7">
        <v>74</v>
      </c>
      <c r="B98" s="7">
        <v>9.5485043615470531</v>
      </c>
      <c r="C98" s="7">
        <v>-2.8842742015608991E-2</v>
      </c>
    </row>
    <row r="99" spans="1:3" x14ac:dyDescent="0.45">
      <c r="A99" s="7">
        <v>75</v>
      </c>
      <c r="B99" s="7">
        <v>9.553908042217353</v>
      </c>
      <c r="C99" s="7">
        <v>-2.0614983707469392E-2</v>
      </c>
    </row>
    <row r="100" spans="1:3" x14ac:dyDescent="0.45">
      <c r="A100" s="7">
        <v>76</v>
      </c>
      <c r="B100" s="7">
        <v>9.559311722887653</v>
      </c>
      <c r="C100" s="7">
        <v>-1.488525341653002E-3</v>
      </c>
    </row>
    <row r="101" spans="1:3" x14ac:dyDescent="0.45">
      <c r="A101" s="7">
        <v>77</v>
      </c>
      <c r="B101" s="7">
        <v>9.5647154035579529</v>
      </c>
      <c r="C101" s="7">
        <v>5.2555401825955528E-3</v>
      </c>
    </row>
    <row r="102" spans="1:3" x14ac:dyDescent="0.45">
      <c r="A102" s="7">
        <v>78</v>
      </c>
      <c r="B102" s="7">
        <v>9.5701190842282511</v>
      </c>
      <c r="C102" s="7">
        <v>-2.1793633487909858E-4</v>
      </c>
    </row>
    <row r="103" spans="1:3" x14ac:dyDescent="0.45">
      <c r="A103" s="7">
        <v>79</v>
      </c>
      <c r="B103" s="7">
        <v>9.575522764898551</v>
      </c>
      <c r="C103" s="7">
        <v>2.7192946308307597E-3</v>
      </c>
    </row>
    <row r="104" spans="1:3" x14ac:dyDescent="0.45">
      <c r="A104" s="7">
        <v>80</v>
      </c>
      <c r="B104" s="7">
        <v>9.580926445568851</v>
      </c>
      <c r="C104" s="7">
        <v>-1.6466468339544349E-3</v>
      </c>
    </row>
    <row r="105" spans="1:3" x14ac:dyDescent="0.45">
      <c r="A105" s="7">
        <v>81</v>
      </c>
      <c r="B105" s="7">
        <v>9.5863301262391509</v>
      </c>
      <c r="C105" s="7">
        <v>-3.7367803609171801E-3</v>
      </c>
    </row>
    <row r="106" spans="1:3" x14ac:dyDescent="0.45">
      <c r="A106" s="7">
        <v>82</v>
      </c>
      <c r="B106" s="7">
        <v>9.5917338069094491</v>
      </c>
      <c r="C106" s="7">
        <v>1.9623875867971208E-3</v>
      </c>
    </row>
    <row r="107" spans="1:3" x14ac:dyDescent="0.45">
      <c r="A107" s="7">
        <v>83</v>
      </c>
      <c r="B107" s="7">
        <v>9.597137487579749</v>
      </c>
      <c r="C107" s="7">
        <v>-1.1266348235814405E-3</v>
      </c>
    </row>
    <row r="108" spans="1:3" x14ac:dyDescent="0.45">
      <c r="A108" s="7">
        <v>84</v>
      </c>
      <c r="B108" s="7">
        <v>9.602541168250049</v>
      </c>
      <c r="C108" s="7">
        <v>-3.2038808730092683E-3</v>
      </c>
    </row>
    <row r="109" spans="1:3" x14ac:dyDescent="0.45">
      <c r="A109" s="7">
        <v>85</v>
      </c>
      <c r="B109" s="7">
        <v>9.6079448489203489</v>
      </c>
      <c r="C109" s="7">
        <v>1.2914505466676829E-2</v>
      </c>
    </row>
    <row r="110" spans="1:3" x14ac:dyDescent="0.45">
      <c r="A110" s="7">
        <v>86</v>
      </c>
      <c r="B110" s="7">
        <v>9.6133485295906489</v>
      </c>
      <c r="C110" s="7">
        <v>2.0362354362532642E-2</v>
      </c>
    </row>
    <row r="111" spans="1:3" x14ac:dyDescent="0.45">
      <c r="A111" s="7">
        <v>87</v>
      </c>
      <c r="B111" s="7">
        <v>9.6187522102609471</v>
      </c>
      <c r="C111" s="7">
        <v>3.0810366621533802E-2</v>
      </c>
    </row>
    <row r="112" spans="1:3" x14ac:dyDescent="0.45">
      <c r="A112" s="7">
        <v>88</v>
      </c>
      <c r="B112" s="7">
        <v>9.624155890931247</v>
      </c>
      <c r="C112" s="7">
        <v>2.7209764551651361E-2</v>
      </c>
    </row>
    <row r="113" spans="1:3" x14ac:dyDescent="0.45">
      <c r="A113" s="7">
        <v>89</v>
      </c>
      <c r="B113" s="7">
        <v>9.629559571601547</v>
      </c>
      <c r="C113" s="7">
        <v>3.0773030532877499E-2</v>
      </c>
    </row>
    <row r="114" spans="1:3" x14ac:dyDescent="0.45">
      <c r="A114" s="7">
        <v>90</v>
      </c>
      <c r="B114" s="7">
        <v>9.6349632522718469</v>
      </c>
      <c r="C114" s="7">
        <v>2.9505399791780462E-2</v>
      </c>
    </row>
    <row r="115" spans="1:3" x14ac:dyDescent="0.45">
      <c r="A115" s="7">
        <v>91</v>
      </c>
      <c r="B115" s="7">
        <v>9.6403669329421469</v>
      </c>
      <c r="C115" s="7">
        <v>2.613166145771828E-2</v>
      </c>
    </row>
    <row r="116" spans="1:3" x14ac:dyDescent="0.45">
      <c r="A116" s="7">
        <v>92</v>
      </c>
      <c r="B116" s="7">
        <v>9.645770613612445</v>
      </c>
      <c r="C116" s="7">
        <v>2.5784881576393914E-2</v>
      </c>
    </row>
    <row r="117" spans="1:3" x14ac:dyDescent="0.45">
      <c r="A117" s="7">
        <v>93</v>
      </c>
      <c r="B117" s="7">
        <v>9.651174294282745</v>
      </c>
      <c r="C117" s="7">
        <v>2.4094349072390386E-2</v>
      </c>
    </row>
    <row r="118" spans="1:3" x14ac:dyDescent="0.45">
      <c r="A118" s="7">
        <v>94</v>
      </c>
      <c r="B118" s="7">
        <v>9.6565779749530449</v>
      </c>
      <c r="C118" s="7">
        <v>2.0134440034823342E-2</v>
      </c>
    </row>
    <row r="119" spans="1:3" x14ac:dyDescent="0.45">
      <c r="A119" s="7">
        <v>95</v>
      </c>
      <c r="B119" s="7">
        <v>9.6619816556233449</v>
      </c>
      <c r="C119" s="7">
        <v>2.0048423370230495E-2</v>
      </c>
    </row>
    <row r="120" spans="1:3" x14ac:dyDescent="0.45">
      <c r="A120" s="7">
        <v>96</v>
      </c>
      <c r="B120" s="7">
        <v>9.6673853362936448</v>
      </c>
      <c r="C120" s="7">
        <v>8.4485094503872205E-3</v>
      </c>
    </row>
    <row r="121" spans="1:3" x14ac:dyDescent="0.45">
      <c r="A121" s="7">
        <v>97</v>
      </c>
      <c r="B121" s="7">
        <v>9.672789016963943</v>
      </c>
      <c r="C121" s="7">
        <v>1.8989361883638978E-2</v>
      </c>
    </row>
    <row r="122" spans="1:3" x14ac:dyDescent="0.45">
      <c r="A122" s="7">
        <v>98</v>
      </c>
      <c r="B122" s="7">
        <v>9.6781926976342429</v>
      </c>
      <c r="C122" s="7">
        <v>1.9868424392834427E-2</v>
      </c>
    </row>
    <row r="123" spans="1:3" x14ac:dyDescent="0.45">
      <c r="A123" s="7">
        <v>99</v>
      </c>
      <c r="B123" s="7">
        <v>9.6835963783045429</v>
      </c>
      <c r="C123" s="7">
        <v>1.9303808630738217E-2</v>
      </c>
    </row>
    <row r="124" spans="1:3" x14ac:dyDescent="0.45">
      <c r="A124" s="7">
        <v>100</v>
      </c>
      <c r="B124" s="7">
        <v>9.6890000589748428</v>
      </c>
      <c r="C124" s="7">
        <v>2.7253892406310598E-2</v>
      </c>
    </row>
    <row r="125" spans="1:3" x14ac:dyDescent="0.45">
      <c r="A125" s="7">
        <v>101</v>
      </c>
      <c r="B125" s="7">
        <v>9.694403739645141</v>
      </c>
      <c r="C125" s="7">
        <v>3.258526939982076E-2</v>
      </c>
    </row>
    <row r="126" spans="1:3" x14ac:dyDescent="0.45">
      <c r="A126" s="7">
        <v>102</v>
      </c>
      <c r="B126" s="7">
        <v>9.699807420315441</v>
      </c>
      <c r="C126" s="7">
        <v>4.368742090979616E-2</v>
      </c>
    </row>
    <row r="127" spans="1:3" x14ac:dyDescent="0.45">
      <c r="A127" s="7">
        <v>103</v>
      </c>
      <c r="B127" s="7">
        <v>9.7052111009857409</v>
      </c>
      <c r="C127" s="7">
        <v>5.0993799400949058E-2</v>
      </c>
    </row>
    <row r="128" spans="1:3" x14ac:dyDescent="0.45">
      <c r="A128" s="7">
        <v>104</v>
      </c>
      <c r="B128" s="7">
        <v>9.7106147816560409</v>
      </c>
      <c r="C128" s="7">
        <v>6.6118362534588471E-2</v>
      </c>
    </row>
    <row r="129" spans="1:3" x14ac:dyDescent="0.45">
      <c r="A129" s="7">
        <v>105</v>
      </c>
      <c r="B129" s="7">
        <v>9.7160184623263408</v>
      </c>
      <c r="C129" s="7">
        <v>7.6649255104543457E-2</v>
      </c>
    </row>
    <row r="130" spans="1:3" x14ac:dyDescent="0.45">
      <c r="A130" s="7">
        <v>106</v>
      </c>
      <c r="B130" s="7">
        <v>9.721422142996639</v>
      </c>
      <c r="C130" s="7">
        <v>6.8560708742667842E-2</v>
      </c>
    </row>
    <row r="131" spans="1:3" x14ac:dyDescent="0.45">
      <c r="A131" s="7">
        <v>107</v>
      </c>
      <c r="B131" s="7">
        <v>9.7268258236669389</v>
      </c>
      <c r="C131" s="7">
        <v>6.4220649523440088E-2</v>
      </c>
    </row>
    <row r="132" spans="1:3" x14ac:dyDescent="0.45">
      <c r="A132" s="7">
        <v>108</v>
      </c>
      <c r="B132" s="7">
        <v>9.7322295043372389</v>
      </c>
      <c r="C132" s="7">
        <v>5.337500754217217E-2</v>
      </c>
    </row>
    <row r="133" spans="1:3" x14ac:dyDescent="0.45">
      <c r="A133" s="7">
        <v>109</v>
      </c>
      <c r="B133" s="7">
        <v>9.7376331850075388</v>
      </c>
      <c r="C133" s="7">
        <v>3.6940867435250269E-2</v>
      </c>
    </row>
    <row r="134" spans="1:3" x14ac:dyDescent="0.45">
      <c r="A134" s="7">
        <v>110</v>
      </c>
      <c r="B134" s="7">
        <v>9.743036865677837</v>
      </c>
      <c r="C134" s="7">
        <v>3.2958166343014739E-2</v>
      </c>
    </row>
    <row r="135" spans="1:3" x14ac:dyDescent="0.45">
      <c r="A135" s="7">
        <v>111</v>
      </c>
      <c r="B135" s="7">
        <v>9.7484405463481369</v>
      </c>
      <c r="C135" s="7">
        <v>2.9313700722227054E-2</v>
      </c>
    </row>
    <row r="136" spans="1:3" x14ac:dyDescent="0.45">
      <c r="A136" s="7">
        <v>112</v>
      </c>
      <c r="B136" s="7">
        <v>9.7538442270184369</v>
      </c>
      <c r="C136" s="7">
        <v>6.6386311006869647E-3</v>
      </c>
    </row>
    <row r="137" spans="1:3" x14ac:dyDescent="0.45">
      <c r="A137" s="7">
        <v>113</v>
      </c>
      <c r="B137" s="7">
        <v>9.7592479076887368</v>
      </c>
      <c r="C137" s="7">
        <v>7.5604459321372275E-3</v>
      </c>
    </row>
    <row r="138" spans="1:3" x14ac:dyDescent="0.45">
      <c r="A138" s="7">
        <v>114</v>
      </c>
      <c r="B138" s="7">
        <v>9.7646515883590368</v>
      </c>
      <c r="C138" s="7">
        <v>1.6046668084470639E-2</v>
      </c>
    </row>
    <row r="139" spans="1:3" x14ac:dyDescent="0.45">
      <c r="A139" s="7">
        <v>115</v>
      </c>
      <c r="B139" s="7">
        <v>9.770055269029335</v>
      </c>
      <c r="C139" s="7">
        <v>2.1830106925490256E-2</v>
      </c>
    </row>
    <row r="140" spans="1:3" x14ac:dyDescent="0.45">
      <c r="A140" s="7">
        <v>116</v>
      </c>
      <c r="B140" s="7">
        <v>9.7754589496996349</v>
      </c>
      <c r="C140" s="7">
        <v>2.4499742007636272E-2</v>
      </c>
    </row>
    <row r="141" spans="1:3" x14ac:dyDescent="0.45">
      <c r="A141" s="7">
        <v>117</v>
      </c>
      <c r="B141" s="7">
        <v>9.7808626303699349</v>
      </c>
      <c r="C141" s="7">
        <v>3.6740183009023042E-2</v>
      </c>
    </row>
    <row r="142" spans="1:3" x14ac:dyDescent="0.45">
      <c r="A142" s="7">
        <v>118</v>
      </c>
      <c r="B142" s="7">
        <v>9.7862663110402348</v>
      </c>
      <c r="C142" s="7">
        <v>3.8394460949922049E-2</v>
      </c>
    </row>
    <row r="143" spans="1:3" x14ac:dyDescent="0.45">
      <c r="A143" s="7">
        <v>119</v>
      </c>
      <c r="B143" s="7">
        <v>9.7916699917105348</v>
      </c>
      <c r="C143" s="7">
        <v>4.0912147309818181E-2</v>
      </c>
    </row>
    <row r="144" spans="1:3" x14ac:dyDescent="0.45">
      <c r="A144" s="7">
        <v>120</v>
      </c>
      <c r="B144" s="7">
        <v>9.7970736723808329</v>
      </c>
      <c r="C144" s="7">
        <v>4.5708005037900179E-2</v>
      </c>
    </row>
    <row r="145" spans="1:3" x14ac:dyDescent="0.45">
      <c r="A145" s="7">
        <v>121</v>
      </c>
      <c r="B145" s="7">
        <v>9.8024773530511329</v>
      </c>
      <c r="C145" s="7">
        <v>4.9716905097444197E-2</v>
      </c>
    </row>
    <row r="146" spans="1:3" x14ac:dyDescent="0.45">
      <c r="A146" s="7">
        <v>122</v>
      </c>
      <c r="B146" s="7">
        <v>9.8078810337214328</v>
      </c>
      <c r="C146" s="7">
        <v>4.7308733406943304E-2</v>
      </c>
    </row>
    <row r="147" spans="1:3" x14ac:dyDescent="0.45">
      <c r="A147" s="7">
        <v>123</v>
      </c>
      <c r="B147" s="7">
        <v>9.8132847143917328</v>
      </c>
      <c r="C147" s="7">
        <v>4.8495034744604482E-2</v>
      </c>
    </row>
    <row r="148" spans="1:3" x14ac:dyDescent="0.45">
      <c r="A148" s="7">
        <v>124</v>
      </c>
      <c r="B148" s="7">
        <v>9.8186883950620327</v>
      </c>
      <c r="C148" s="7">
        <v>5.5215854932420427E-2</v>
      </c>
    </row>
    <row r="149" spans="1:3" x14ac:dyDescent="0.45">
      <c r="A149" s="7">
        <v>125</v>
      </c>
      <c r="B149" s="7">
        <v>9.8240920757323309</v>
      </c>
      <c r="C149" s="7">
        <v>5.3051501464194573E-2</v>
      </c>
    </row>
    <row r="150" spans="1:3" x14ac:dyDescent="0.45">
      <c r="A150" s="7">
        <v>126</v>
      </c>
      <c r="B150" s="7">
        <v>9.8294957564026308</v>
      </c>
      <c r="C150" s="7">
        <v>6.6261998071555084E-2</v>
      </c>
    </row>
    <row r="151" spans="1:3" x14ac:dyDescent="0.45">
      <c r="A151" s="7">
        <v>127</v>
      </c>
      <c r="B151" s="7">
        <v>9.8348994370729308</v>
      </c>
      <c r="C151" s="7">
        <v>6.2117224332885357E-2</v>
      </c>
    </row>
    <row r="152" spans="1:3" x14ac:dyDescent="0.45">
      <c r="A152" s="7">
        <v>128</v>
      </c>
      <c r="B152" s="7">
        <v>9.8403031177432307</v>
      </c>
      <c r="C152" s="7">
        <v>6.1833522721940426E-2</v>
      </c>
    </row>
    <row r="153" spans="1:3" x14ac:dyDescent="0.45">
      <c r="A153" s="7">
        <v>129</v>
      </c>
      <c r="B153" s="7">
        <v>9.8457067984135289</v>
      </c>
      <c r="C153" s="7">
        <v>5.9079909854219181E-2</v>
      </c>
    </row>
    <row r="154" spans="1:3" x14ac:dyDescent="0.45">
      <c r="A154" s="7">
        <v>130</v>
      </c>
      <c r="B154" s="7">
        <v>9.8511104790838289</v>
      </c>
      <c r="C154" s="7">
        <v>5.0425169727054353E-2</v>
      </c>
    </row>
    <row r="155" spans="1:3" x14ac:dyDescent="0.45">
      <c r="A155" s="7">
        <v>131</v>
      </c>
      <c r="B155" s="7">
        <v>9.8565141597541288</v>
      </c>
      <c r="C155" s="7">
        <v>5.1662382268130358E-2</v>
      </c>
    </row>
    <row r="156" spans="1:3" x14ac:dyDescent="0.45">
      <c r="A156" s="7">
        <v>132</v>
      </c>
      <c r="B156" s="7">
        <v>9.8619178404244288</v>
      </c>
      <c r="C156" s="7">
        <v>4.5661330014953094E-2</v>
      </c>
    </row>
    <row r="157" spans="1:3" x14ac:dyDescent="0.45">
      <c r="A157" s="7">
        <v>133</v>
      </c>
      <c r="B157" s="7">
        <v>9.8673215210947287</v>
      </c>
      <c r="C157" s="7">
        <v>3.6016020190274389E-2</v>
      </c>
    </row>
    <row r="158" spans="1:3" x14ac:dyDescent="0.45">
      <c r="A158" s="7">
        <v>134</v>
      </c>
      <c r="B158" s="7">
        <v>9.8727252017650269</v>
      </c>
      <c r="C158" s="7">
        <v>5.0342021983702523E-3</v>
      </c>
    </row>
    <row r="159" spans="1:3" x14ac:dyDescent="0.45">
      <c r="A159" s="7">
        <v>135</v>
      </c>
      <c r="B159" s="7">
        <v>9.8781288824353268</v>
      </c>
      <c r="C159" s="7">
        <v>7.5510514508358995E-3</v>
      </c>
    </row>
    <row r="160" spans="1:3" x14ac:dyDescent="0.45">
      <c r="A160" s="7">
        <v>136</v>
      </c>
      <c r="B160" s="7">
        <v>9.8835325631056268</v>
      </c>
      <c r="C160" s="7">
        <v>1.2829664487911785E-2</v>
      </c>
    </row>
    <row r="161" spans="1:3" x14ac:dyDescent="0.45">
      <c r="A161" s="7">
        <v>137</v>
      </c>
      <c r="B161" s="7">
        <v>9.8889362437759267</v>
      </c>
      <c r="C161" s="7">
        <v>8.73442343863573E-3</v>
      </c>
    </row>
    <row r="162" spans="1:3" x14ac:dyDescent="0.45">
      <c r="A162" s="7">
        <v>138</v>
      </c>
      <c r="B162" s="7">
        <v>9.8943399244462249</v>
      </c>
      <c r="C162" s="7">
        <v>1.1658583482461182E-3</v>
      </c>
    </row>
    <row r="163" spans="1:3" x14ac:dyDescent="0.45">
      <c r="A163" s="7">
        <v>139</v>
      </c>
      <c r="B163" s="7">
        <v>9.8997436051165248</v>
      </c>
      <c r="C163" s="7">
        <v>-2.3747335885744292E-3</v>
      </c>
    </row>
    <row r="164" spans="1:3" x14ac:dyDescent="0.45">
      <c r="A164" s="7">
        <v>140</v>
      </c>
      <c r="B164" s="7">
        <v>9.9051472857868248</v>
      </c>
      <c r="C164" s="7">
        <v>-1.7230328241653936E-2</v>
      </c>
    </row>
    <row r="165" spans="1:3" x14ac:dyDescent="0.45">
      <c r="A165" s="7">
        <v>141</v>
      </c>
      <c r="B165" s="7">
        <v>9.9105509664571247</v>
      </c>
      <c r="C165" s="7">
        <v>-1.7416826000488328E-2</v>
      </c>
    </row>
    <row r="166" spans="1:3" x14ac:dyDescent="0.45">
      <c r="A166" s="7">
        <v>142</v>
      </c>
      <c r="B166" s="7">
        <v>9.9159546471274247</v>
      </c>
      <c r="C166" s="7">
        <v>-2.2012507434828521E-2</v>
      </c>
    </row>
    <row r="167" spans="1:3" x14ac:dyDescent="0.45">
      <c r="A167" s="7">
        <v>143</v>
      </c>
      <c r="B167" s="7">
        <v>9.9213583277977229</v>
      </c>
      <c r="C167" s="7">
        <v>-2.3285407963093974E-2</v>
      </c>
    </row>
    <row r="168" spans="1:3" x14ac:dyDescent="0.45">
      <c r="A168" s="7">
        <v>144</v>
      </c>
      <c r="B168" s="7">
        <v>9.9267620084680228</v>
      </c>
      <c r="C168" s="7">
        <v>-1.3769768917649472E-2</v>
      </c>
    </row>
    <row r="169" spans="1:3" x14ac:dyDescent="0.45">
      <c r="A169" s="7">
        <v>145</v>
      </c>
      <c r="B169" s="7">
        <v>9.9321656891383228</v>
      </c>
      <c r="C169" s="7">
        <v>-1.137863952413376E-2</v>
      </c>
    </row>
    <row r="170" spans="1:3" x14ac:dyDescent="0.45">
      <c r="A170" s="7">
        <v>146</v>
      </c>
      <c r="B170" s="7">
        <v>9.9375693698086227</v>
      </c>
      <c r="C170" s="7">
        <v>1.3335879484603907E-3</v>
      </c>
    </row>
    <row r="171" spans="1:3" x14ac:dyDescent="0.45">
      <c r="A171" s="7">
        <v>147</v>
      </c>
      <c r="B171" s="7">
        <v>9.9429730504789227</v>
      </c>
      <c r="C171" s="7">
        <v>1.1255143760388719E-2</v>
      </c>
    </row>
    <row r="172" spans="1:3" x14ac:dyDescent="0.45">
      <c r="A172" s="7">
        <v>148</v>
      </c>
      <c r="B172" s="7">
        <v>9.9483767311492208</v>
      </c>
      <c r="C172" s="7">
        <v>1.9305533428903843E-2</v>
      </c>
    </row>
    <row r="173" spans="1:3" x14ac:dyDescent="0.45">
      <c r="A173" s="7">
        <v>149</v>
      </c>
      <c r="B173" s="7">
        <v>9.9537804118195208</v>
      </c>
      <c r="C173" s="7">
        <v>2.0258796667551593E-2</v>
      </c>
    </row>
    <row r="174" spans="1:3" x14ac:dyDescent="0.45">
      <c r="A174" s="7">
        <v>150</v>
      </c>
      <c r="B174" s="7">
        <v>9.9591840924898207</v>
      </c>
      <c r="C174" s="7">
        <v>2.6712596287024937E-2</v>
      </c>
    </row>
    <row r="175" spans="1:3" x14ac:dyDescent="0.45">
      <c r="A175" s="7">
        <v>151</v>
      </c>
      <c r="B175" s="7">
        <v>9.9645877731601207</v>
      </c>
      <c r="C175" s="7">
        <v>2.6269425512914779E-2</v>
      </c>
    </row>
    <row r="176" spans="1:3" x14ac:dyDescent="0.45">
      <c r="A176" s="7">
        <v>152</v>
      </c>
      <c r="B176" s="7">
        <v>9.9699914538304206</v>
      </c>
      <c r="C176" s="7">
        <v>3.1303158708618994E-2</v>
      </c>
    </row>
    <row r="177" spans="1:3" x14ac:dyDescent="0.45">
      <c r="A177" s="7">
        <v>153</v>
      </c>
      <c r="B177" s="7">
        <v>9.9753951345007188</v>
      </c>
      <c r="C177" s="7">
        <v>4.0929911298778876E-2</v>
      </c>
    </row>
    <row r="178" spans="1:3" x14ac:dyDescent="0.45">
      <c r="A178" s="7">
        <v>154</v>
      </c>
      <c r="B178" s="7">
        <v>9.9807988151710187</v>
      </c>
      <c r="C178" s="7">
        <v>4.2514130433458419E-2</v>
      </c>
    </row>
    <row r="179" spans="1:3" x14ac:dyDescent="0.45">
      <c r="A179" s="7">
        <v>155</v>
      </c>
      <c r="B179" s="7">
        <v>9.9862024958413187</v>
      </c>
      <c r="C179" s="7">
        <v>5.338813968714895E-2</v>
      </c>
    </row>
    <row r="180" spans="1:3" x14ac:dyDescent="0.45">
      <c r="A180" s="7">
        <v>156</v>
      </c>
      <c r="B180" s="7">
        <v>9.9916061765116186</v>
      </c>
      <c r="C180" s="7">
        <v>4.7635297002129207E-2</v>
      </c>
    </row>
    <row r="181" spans="1:3" x14ac:dyDescent="0.45">
      <c r="A181" s="7">
        <v>157</v>
      </c>
      <c r="B181" s="7">
        <v>9.9970098571819168</v>
      </c>
      <c r="C181" s="7">
        <v>4.8975023582755739E-2</v>
      </c>
    </row>
    <row r="182" spans="1:3" x14ac:dyDescent="0.45">
      <c r="A182" s="7">
        <v>158</v>
      </c>
      <c r="B182" s="7">
        <v>10.002413537852217</v>
      </c>
      <c r="C182" s="7">
        <v>5.229182642653285E-2</v>
      </c>
    </row>
    <row r="183" spans="1:3" x14ac:dyDescent="0.45">
      <c r="A183" s="7">
        <v>159</v>
      </c>
      <c r="B183" s="7">
        <v>10.007817218522517</v>
      </c>
      <c r="C183" s="7">
        <v>6.1947193638710374E-2</v>
      </c>
    </row>
    <row r="184" spans="1:3" x14ac:dyDescent="0.45">
      <c r="A184" s="7">
        <v>160</v>
      </c>
      <c r="B184" s="7">
        <v>10.013220899192817</v>
      </c>
      <c r="C184" s="7">
        <v>6.0262560446629365E-2</v>
      </c>
    </row>
    <row r="185" spans="1:3" x14ac:dyDescent="0.45">
      <c r="A185" s="7">
        <v>161</v>
      </c>
      <c r="B185" s="7">
        <v>10.018624579863117</v>
      </c>
      <c r="C185" s="7">
        <v>5.3845965027784715E-2</v>
      </c>
    </row>
    <row r="186" spans="1:3" x14ac:dyDescent="0.45">
      <c r="A186" s="7">
        <v>162</v>
      </c>
      <c r="B186" s="7">
        <v>10.024028260533415</v>
      </c>
      <c r="C186" s="7">
        <v>5.9862342974037475E-2</v>
      </c>
    </row>
    <row r="187" spans="1:3" x14ac:dyDescent="0.45">
      <c r="A187" s="7">
        <v>163</v>
      </c>
      <c r="B187" s="7">
        <v>10.029431941203715</v>
      </c>
      <c r="C187" s="7">
        <v>6.335278186279325E-2</v>
      </c>
    </row>
    <row r="188" spans="1:3" x14ac:dyDescent="0.45">
      <c r="A188" s="7">
        <v>164</v>
      </c>
      <c r="B188" s="7">
        <v>10.034835621874015</v>
      </c>
      <c r="C188" s="7">
        <v>5.7576638589640794E-2</v>
      </c>
    </row>
    <row r="189" spans="1:3" x14ac:dyDescent="0.45">
      <c r="A189" s="7">
        <v>165</v>
      </c>
      <c r="B189" s="7">
        <v>10.040239302544315</v>
      </c>
      <c r="C189" s="7">
        <v>6.769815885876973E-2</v>
      </c>
    </row>
    <row r="190" spans="1:3" x14ac:dyDescent="0.45">
      <c r="A190" s="7">
        <v>166</v>
      </c>
      <c r="B190" s="7">
        <v>10.045642983214613</v>
      </c>
      <c r="C190" s="7">
        <v>6.7578613725791215E-2</v>
      </c>
    </row>
    <row r="191" spans="1:3" x14ac:dyDescent="0.45">
      <c r="A191" s="7">
        <v>167</v>
      </c>
      <c r="B191" s="7">
        <v>10.051046663884913</v>
      </c>
      <c r="C191" s="7">
        <v>6.8398684150700717E-2</v>
      </c>
    </row>
    <row r="192" spans="1:3" x14ac:dyDescent="0.45">
      <c r="A192" s="7">
        <v>168</v>
      </c>
      <c r="B192" s="7">
        <v>10.056450344555213</v>
      </c>
      <c r="C192" s="7">
        <v>7.1819415963632949E-2</v>
      </c>
    </row>
    <row r="193" spans="1:3" x14ac:dyDescent="0.45">
      <c r="A193" s="7">
        <v>169</v>
      </c>
      <c r="B193" s="7">
        <v>10.061854025225513</v>
      </c>
      <c r="C193" s="7">
        <v>6.904794547547155E-2</v>
      </c>
    </row>
    <row r="194" spans="1:3" x14ac:dyDescent="0.45">
      <c r="A194" s="7">
        <v>170</v>
      </c>
      <c r="B194" s="7">
        <v>10.067257705895813</v>
      </c>
      <c r="C194" s="7">
        <v>6.6031185618591337E-2</v>
      </c>
    </row>
    <row r="195" spans="1:3" x14ac:dyDescent="0.45">
      <c r="A195" s="7">
        <v>171</v>
      </c>
      <c r="B195" s="7">
        <v>10.072661386566111</v>
      </c>
      <c r="C195" s="7">
        <v>6.7517529829496326E-2</v>
      </c>
    </row>
    <row r="196" spans="1:3" x14ac:dyDescent="0.45">
      <c r="A196" s="7">
        <v>172</v>
      </c>
      <c r="B196" s="7">
        <v>10.078065067236411</v>
      </c>
      <c r="C196" s="7">
        <v>6.3730473133698951E-2</v>
      </c>
    </row>
    <row r="197" spans="1:3" x14ac:dyDescent="0.45">
      <c r="A197" s="7">
        <v>173</v>
      </c>
      <c r="B197" s="7">
        <v>10.083468747906711</v>
      </c>
      <c r="C197" s="7">
        <v>6.445407007791637E-2</v>
      </c>
    </row>
    <row r="198" spans="1:3" x14ac:dyDescent="0.45">
      <c r="A198" s="7">
        <v>174</v>
      </c>
      <c r="B198" s="7">
        <v>10.088872428577011</v>
      </c>
      <c r="C198" s="7">
        <v>5.8972071672524606E-2</v>
      </c>
    </row>
    <row r="199" spans="1:3" x14ac:dyDescent="0.45">
      <c r="A199" s="7">
        <v>175</v>
      </c>
      <c r="B199" s="7">
        <v>10.094276109247311</v>
      </c>
      <c r="C199" s="7">
        <v>5.3999062660897934E-2</v>
      </c>
    </row>
    <row r="200" spans="1:3" x14ac:dyDescent="0.45">
      <c r="A200" s="7">
        <v>176</v>
      </c>
      <c r="B200" s="7">
        <v>10.099679789917609</v>
      </c>
      <c r="C200" s="7">
        <v>3.741636378049229E-2</v>
      </c>
    </row>
    <row r="201" spans="1:3" x14ac:dyDescent="0.45">
      <c r="A201" s="7">
        <v>177</v>
      </c>
      <c r="B201" s="7">
        <v>10.105083470587909</v>
      </c>
      <c r="C201" s="7">
        <v>2.5141168772560007E-2</v>
      </c>
    </row>
    <row r="202" spans="1:3" x14ac:dyDescent="0.45">
      <c r="A202" s="7">
        <v>178</v>
      </c>
      <c r="B202" s="7">
        <v>10.110487151258209</v>
      </c>
      <c r="C202" s="7">
        <v>2.4826152974963378E-2</v>
      </c>
    </row>
    <row r="203" spans="1:3" x14ac:dyDescent="0.45">
      <c r="A203" s="7">
        <v>179</v>
      </c>
      <c r="B203" s="7">
        <v>10.115890831928509</v>
      </c>
      <c r="C203" s="7">
        <v>2.0849006070116971E-2</v>
      </c>
    </row>
    <row r="204" spans="1:3" x14ac:dyDescent="0.45">
      <c r="A204" s="7">
        <v>180</v>
      </c>
      <c r="B204" s="7">
        <v>10.121294512598809</v>
      </c>
      <c r="C204" s="7">
        <v>1.1517450326611112E-2</v>
      </c>
    </row>
    <row r="205" spans="1:3" x14ac:dyDescent="0.45">
      <c r="A205" s="7">
        <v>181</v>
      </c>
      <c r="B205" s="7">
        <v>10.126698193269107</v>
      </c>
      <c r="C205" s="7">
        <v>2.1733540540083141E-2</v>
      </c>
    </row>
    <row r="206" spans="1:3" x14ac:dyDescent="0.45">
      <c r="A206" s="7">
        <v>182</v>
      </c>
      <c r="B206" s="7">
        <v>10.132101873939407</v>
      </c>
      <c r="C206" s="7">
        <v>1.9729030932673197E-2</v>
      </c>
    </row>
    <row r="207" spans="1:3" x14ac:dyDescent="0.45">
      <c r="A207" s="7">
        <v>183</v>
      </c>
      <c r="B207" s="7">
        <v>10.137505554609707</v>
      </c>
      <c r="C207" s="7">
        <v>2.1321647456948867E-2</v>
      </c>
    </row>
    <row r="208" spans="1:3" x14ac:dyDescent="0.45">
      <c r="A208" s="7">
        <v>184</v>
      </c>
      <c r="B208" s="7">
        <v>10.142909235280007</v>
      </c>
      <c r="C208" s="7">
        <v>2.4287830316993109E-2</v>
      </c>
    </row>
    <row r="209" spans="1:3" x14ac:dyDescent="0.45">
      <c r="A209" s="7">
        <v>185</v>
      </c>
      <c r="B209" s="7">
        <v>10.148312915950305</v>
      </c>
      <c r="C209" s="7">
        <v>1.9767185812572308E-2</v>
      </c>
    </row>
    <row r="210" spans="1:3" x14ac:dyDescent="0.45">
      <c r="A210" s="7">
        <v>186</v>
      </c>
      <c r="B210" s="7">
        <v>10.153716596620605</v>
      </c>
      <c r="C210" s="7">
        <v>2.0408593758045157E-2</v>
      </c>
    </row>
    <row r="211" spans="1:3" x14ac:dyDescent="0.45">
      <c r="A211" s="7">
        <v>187</v>
      </c>
      <c r="B211" s="7">
        <v>10.159120277290905</v>
      </c>
      <c r="C211" s="7">
        <v>2.2642743997431936E-2</v>
      </c>
    </row>
    <row r="212" spans="1:3" x14ac:dyDescent="0.45">
      <c r="A212" s="7">
        <v>188</v>
      </c>
      <c r="B212" s="7">
        <v>10.164523957961205</v>
      </c>
      <c r="C212" s="7">
        <v>2.2788236699399889E-2</v>
      </c>
    </row>
    <row r="213" spans="1:3" x14ac:dyDescent="0.45">
      <c r="A213" s="7">
        <v>189</v>
      </c>
      <c r="B213" s="7">
        <v>10.169927638631505</v>
      </c>
      <c r="C213" s="7">
        <v>2.6080262996654113E-2</v>
      </c>
    </row>
    <row r="214" spans="1:3" x14ac:dyDescent="0.45">
      <c r="A214" s="7">
        <v>190</v>
      </c>
      <c r="B214" s="7">
        <v>10.175331319301803</v>
      </c>
      <c r="C214" s="7">
        <v>2.5479182722786931E-2</v>
      </c>
    </row>
    <row r="215" spans="1:3" x14ac:dyDescent="0.45">
      <c r="A215" s="7">
        <v>191</v>
      </c>
      <c r="B215" s="7">
        <v>10.180734999972103</v>
      </c>
      <c r="C215" s="7">
        <v>2.4448470776224696E-2</v>
      </c>
    </row>
    <row r="216" spans="1:3" x14ac:dyDescent="0.45">
      <c r="A216" s="7">
        <v>192</v>
      </c>
      <c r="B216" s="7">
        <v>10.186138680642403</v>
      </c>
      <c r="C216" s="7">
        <v>2.6743511251156704E-2</v>
      </c>
    </row>
    <row r="217" spans="1:3" x14ac:dyDescent="0.45">
      <c r="A217" s="7">
        <v>193</v>
      </c>
      <c r="B217" s="7">
        <v>10.191542361312703</v>
      </c>
      <c r="C217" s="7">
        <v>2.1156340975027277E-2</v>
      </c>
    </row>
    <row r="218" spans="1:3" x14ac:dyDescent="0.45">
      <c r="A218" s="7">
        <v>194</v>
      </c>
      <c r="B218" s="7">
        <v>10.196946041983001</v>
      </c>
      <c r="C218" s="7">
        <v>2.164417858089962E-2</v>
      </c>
    </row>
    <row r="219" spans="1:3" x14ac:dyDescent="0.45">
      <c r="A219" s="7">
        <v>195</v>
      </c>
      <c r="B219" s="7">
        <v>10.202349722653301</v>
      </c>
      <c r="C219" s="7">
        <v>2.2061236114410576E-2</v>
      </c>
    </row>
    <row r="220" spans="1:3" x14ac:dyDescent="0.45">
      <c r="A220" s="7">
        <v>196</v>
      </c>
      <c r="B220" s="7">
        <v>10.207753403323601</v>
      </c>
      <c r="C220" s="7">
        <v>2.05313542532366E-2</v>
      </c>
    </row>
    <row r="221" spans="1:3" x14ac:dyDescent="0.45">
      <c r="A221" s="7">
        <v>197</v>
      </c>
      <c r="B221" s="7">
        <v>10.213157083993901</v>
      </c>
      <c r="C221" s="7">
        <v>2.1826056450217735E-2</v>
      </c>
    </row>
    <row r="222" spans="1:3" x14ac:dyDescent="0.45">
      <c r="A222" s="7">
        <v>198</v>
      </c>
      <c r="B222" s="7">
        <v>10.2185607646642</v>
      </c>
      <c r="C222" s="7">
        <v>2.4252093475546133E-2</v>
      </c>
    </row>
    <row r="223" spans="1:3" x14ac:dyDescent="0.45">
      <c r="A223" s="7">
        <v>199</v>
      </c>
      <c r="B223" s="7">
        <v>10.223964445334499</v>
      </c>
      <c r="C223" s="7">
        <v>2.1657852943301137E-2</v>
      </c>
    </row>
    <row r="224" spans="1:3" x14ac:dyDescent="0.45">
      <c r="A224" s="7">
        <v>200</v>
      </c>
      <c r="B224" s="7">
        <v>10.229368126004799</v>
      </c>
      <c r="C224" s="7">
        <v>2.1001577207195865E-2</v>
      </c>
    </row>
    <row r="225" spans="1:3" x14ac:dyDescent="0.45">
      <c r="A225" s="7">
        <v>201</v>
      </c>
      <c r="B225" s="7">
        <v>10.234771806675099</v>
      </c>
      <c r="C225" s="7">
        <v>2.3413736915539829E-2</v>
      </c>
    </row>
    <row r="226" spans="1:3" x14ac:dyDescent="0.45">
      <c r="A226" s="7">
        <v>202</v>
      </c>
      <c r="B226" s="7">
        <v>10.240175487345399</v>
      </c>
      <c r="C226" s="7">
        <v>1.965695466748052E-2</v>
      </c>
    </row>
    <row r="227" spans="1:3" x14ac:dyDescent="0.45">
      <c r="A227" s="7">
        <v>203</v>
      </c>
      <c r="B227" s="7">
        <v>10.245579168015698</v>
      </c>
      <c r="C227" s="7">
        <v>2.7849936559547928E-2</v>
      </c>
    </row>
    <row r="228" spans="1:3" x14ac:dyDescent="0.45">
      <c r="A228" s="7">
        <v>204</v>
      </c>
      <c r="B228" s="7">
        <v>10.250982848685997</v>
      </c>
      <c r="C228" s="7">
        <v>3.1180836868081485E-2</v>
      </c>
    </row>
    <row r="229" spans="1:3" x14ac:dyDescent="0.45">
      <c r="A229" s="7">
        <v>205</v>
      </c>
      <c r="B229" s="7">
        <v>10.256386529356297</v>
      </c>
      <c r="C229" s="7">
        <v>3.3281369876128508E-2</v>
      </c>
    </row>
    <row r="230" spans="1:3" x14ac:dyDescent="0.45">
      <c r="A230" s="7">
        <v>206</v>
      </c>
      <c r="B230" s="7">
        <v>10.261790210026597</v>
      </c>
      <c r="C230" s="7">
        <v>4.2618810567823573E-2</v>
      </c>
    </row>
    <row r="231" spans="1:3" x14ac:dyDescent="0.45">
      <c r="A231" s="7">
        <v>207</v>
      </c>
      <c r="B231" s="7">
        <v>10.267193890696896</v>
      </c>
      <c r="C231" s="7">
        <v>4.7044774376633569E-2</v>
      </c>
    </row>
    <row r="232" spans="1:3" x14ac:dyDescent="0.45">
      <c r="A232" s="7">
        <v>208</v>
      </c>
      <c r="B232" s="7">
        <v>10.272597571367196</v>
      </c>
      <c r="C232" s="7">
        <v>5.2949962848932941E-2</v>
      </c>
    </row>
    <row r="233" spans="1:3" x14ac:dyDescent="0.45">
      <c r="A233" s="7">
        <v>209</v>
      </c>
      <c r="B233" s="7">
        <v>10.278001252037495</v>
      </c>
      <c r="C233" s="7">
        <v>5.5253701129762689E-2</v>
      </c>
    </row>
    <row r="234" spans="1:3" x14ac:dyDescent="0.45">
      <c r="A234" s="7">
        <v>210</v>
      </c>
      <c r="B234" s="7">
        <v>10.283404932707795</v>
      </c>
      <c r="C234" s="7">
        <v>6.2297441966530087E-2</v>
      </c>
    </row>
    <row r="235" spans="1:3" x14ac:dyDescent="0.45">
      <c r="A235" s="7">
        <v>211</v>
      </c>
      <c r="B235" s="7">
        <v>10.288808613378094</v>
      </c>
      <c r="C235" s="7">
        <v>6.4894316004270536E-2</v>
      </c>
    </row>
    <row r="236" spans="1:3" x14ac:dyDescent="0.45">
      <c r="A236" s="7">
        <v>212</v>
      </c>
      <c r="B236" s="7">
        <v>10.294212294048394</v>
      </c>
      <c r="C236" s="7">
        <v>7.1026177606489327E-2</v>
      </c>
    </row>
    <row r="237" spans="1:3" x14ac:dyDescent="0.45">
      <c r="A237" s="7">
        <v>213</v>
      </c>
      <c r="B237" s="7">
        <v>10.299615974718694</v>
      </c>
      <c r="C237" s="7">
        <v>7.8085083086692819E-2</v>
      </c>
    </row>
    <row r="238" spans="1:3" x14ac:dyDescent="0.45">
      <c r="A238" s="7">
        <v>214</v>
      </c>
      <c r="B238" s="7">
        <v>10.305019655388993</v>
      </c>
      <c r="C238" s="7">
        <v>7.9504192102373139E-2</v>
      </c>
    </row>
    <row r="239" spans="1:3" x14ac:dyDescent="0.45">
      <c r="A239" s="7">
        <v>215</v>
      </c>
      <c r="B239" s="7">
        <v>10.310423336059293</v>
      </c>
      <c r="C239" s="7">
        <v>8.090776385090237E-2</v>
      </c>
    </row>
    <row r="240" spans="1:3" x14ac:dyDescent="0.45">
      <c r="A240" s="7">
        <v>216</v>
      </c>
      <c r="B240" s="7">
        <v>10.315827016729592</v>
      </c>
      <c r="C240" s="7">
        <v>8.1563780376576744E-2</v>
      </c>
    </row>
    <row r="241" spans="1:3" x14ac:dyDescent="0.45">
      <c r="A241" s="7">
        <v>217</v>
      </c>
      <c r="B241" s="7">
        <v>10.321230697399892</v>
      </c>
      <c r="C241" s="7">
        <v>7.7501726935203408E-2</v>
      </c>
    </row>
    <row r="242" spans="1:3" x14ac:dyDescent="0.45">
      <c r="A242" s="7">
        <v>218</v>
      </c>
      <c r="B242" s="7">
        <v>10.326634378070191</v>
      </c>
      <c r="C242" s="7">
        <v>7.1732326402241142E-2</v>
      </c>
    </row>
    <row r="243" spans="1:3" x14ac:dyDescent="0.45">
      <c r="A243" s="7">
        <v>219</v>
      </c>
      <c r="B243" s="7">
        <v>10.332038058740491</v>
      </c>
      <c r="C243" s="7">
        <v>6.7212239884582914E-2</v>
      </c>
    </row>
    <row r="244" spans="1:3" x14ac:dyDescent="0.45">
      <c r="A244" s="7">
        <v>220</v>
      </c>
      <c r="B244" s="7">
        <v>10.33744173941079</v>
      </c>
      <c r="C244" s="7">
        <v>7.527015552435401E-2</v>
      </c>
    </row>
    <row r="245" spans="1:3" x14ac:dyDescent="0.45">
      <c r="A245" s="7">
        <v>221</v>
      </c>
      <c r="B245" s="7">
        <v>10.34284542008109</v>
      </c>
      <c r="C245" s="7">
        <v>6.9896522479542256E-2</v>
      </c>
    </row>
    <row r="246" spans="1:3" x14ac:dyDescent="0.45">
      <c r="A246" s="7">
        <v>222</v>
      </c>
      <c r="B246" s="7">
        <v>10.348249100751389</v>
      </c>
      <c r="C246" s="7">
        <v>6.7313294951162561E-2</v>
      </c>
    </row>
    <row r="247" spans="1:3" x14ac:dyDescent="0.45">
      <c r="A247" s="7">
        <v>223</v>
      </c>
      <c r="B247" s="7">
        <v>10.353652781421689</v>
      </c>
      <c r="C247" s="7">
        <v>6.6364097797107391E-2</v>
      </c>
    </row>
    <row r="248" spans="1:3" x14ac:dyDescent="0.45">
      <c r="A248" s="7">
        <v>224</v>
      </c>
      <c r="B248" s="7">
        <v>10.359056462091988</v>
      </c>
      <c r="C248" s="7">
        <v>6.4057870163198416E-2</v>
      </c>
    </row>
    <row r="249" spans="1:3" x14ac:dyDescent="0.45">
      <c r="A249" s="7">
        <v>225</v>
      </c>
      <c r="B249" s="7">
        <v>10.364460142762288</v>
      </c>
      <c r="C249" s="7">
        <v>6.1475233367618287E-2</v>
      </c>
    </row>
    <row r="250" spans="1:3" x14ac:dyDescent="0.45">
      <c r="A250" s="7">
        <v>226</v>
      </c>
      <c r="B250" s="7">
        <v>10.369863823432588</v>
      </c>
      <c r="C250" s="7">
        <v>6.5251480498792702E-2</v>
      </c>
    </row>
    <row r="251" spans="1:3" x14ac:dyDescent="0.45">
      <c r="A251" s="7">
        <v>227</v>
      </c>
      <c r="B251" s="7">
        <v>10.375267504102887</v>
      </c>
      <c r="C251" s="7">
        <v>7.1416052229682947E-2</v>
      </c>
    </row>
    <row r="252" spans="1:3" x14ac:dyDescent="0.45">
      <c r="A252" s="7">
        <v>228</v>
      </c>
      <c r="B252" s="7">
        <v>10.380671184773187</v>
      </c>
      <c r="C252" s="7">
        <v>7.0475241574280645E-2</v>
      </c>
    </row>
    <row r="253" spans="1:3" x14ac:dyDescent="0.45">
      <c r="A253" s="7">
        <v>229</v>
      </c>
      <c r="B253" s="7">
        <v>10.386074865443486</v>
      </c>
      <c r="C253" s="7">
        <v>7.2417862470381067E-2</v>
      </c>
    </row>
    <row r="254" spans="1:3" x14ac:dyDescent="0.45">
      <c r="A254" s="7">
        <v>230</v>
      </c>
      <c r="B254" s="7">
        <v>10.391478546113786</v>
      </c>
      <c r="C254" s="7">
        <v>7.0252424517486034E-2</v>
      </c>
    </row>
    <row r="255" spans="1:3" x14ac:dyDescent="0.45">
      <c r="A255" s="7">
        <v>231</v>
      </c>
      <c r="B255" s="7">
        <v>10.396882226784086</v>
      </c>
      <c r="C255" s="7">
        <v>7.4047549936928192E-2</v>
      </c>
    </row>
    <row r="256" spans="1:3" x14ac:dyDescent="0.45">
      <c r="A256" s="7">
        <v>232</v>
      </c>
      <c r="B256" s="7">
        <v>10.402285907454385</v>
      </c>
      <c r="C256" s="7">
        <v>7.7421673612397157E-2</v>
      </c>
    </row>
    <row r="257" spans="1:3" x14ac:dyDescent="0.45">
      <c r="A257" s="7">
        <v>233</v>
      </c>
      <c r="B257" s="7">
        <v>10.407689588124684</v>
      </c>
      <c r="C257" s="7">
        <v>7.6224274907270129E-2</v>
      </c>
    </row>
    <row r="258" spans="1:3" x14ac:dyDescent="0.45">
      <c r="A258" s="7">
        <v>234</v>
      </c>
      <c r="B258" s="7">
        <v>10.413093268794984</v>
      </c>
      <c r="C258" s="7">
        <v>7.9707560555876356E-2</v>
      </c>
    </row>
    <row r="259" spans="1:3" x14ac:dyDescent="0.45">
      <c r="A259" s="7">
        <v>235</v>
      </c>
      <c r="B259" s="7">
        <v>10.418496949465284</v>
      </c>
      <c r="C259" s="7">
        <v>8.0028690520469681E-2</v>
      </c>
    </row>
    <row r="260" spans="1:3" x14ac:dyDescent="0.45">
      <c r="A260" s="7">
        <v>236</v>
      </c>
      <c r="B260" s="7">
        <v>10.423900630135584</v>
      </c>
      <c r="C260" s="7">
        <v>7.3962940860468507E-2</v>
      </c>
    </row>
    <row r="261" spans="1:3" x14ac:dyDescent="0.45">
      <c r="A261" s="7">
        <v>237</v>
      </c>
      <c r="B261" s="7">
        <v>10.429304310805882</v>
      </c>
      <c r="C261" s="7">
        <v>7.7214230347081525E-2</v>
      </c>
    </row>
    <row r="262" spans="1:3" x14ac:dyDescent="0.45">
      <c r="A262" s="7">
        <v>238</v>
      </c>
      <c r="B262" s="7">
        <v>10.434707991476182</v>
      </c>
      <c r="C262" s="7">
        <v>7.4733529917512698E-2</v>
      </c>
    </row>
    <row r="263" spans="1:3" x14ac:dyDescent="0.45">
      <c r="A263" s="7">
        <v>239</v>
      </c>
      <c r="B263" s="7">
        <v>10.440111672146482</v>
      </c>
      <c r="C263" s="7">
        <v>7.3141452010540675E-2</v>
      </c>
    </row>
    <row r="264" spans="1:3" x14ac:dyDescent="0.45">
      <c r="A264" s="7">
        <v>240</v>
      </c>
      <c r="B264" s="7">
        <v>10.445515352816782</v>
      </c>
      <c r="C264" s="7">
        <v>7.4670208115884762E-2</v>
      </c>
    </row>
    <row r="265" spans="1:3" x14ac:dyDescent="0.45">
      <c r="A265" s="7">
        <v>241</v>
      </c>
      <c r="B265" s="7">
        <v>10.450919033487082</v>
      </c>
      <c r="C265" s="7">
        <v>7.3198768769813682E-2</v>
      </c>
    </row>
    <row r="266" spans="1:3" x14ac:dyDescent="0.45">
      <c r="A266" s="7">
        <v>242</v>
      </c>
      <c r="B266" s="7">
        <v>10.45632271415738</v>
      </c>
      <c r="C266" s="7">
        <v>6.8171341161010091E-2</v>
      </c>
    </row>
    <row r="267" spans="1:3" x14ac:dyDescent="0.45">
      <c r="A267" s="7">
        <v>243</v>
      </c>
      <c r="B267" s="7">
        <v>10.46172639482768</v>
      </c>
      <c r="C267" s="7">
        <v>6.6843607354263312E-2</v>
      </c>
    </row>
    <row r="268" spans="1:3" x14ac:dyDescent="0.45">
      <c r="A268" s="7">
        <v>244</v>
      </c>
      <c r="B268" s="7">
        <v>10.46713007549798</v>
      </c>
      <c r="C268" s="7">
        <v>6.2830524330101056E-2</v>
      </c>
    </row>
    <row r="269" spans="1:3" x14ac:dyDescent="0.45">
      <c r="A269" s="7">
        <v>245</v>
      </c>
      <c r="B269" s="7">
        <v>10.47253375616828</v>
      </c>
      <c r="C269" s="7">
        <v>5.3866263245341273E-2</v>
      </c>
    </row>
    <row r="270" spans="1:3" x14ac:dyDescent="0.45">
      <c r="A270" s="7">
        <v>246</v>
      </c>
      <c r="B270" s="7">
        <v>10.477937436838578</v>
      </c>
      <c r="C270" s="7">
        <v>4.9025623008175145E-2</v>
      </c>
    </row>
    <row r="271" spans="1:3" x14ac:dyDescent="0.45">
      <c r="A271" s="7">
        <v>247</v>
      </c>
      <c r="B271" s="7">
        <v>10.483341117508878</v>
      </c>
      <c r="C271" s="7">
        <v>3.3438390337730439E-2</v>
      </c>
    </row>
    <row r="272" spans="1:3" x14ac:dyDescent="0.45">
      <c r="A272" s="7">
        <v>248</v>
      </c>
      <c r="B272" s="7">
        <v>10.488744798179178</v>
      </c>
      <c r="C272" s="7">
        <v>1.6651454482623507E-2</v>
      </c>
    </row>
    <row r="273" spans="1:3" x14ac:dyDescent="0.45">
      <c r="A273" s="7">
        <v>249</v>
      </c>
      <c r="B273" s="7">
        <v>10.494148478849478</v>
      </c>
      <c r="C273" s="7">
        <v>6.690956791727487E-3</v>
      </c>
    </row>
    <row r="274" spans="1:3" x14ac:dyDescent="0.45">
      <c r="A274" s="7">
        <v>250</v>
      </c>
      <c r="B274" s="7">
        <v>10.499552159519776</v>
      </c>
      <c r="C274" s="7">
        <v>-5.6979398181429275E-3</v>
      </c>
    </row>
    <row r="275" spans="1:3" x14ac:dyDescent="0.45">
      <c r="A275" s="7">
        <v>251</v>
      </c>
      <c r="B275" s="7">
        <v>10.504955840190076</v>
      </c>
      <c r="C275" s="7">
        <v>-6.7060090154047458E-3</v>
      </c>
    </row>
    <row r="276" spans="1:3" x14ac:dyDescent="0.45">
      <c r="A276" s="7">
        <v>252</v>
      </c>
      <c r="B276" s="7">
        <v>10.510359520860376</v>
      </c>
      <c r="C276" s="7">
        <v>-1.5508374931787472E-2</v>
      </c>
    </row>
    <row r="277" spans="1:3" x14ac:dyDescent="0.45">
      <c r="A277" s="7">
        <v>253</v>
      </c>
      <c r="B277" s="7">
        <v>10.515763201530676</v>
      </c>
      <c r="C277" s="7">
        <v>-1.7127259316705334E-2</v>
      </c>
    </row>
    <row r="278" spans="1:3" x14ac:dyDescent="0.45">
      <c r="A278" s="7">
        <v>254</v>
      </c>
      <c r="B278" s="7">
        <v>10.521166882200976</v>
      </c>
      <c r="C278" s="7">
        <v>-1.552416561066039E-2</v>
      </c>
    </row>
    <row r="279" spans="1:3" x14ac:dyDescent="0.45">
      <c r="A279" s="7">
        <v>255</v>
      </c>
      <c r="B279" s="7">
        <v>10.526570562871274</v>
      </c>
      <c r="C279" s="7">
        <v>-1.5929542942176411E-2</v>
      </c>
    </row>
    <row r="280" spans="1:3" x14ac:dyDescent="0.45">
      <c r="A280" s="7">
        <v>256</v>
      </c>
      <c r="B280" s="7">
        <v>10.531974243541574</v>
      </c>
      <c r="C280" s="7">
        <v>-1.7390483334370543E-2</v>
      </c>
    </row>
    <row r="281" spans="1:3" x14ac:dyDescent="0.45">
      <c r="A281" s="7">
        <v>257</v>
      </c>
      <c r="B281" s="7">
        <v>10.537377924211874</v>
      </c>
      <c r="C281" s="7">
        <v>-2.0760899101832209E-2</v>
      </c>
    </row>
    <row r="282" spans="1:3" x14ac:dyDescent="0.45">
      <c r="A282" s="7">
        <v>258</v>
      </c>
      <c r="B282" s="7">
        <v>10.542781604882174</v>
      </c>
      <c r="C282" s="7">
        <v>-2.6950285389707673E-2</v>
      </c>
    </row>
    <row r="283" spans="1:3" x14ac:dyDescent="0.45">
      <c r="A283" s="7">
        <v>259</v>
      </c>
      <c r="B283" s="7">
        <v>10.548185285552474</v>
      </c>
      <c r="C283" s="7">
        <v>-3.1459935684702955E-2</v>
      </c>
    </row>
    <row r="284" spans="1:3" x14ac:dyDescent="0.45">
      <c r="A284" s="7">
        <v>260</v>
      </c>
      <c r="B284" s="7">
        <v>10.553588966222772</v>
      </c>
      <c r="C284" s="7">
        <v>-3.7215714729507354E-2</v>
      </c>
    </row>
    <row r="285" spans="1:3" x14ac:dyDescent="0.45">
      <c r="A285" s="7">
        <v>261</v>
      </c>
      <c r="B285" s="7">
        <v>10.558992646893072</v>
      </c>
      <c r="C285" s="7">
        <v>-3.7216167341425077E-2</v>
      </c>
    </row>
    <row r="286" spans="1:3" x14ac:dyDescent="0.45">
      <c r="A286" s="7">
        <v>262</v>
      </c>
      <c r="B286" s="7">
        <v>10.564396327563372</v>
      </c>
      <c r="C286" s="7">
        <v>-4.2646791659088024E-2</v>
      </c>
    </row>
    <row r="287" spans="1:3" x14ac:dyDescent="0.45">
      <c r="A287" s="7">
        <v>263</v>
      </c>
      <c r="B287" s="7">
        <v>10.569800008233672</v>
      </c>
      <c r="C287" s="7">
        <v>-4.8104361802092654E-2</v>
      </c>
    </row>
    <row r="288" spans="1:3" x14ac:dyDescent="0.45">
      <c r="A288" s="7">
        <v>264</v>
      </c>
      <c r="B288" s="7">
        <v>10.575203688903972</v>
      </c>
      <c r="C288" s="7">
        <v>-5.1596742341455837E-2</v>
      </c>
    </row>
    <row r="289" spans="1:3" x14ac:dyDescent="0.45">
      <c r="A289" s="7">
        <v>265</v>
      </c>
      <c r="B289" s="7">
        <v>10.58060736957427</v>
      </c>
      <c r="C289" s="7">
        <v>-5.2144416581530351E-2</v>
      </c>
    </row>
    <row r="290" spans="1:3" x14ac:dyDescent="0.45">
      <c r="A290" s="7">
        <v>266</v>
      </c>
      <c r="B290" s="7">
        <v>10.58601105024457</v>
      </c>
      <c r="C290" s="7">
        <v>-5.6397918579873973E-2</v>
      </c>
    </row>
    <row r="291" spans="1:3" x14ac:dyDescent="0.45">
      <c r="A291" s="7">
        <v>267</v>
      </c>
      <c r="B291" s="7">
        <v>10.59141473091487</v>
      </c>
      <c r="C291" s="7">
        <v>-5.9825314021962228E-2</v>
      </c>
    </row>
    <row r="292" spans="1:3" x14ac:dyDescent="0.45">
      <c r="A292" s="7">
        <v>268</v>
      </c>
      <c r="B292" s="7">
        <v>10.59681841158517</v>
      </c>
      <c r="C292" s="7">
        <v>-5.8581094869904149E-2</v>
      </c>
    </row>
    <row r="293" spans="1:3" x14ac:dyDescent="0.45">
      <c r="A293" s="7">
        <v>269</v>
      </c>
      <c r="B293" s="7">
        <v>10.60222209225547</v>
      </c>
      <c r="C293" s="7">
        <v>-6.2210622100487001E-2</v>
      </c>
    </row>
    <row r="294" spans="1:3" x14ac:dyDescent="0.45">
      <c r="A294" s="7">
        <v>270</v>
      </c>
      <c r="B294" s="7">
        <v>10.607625772925768</v>
      </c>
      <c r="C294" s="7">
        <v>-5.9866207611831257E-2</v>
      </c>
    </row>
    <row r="295" spans="1:3" x14ac:dyDescent="0.45">
      <c r="A295" s="7">
        <v>271</v>
      </c>
      <c r="B295" s="7">
        <v>10.613029453596068</v>
      </c>
      <c r="C295" s="7">
        <v>-5.7607416334070294E-2</v>
      </c>
    </row>
    <row r="296" spans="1:3" x14ac:dyDescent="0.45">
      <c r="A296" s="7">
        <v>272</v>
      </c>
      <c r="B296" s="7">
        <v>10.618433134266368</v>
      </c>
      <c r="C296" s="7">
        <v>-5.3727760964468629E-2</v>
      </c>
    </row>
    <row r="297" spans="1:3" x14ac:dyDescent="0.45">
      <c r="A297" s="7">
        <v>273</v>
      </c>
      <c r="B297" s="7">
        <v>10.623836814936668</v>
      </c>
      <c r="C297" s="7">
        <v>-5.3212437272826207E-2</v>
      </c>
    </row>
    <row r="298" spans="1:3" x14ac:dyDescent="0.45">
      <c r="A298" s="7">
        <v>274</v>
      </c>
      <c r="B298" s="7">
        <v>10.629240495606966</v>
      </c>
      <c r="C298" s="7">
        <v>-5.3548539530817507E-2</v>
      </c>
    </row>
    <row r="299" spans="1:3" x14ac:dyDescent="0.45">
      <c r="A299" s="7">
        <v>275</v>
      </c>
      <c r="B299" s="7">
        <v>10.634644176277266</v>
      </c>
      <c r="C299" s="7">
        <v>-5.4062608503441467E-2</v>
      </c>
    </row>
    <row r="300" spans="1:3" x14ac:dyDescent="0.45">
      <c r="A300" s="7">
        <v>276</v>
      </c>
      <c r="B300" s="7">
        <v>10.640047856947566</v>
      </c>
      <c r="C300" s="7">
        <v>-5.7512048230995205E-2</v>
      </c>
    </row>
    <row r="301" spans="1:3" x14ac:dyDescent="0.45">
      <c r="A301" s="7">
        <v>277</v>
      </c>
      <c r="B301" s="7">
        <v>10.645451537617866</v>
      </c>
      <c r="C301" s="7">
        <v>-5.7176650866272993E-2</v>
      </c>
    </row>
    <row r="302" spans="1:3" x14ac:dyDescent="0.45">
      <c r="A302" s="7">
        <v>278</v>
      </c>
      <c r="B302" s="7">
        <v>10.650855218288164</v>
      </c>
      <c r="C302" s="7">
        <v>-5.9434052244977664E-2</v>
      </c>
    </row>
    <row r="303" spans="1:3" x14ac:dyDescent="0.45">
      <c r="A303" s="7">
        <v>279</v>
      </c>
      <c r="B303" s="7">
        <v>10.656258898958464</v>
      </c>
      <c r="C303" s="7">
        <v>-5.9924210871393768E-2</v>
      </c>
    </row>
    <row r="304" spans="1:3" x14ac:dyDescent="0.45">
      <c r="A304" s="7">
        <v>280</v>
      </c>
      <c r="B304" s="7">
        <v>10.661662579628764</v>
      </c>
      <c r="C304" s="7">
        <v>-6.213204342066625E-2</v>
      </c>
    </row>
    <row r="305" spans="1:3" x14ac:dyDescent="0.45">
      <c r="A305" s="7">
        <v>281</v>
      </c>
      <c r="B305" s="7">
        <v>10.667066260299064</v>
      </c>
      <c r="C305" s="7">
        <v>-6.1397457573120207E-2</v>
      </c>
    </row>
    <row r="306" spans="1:3" x14ac:dyDescent="0.45">
      <c r="A306" s="7">
        <v>282</v>
      </c>
      <c r="B306" s="7">
        <v>10.672469940969364</v>
      </c>
      <c r="C306" s="7">
        <v>-6.3387996821536063E-2</v>
      </c>
    </row>
    <row r="307" spans="1:3" x14ac:dyDescent="0.45">
      <c r="A307" s="7">
        <v>283</v>
      </c>
      <c r="B307" s="7">
        <v>10.677873621639662</v>
      </c>
      <c r="C307" s="7">
        <v>-6.3841111367167969E-2</v>
      </c>
    </row>
    <row r="308" spans="1:3" x14ac:dyDescent="0.45">
      <c r="A308" s="7">
        <v>284</v>
      </c>
      <c r="B308" s="7">
        <v>10.683277302309962</v>
      </c>
      <c r="C308" s="7">
        <v>-6.0049324944367655E-2</v>
      </c>
    </row>
    <row r="309" spans="1:3" x14ac:dyDescent="0.45">
      <c r="A309" s="7">
        <v>285</v>
      </c>
      <c r="B309" s="7">
        <v>10.688680982980262</v>
      </c>
      <c r="C309" s="7">
        <v>-5.9458060291037285E-2</v>
      </c>
    </row>
    <row r="310" spans="1:3" x14ac:dyDescent="0.45">
      <c r="A310" s="7">
        <v>286</v>
      </c>
      <c r="B310" s="7">
        <v>10.694084663650562</v>
      </c>
      <c r="C310" s="7">
        <v>-6.085284842080263E-2</v>
      </c>
    </row>
    <row r="311" spans="1:3" x14ac:dyDescent="0.45">
      <c r="A311" s="7">
        <v>287</v>
      </c>
      <c r="B311" s="7">
        <v>10.699488344320862</v>
      </c>
      <c r="C311" s="7">
        <v>-6.3224327701595584E-2</v>
      </c>
    </row>
    <row r="312" spans="1:3" x14ac:dyDescent="0.45">
      <c r="A312" s="7">
        <v>288</v>
      </c>
      <c r="B312" s="7">
        <v>10.70489202499116</v>
      </c>
      <c r="C312" s="7">
        <v>-6.6971404989544681E-2</v>
      </c>
    </row>
    <row r="313" spans="1:3" x14ac:dyDescent="0.45">
      <c r="A313" s="7">
        <v>289</v>
      </c>
      <c r="B313" s="7">
        <v>10.71029570566146</v>
      </c>
      <c r="C313" s="7">
        <v>-7.1823493823806928E-2</v>
      </c>
    </row>
    <row r="314" spans="1:3" x14ac:dyDescent="0.45">
      <c r="A314" s="7">
        <v>290</v>
      </c>
      <c r="B314" s="7">
        <v>10.71569938633176</v>
      </c>
      <c r="C314" s="7">
        <v>-6.9893609229238152E-2</v>
      </c>
    </row>
    <row r="315" spans="1:3" x14ac:dyDescent="0.45">
      <c r="A315" s="7">
        <v>291</v>
      </c>
      <c r="B315" s="7">
        <v>10.72110306700206</v>
      </c>
      <c r="C315" s="7">
        <v>-6.546856085338959E-2</v>
      </c>
    </row>
    <row r="316" spans="1:3" x14ac:dyDescent="0.45">
      <c r="A316" s="7">
        <v>292</v>
      </c>
      <c r="B316" s="7">
        <v>10.72650674767236</v>
      </c>
      <c r="C316" s="7">
        <v>-6.5771089169762931E-2</v>
      </c>
    </row>
    <row r="317" spans="1:3" x14ac:dyDescent="0.45">
      <c r="A317" s="7">
        <v>293</v>
      </c>
      <c r="B317" s="7">
        <v>10.731910428342658</v>
      </c>
      <c r="C317" s="7">
        <v>-8.9203507144201666E-2</v>
      </c>
    </row>
    <row r="318" spans="1:3" x14ac:dyDescent="0.45">
      <c r="A318" s="7">
        <v>294</v>
      </c>
      <c r="B318" s="7">
        <v>10.737314109012958</v>
      </c>
      <c r="C318" s="7">
        <v>-0.1857813498293055</v>
      </c>
    </row>
    <row r="319" spans="1:3" x14ac:dyDescent="0.45">
      <c r="A319" s="7">
        <v>295</v>
      </c>
      <c r="B319" s="7">
        <v>10.742717789683258</v>
      </c>
      <c r="C319" s="7">
        <v>-0.10650183150306347</v>
      </c>
    </row>
    <row r="320" spans="1:3" x14ac:dyDescent="0.45">
      <c r="A320" s="7">
        <v>296</v>
      </c>
      <c r="B320" s="7">
        <v>10.748121470353558</v>
      </c>
      <c r="C320" s="7">
        <v>-9.8918006584703733E-2</v>
      </c>
    </row>
    <row r="321" spans="1:3" x14ac:dyDescent="0.45">
      <c r="A321" s="7">
        <v>297</v>
      </c>
      <c r="B321" s="7">
        <v>10.753525151023858</v>
      </c>
      <c r="C321" s="7">
        <v>-8.1690185364848844E-2</v>
      </c>
    </row>
    <row r="322" spans="1:3" x14ac:dyDescent="0.45">
      <c r="A322" s="7">
        <v>298</v>
      </c>
      <c r="B322" s="7">
        <v>10.758928831694156</v>
      </c>
      <c r="C322" s="7">
        <v>-5.3237920321642207E-2</v>
      </c>
    </row>
    <row r="323" spans="1:3" x14ac:dyDescent="0.45">
      <c r="A323" s="7">
        <v>299</v>
      </c>
      <c r="B323" s="7">
        <v>10.764332512364456</v>
      </c>
      <c r="C323" s="7">
        <v>-5.1605060281529447E-2</v>
      </c>
    </row>
    <row r="324" spans="1:3" x14ac:dyDescent="0.45">
      <c r="A324" s="7">
        <v>300</v>
      </c>
      <c r="B324" s="7">
        <v>10.769736193034756</v>
      </c>
      <c r="C324" s="7">
        <v>-4.8850497600826159E-2</v>
      </c>
    </row>
    <row r="325" spans="1:3" x14ac:dyDescent="0.45">
      <c r="A325" s="7">
        <v>301</v>
      </c>
      <c r="B325" s="7">
        <v>10.775139873705056</v>
      </c>
      <c r="C325" s="7">
        <v>-5.4408742896006501E-2</v>
      </c>
    </row>
    <row r="326" spans="1:3" x14ac:dyDescent="0.45">
      <c r="A326" s="7">
        <v>302</v>
      </c>
      <c r="B326" s="7">
        <v>10.780543554375354</v>
      </c>
      <c r="C326" s="7">
        <v>-5.3165687237404669E-2</v>
      </c>
    </row>
    <row r="327" spans="1:3" x14ac:dyDescent="0.45">
      <c r="A327" s="7">
        <v>303</v>
      </c>
      <c r="B327" s="7">
        <v>10.785947235045654</v>
      </c>
      <c r="C327" s="7">
        <v>-5.587486371986472E-2</v>
      </c>
    </row>
    <row r="328" spans="1:3" x14ac:dyDescent="0.45">
      <c r="A328" s="7">
        <v>304</v>
      </c>
      <c r="B328" s="7">
        <v>10.791350915715954</v>
      </c>
      <c r="C328" s="7">
        <v>-6.1453576115111375E-2</v>
      </c>
    </row>
    <row r="329" spans="1:3" x14ac:dyDescent="0.45">
      <c r="A329" s="7">
        <v>305</v>
      </c>
      <c r="B329" s="7">
        <v>10.796754596386254</v>
      </c>
      <c r="C329" s="7">
        <v>-5.773093967110654E-2</v>
      </c>
    </row>
    <row r="330" spans="1:3" x14ac:dyDescent="0.45">
      <c r="A330" s="7">
        <v>306</v>
      </c>
      <c r="B330" s="7">
        <v>10.802158277056552</v>
      </c>
      <c r="C330" s="7">
        <v>-6.1358267029977043E-2</v>
      </c>
    </row>
    <row r="331" spans="1:3" x14ac:dyDescent="0.45">
      <c r="A331" s="7">
        <v>307</v>
      </c>
      <c r="B331" s="7">
        <v>10.807561957726852</v>
      </c>
      <c r="C331" s="7">
        <v>-6.1580924518276348E-2</v>
      </c>
    </row>
    <row r="332" spans="1:3" x14ac:dyDescent="0.45">
      <c r="A332" s="7">
        <v>308</v>
      </c>
      <c r="B332" s="7">
        <v>10.812965638397152</v>
      </c>
      <c r="C332" s="7">
        <v>-6.200166998722878E-2</v>
      </c>
    </row>
    <row r="333" spans="1:3" x14ac:dyDescent="0.45">
      <c r="A333" s="7">
        <v>309</v>
      </c>
      <c r="B333" s="7">
        <v>10.818369319067452</v>
      </c>
      <c r="C333" s="7">
        <v>-6.530792672279162E-2</v>
      </c>
    </row>
    <row r="334" spans="1:3" x14ac:dyDescent="0.45">
      <c r="A334" s="7">
        <v>310</v>
      </c>
      <c r="B334" s="7">
        <v>10.823772999737752</v>
      </c>
      <c r="C334" s="7">
        <v>-6.3511201353223967E-2</v>
      </c>
    </row>
    <row r="335" spans="1:3" x14ac:dyDescent="0.45">
      <c r="A335" s="7">
        <v>311</v>
      </c>
      <c r="B335" s="7">
        <v>10.82917668040805</v>
      </c>
      <c r="C335" s="7">
        <v>-6.1218144727563484E-2</v>
      </c>
    </row>
    <row r="336" spans="1:3" x14ac:dyDescent="0.45">
      <c r="A336" s="7">
        <v>312</v>
      </c>
      <c r="B336" s="7">
        <v>10.83458036107835</v>
      </c>
      <c r="C336" s="7">
        <v>-5.852410555930021E-2</v>
      </c>
    </row>
    <row r="337" spans="1:3" x14ac:dyDescent="0.45">
      <c r="A337" s="7">
        <v>313</v>
      </c>
      <c r="B337" s="7">
        <v>10.83998404174865</v>
      </c>
      <c r="C337" s="7">
        <v>-6.3509996747638908E-2</v>
      </c>
    </row>
    <row r="338" spans="1:3" x14ac:dyDescent="0.45">
      <c r="A338" s="7">
        <v>314</v>
      </c>
      <c r="B338" s="7">
        <v>10.84538772241895</v>
      </c>
      <c r="C338" s="7">
        <v>-6.3996898413462233E-2</v>
      </c>
    </row>
    <row r="339" spans="1:3" x14ac:dyDescent="0.45">
      <c r="A339" s="7">
        <v>315</v>
      </c>
      <c r="B339" s="7">
        <v>10.85079140308925</v>
      </c>
      <c r="C339" s="7">
        <v>-6.2049812464424647E-2</v>
      </c>
    </row>
    <row r="340" spans="1:3" ht="14.65" thickBot="1" x14ac:dyDescent="0.5">
      <c r="A340" s="8">
        <v>316</v>
      </c>
      <c r="B340" s="8">
        <v>10.856195083759548</v>
      </c>
      <c r="C340" s="8">
        <v>-6.3335888700528642E-2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7"/>
  <sheetViews>
    <sheetView topLeftCell="A2" workbookViewId="0">
      <selection activeCell="D2" sqref="D2:D317"/>
    </sheetView>
  </sheetViews>
  <sheetFormatPr defaultRowHeight="14.25" x14ac:dyDescent="0.45"/>
  <cols>
    <col min="1" max="1" width="16.59765625" bestFit="1" customWidth="1"/>
    <col min="2" max="2" width="17.3984375" bestFit="1" customWidth="1"/>
  </cols>
  <sheetData>
    <row r="1" spans="1:4" x14ac:dyDescent="0.45">
      <c r="A1" s="2" t="s">
        <v>9</v>
      </c>
      <c r="B1" s="2" t="s">
        <v>10</v>
      </c>
      <c r="C1" t="s">
        <v>11</v>
      </c>
      <c r="D1" t="s">
        <v>12</v>
      </c>
    </row>
    <row r="2" spans="1:4" x14ac:dyDescent="0.45">
      <c r="A2" s="3">
        <v>17168</v>
      </c>
      <c r="B2">
        <v>9441</v>
      </c>
      <c r="C2">
        <f>LN(B2)</f>
        <v>9.1528171857325162</v>
      </c>
      <c r="D2">
        <f>1</f>
        <v>1</v>
      </c>
    </row>
    <row r="3" spans="1:4" x14ac:dyDescent="0.45">
      <c r="A3" s="3">
        <v>17258</v>
      </c>
      <c r="B3">
        <v>9555</v>
      </c>
      <c r="C3">
        <f t="shared" ref="C3:C66" si="0">LN(B3)</f>
        <v>9.1648198566743737</v>
      </c>
      <c r="D3">
        <f>D2+1</f>
        <v>2</v>
      </c>
    </row>
    <row r="4" spans="1:4" x14ac:dyDescent="0.45">
      <c r="A4" s="3">
        <v>17349</v>
      </c>
      <c r="B4">
        <v>9542</v>
      </c>
      <c r="C4">
        <f t="shared" si="0"/>
        <v>9.1634583860760515</v>
      </c>
      <c r="D4">
        <f t="shared" ref="D4:D67" si="1">D3+1</f>
        <v>3</v>
      </c>
    </row>
    <row r="5" spans="1:4" x14ac:dyDescent="0.45">
      <c r="A5" s="3">
        <v>17441</v>
      </c>
      <c r="B5">
        <v>9501</v>
      </c>
      <c r="C5">
        <f t="shared" si="0"/>
        <v>9.1591523352067501</v>
      </c>
      <c r="D5">
        <f t="shared" si="1"/>
        <v>4</v>
      </c>
    </row>
    <row r="6" spans="1:4" x14ac:dyDescent="0.45">
      <c r="A6" s="3">
        <v>17533</v>
      </c>
      <c r="B6">
        <v>9510</v>
      </c>
      <c r="C6">
        <f t="shared" si="0"/>
        <v>9.1600991555394362</v>
      </c>
      <c r="D6">
        <f t="shared" si="1"/>
        <v>5</v>
      </c>
    </row>
    <row r="7" spans="1:4" x14ac:dyDescent="0.45">
      <c r="A7" s="3">
        <v>17624</v>
      </c>
      <c r="B7">
        <v>9582</v>
      </c>
      <c r="C7">
        <f t="shared" si="0"/>
        <v>9.167641617443067</v>
      </c>
      <c r="D7">
        <f t="shared" si="1"/>
        <v>6</v>
      </c>
    </row>
    <row r="8" spans="1:4" x14ac:dyDescent="0.45">
      <c r="A8" s="3">
        <v>17715</v>
      </c>
      <c r="B8">
        <v>9555</v>
      </c>
      <c r="C8">
        <f t="shared" si="0"/>
        <v>9.1648198566743737</v>
      </c>
      <c r="D8">
        <f t="shared" si="1"/>
        <v>7</v>
      </c>
    </row>
    <row r="9" spans="1:4" x14ac:dyDescent="0.45">
      <c r="A9" s="3">
        <v>17807</v>
      </c>
      <c r="B9">
        <v>9587</v>
      </c>
      <c r="C9">
        <f t="shared" si="0"/>
        <v>9.1681632930769972</v>
      </c>
      <c r="D9">
        <f t="shared" si="1"/>
        <v>8</v>
      </c>
    </row>
    <row r="10" spans="1:4" x14ac:dyDescent="0.45">
      <c r="A10" s="3">
        <v>17899</v>
      </c>
      <c r="B10">
        <v>9560</v>
      </c>
      <c r="C10">
        <f t="shared" si="0"/>
        <v>9.1653430060454468</v>
      </c>
      <c r="D10">
        <f t="shared" si="1"/>
        <v>9</v>
      </c>
    </row>
    <row r="11" spans="1:4" x14ac:dyDescent="0.45">
      <c r="A11" s="3">
        <v>17989</v>
      </c>
      <c r="B11">
        <v>9668</v>
      </c>
      <c r="C11">
        <f t="shared" si="0"/>
        <v>9.1765767418233732</v>
      </c>
      <c r="D11">
        <f t="shared" si="1"/>
        <v>10</v>
      </c>
    </row>
    <row r="12" spans="1:4" x14ac:dyDescent="0.45">
      <c r="A12" s="3">
        <v>18080</v>
      </c>
      <c r="B12">
        <v>9649</v>
      </c>
      <c r="C12">
        <f t="shared" si="0"/>
        <v>9.1746095620203842</v>
      </c>
      <c r="D12">
        <f t="shared" si="1"/>
        <v>11</v>
      </c>
    </row>
    <row r="13" spans="1:4" x14ac:dyDescent="0.45">
      <c r="A13" s="3">
        <v>18172</v>
      </c>
      <c r="B13">
        <v>9746</v>
      </c>
      <c r="C13">
        <f t="shared" si="0"/>
        <v>9.1846122234034517</v>
      </c>
      <c r="D13">
        <f t="shared" si="1"/>
        <v>12</v>
      </c>
    </row>
    <row r="14" spans="1:4" x14ac:dyDescent="0.45">
      <c r="A14" s="3">
        <v>18264</v>
      </c>
      <c r="B14">
        <v>9867</v>
      </c>
      <c r="C14">
        <f t="shared" si="0"/>
        <v>9.1969511348571675</v>
      </c>
      <c r="D14">
        <f t="shared" si="1"/>
        <v>13</v>
      </c>
    </row>
    <row r="15" spans="1:4" x14ac:dyDescent="0.45">
      <c r="A15" s="3">
        <v>18354</v>
      </c>
      <c r="B15">
        <v>9994</v>
      </c>
      <c r="C15">
        <f t="shared" si="0"/>
        <v>9.2097401919041495</v>
      </c>
      <c r="D15">
        <f t="shared" si="1"/>
        <v>14</v>
      </c>
    </row>
    <row r="16" spans="1:4" x14ac:dyDescent="0.45">
      <c r="A16" s="3">
        <v>18445</v>
      </c>
      <c r="B16">
        <v>10463</v>
      </c>
      <c r="C16">
        <f t="shared" si="0"/>
        <v>9.2556005033810465</v>
      </c>
      <c r="D16">
        <f t="shared" si="1"/>
        <v>15</v>
      </c>
    </row>
    <row r="17" spans="1:4" x14ac:dyDescent="0.45">
      <c r="A17" s="3">
        <v>18537</v>
      </c>
      <c r="B17">
        <v>10102</v>
      </c>
      <c r="C17">
        <f t="shared" si="0"/>
        <v>9.2204887030279981</v>
      </c>
      <c r="D17">
        <f t="shared" si="1"/>
        <v>16</v>
      </c>
    </row>
    <row r="18" spans="1:4" x14ac:dyDescent="0.45">
      <c r="A18" s="3">
        <v>18629</v>
      </c>
      <c r="B18">
        <v>10303</v>
      </c>
      <c r="C18">
        <f t="shared" si="0"/>
        <v>9.2401903939450687</v>
      </c>
      <c r="D18">
        <f t="shared" si="1"/>
        <v>17</v>
      </c>
    </row>
    <row r="19" spans="1:4" x14ac:dyDescent="0.45">
      <c r="A19" s="3">
        <v>18719</v>
      </c>
      <c r="B19">
        <v>9972</v>
      </c>
      <c r="C19">
        <f t="shared" si="0"/>
        <v>9.2075364446434484</v>
      </c>
      <c r="D19">
        <f t="shared" si="1"/>
        <v>18</v>
      </c>
    </row>
    <row r="20" spans="1:4" x14ac:dyDescent="0.45">
      <c r="A20" s="3">
        <v>18810</v>
      </c>
      <c r="B20">
        <v>10042</v>
      </c>
      <c r="C20">
        <f t="shared" si="0"/>
        <v>9.2145315765946503</v>
      </c>
      <c r="D20">
        <f t="shared" si="1"/>
        <v>19</v>
      </c>
    </row>
    <row r="21" spans="1:4" x14ac:dyDescent="0.45">
      <c r="A21" s="3">
        <v>18902</v>
      </c>
      <c r="B21">
        <v>10053</v>
      </c>
      <c r="C21">
        <f t="shared" si="0"/>
        <v>9.2156263764054209</v>
      </c>
      <c r="D21">
        <f t="shared" si="1"/>
        <v>20</v>
      </c>
    </row>
    <row r="22" spans="1:4" x14ac:dyDescent="0.45">
      <c r="A22" s="3">
        <v>18994</v>
      </c>
      <c r="B22">
        <v>10035</v>
      </c>
      <c r="C22">
        <f t="shared" si="0"/>
        <v>9.2138342612304385</v>
      </c>
      <c r="D22">
        <f t="shared" si="1"/>
        <v>21</v>
      </c>
    </row>
    <row r="23" spans="1:4" x14ac:dyDescent="0.45">
      <c r="A23" s="3">
        <v>19085</v>
      </c>
      <c r="B23">
        <v>10192</v>
      </c>
      <c r="C23">
        <f t="shared" si="0"/>
        <v>9.2293583778119448</v>
      </c>
      <c r="D23">
        <f t="shared" si="1"/>
        <v>22</v>
      </c>
    </row>
    <row r="24" spans="1:4" x14ac:dyDescent="0.45">
      <c r="A24" s="3">
        <v>19176</v>
      </c>
      <c r="B24">
        <v>10197</v>
      </c>
      <c r="C24">
        <f t="shared" si="0"/>
        <v>9.2298488383642265</v>
      </c>
      <c r="D24">
        <f t="shared" si="1"/>
        <v>23</v>
      </c>
    </row>
    <row r="25" spans="1:4" x14ac:dyDescent="0.45">
      <c r="A25" s="3">
        <v>19268</v>
      </c>
      <c r="B25">
        <v>10508</v>
      </c>
      <c r="C25">
        <f t="shared" si="0"/>
        <v>9.259892150805431</v>
      </c>
      <c r="D25">
        <f t="shared" si="1"/>
        <v>24</v>
      </c>
    </row>
    <row r="26" spans="1:4" x14ac:dyDescent="0.45">
      <c r="A26" s="3">
        <v>19360</v>
      </c>
      <c r="B26">
        <v>10592</v>
      </c>
      <c r="C26">
        <f t="shared" si="0"/>
        <v>9.2678542781767899</v>
      </c>
      <c r="D26">
        <f t="shared" si="1"/>
        <v>25</v>
      </c>
    </row>
    <row r="27" spans="1:4" x14ac:dyDescent="0.45">
      <c r="A27" s="3">
        <v>19450</v>
      </c>
      <c r="B27">
        <v>10617</v>
      </c>
      <c r="C27">
        <f t="shared" si="0"/>
        <v>9.2702117690135726</v>
      </c>
      <c r="D27">
        <f t="shared" si="1"/>
        <v>26</v>
      </c>
    </row>
    <row r="28" spans="1:4" x14ac:dyDescent="0.45">
      <c r="A28" s="3">
        <v>19541</v>
      </c>
      <c r="B28">
        <v>10543</v>
      </c>
      <c r="C28">
        <f t="shared" si="0"/>
        <v>9.2632174115769494</v>
      </c>
      <c r="D28">
        <f t="shared" si="1"/>
        <v>27</v>
      </c>
    </row>
    <row r="29" spans="1:4" x14ac:dyDescent="0.45">
      <c r="A29" s="3">
        <v>19633</v>
      </c>
      <c r="B29">
        <v>10424</v>
      </c>
      <c r="C29">
        <f t="shared" si="0"/>
        <v>9.2518661188046813</v>
      </c>
      <c r="D29">
        <f t="shared" si="1"/>
        <v>28</v>
      </c>
    </row>
    <row r="30" spans="1:4" x14ac:dyDescent="0.45">
      <c r="A30" s="3">
        <v>19725</v>
      </c>
      <c r="B30">
        <v>10417</v>
      </c>
      <c r="C30">
        <f t="shared" si="0"/>
        <v>9.251194365984448</v>
      </c>
      <c r="D30">
        <f t="shared" si="1"/>
        <v>29</v>
      </c>
    </row>
    <row r="31" spans="1:4" x14ac:dyDescent="0.45">
      <c r="A31" s="3">
        <v>19815</v>
      </c>
      <c r="B31">
        <v>10510</v>
      </c>
      <c r="C31">
        <f t="shared" si="0"/>
        <v>9.2600824638709973</v>
      </c>
      <c r="D31">
        <f t="shared" si="1"/>
        <v>30</v>
      </c>
    </row>
    <row r="32" spans="1:4" x14ac:dyDescent="0.45">
      <c r="A32" s="3">
        <v>19906</v>
      </c>
      <c r="B32">
        <v>10603</v>
      </c>
      <c r="C32">
        <f t="shared" si="0"/>
        <v>9.2688922589257974</v>
      </c>
      <c r="D32">
        <f t="shared" si="1"/>
        <v>31</v>
      </c>
    </row>
    <row r="33" spans="1:4" x14ac:dyDescent="0.45">
      <c r="A33" s="3">
        <v>19998</v>
      </c>
      <c r="B33">
        <v>10773</v>
      </c>
      <c r="C33">
        <f t="shared" si="0"/>
        <v>9.284798282894192</v>
      </c>
      <c r="D33">
        <f t="shared" si="1"/>
        <v>32</v>
      </c>
    </row>
    <row r="34" spans="1:4" x14ac:dyDescent="0.45">
      <c r="A34" s="3">
        <v>20090</v>
      </c>
      <c r="B34">
        <v>10969</v>
      </c>
      <c r="C34">
        <f t="shared" si="0"/>
        <v>9.3028283914113334</v>
      </c>
      <c r="D34">
        <f t="shared" si="1"/>
        <v>33</v>
      </c>
    </row>
    <row r="35" spans="1:4" x14ac:dyDescent="0.45">
      <c r="A35" s="3">
        <v>20180</v>
      </c>
      <c r="B35">
        <v>11135</v>
      </c>
      <c r="C35">
        <f t="shared" si="0"/>
        <v>9.3178485796914678</v>
      </c>
      <c r="D35">
        <f t="shared" si="1"/>
        <v>34</v>
      </c>
    </row>
    <row r="36" spans="1:4" x14ac:dyDescent="0.45">
      <c r="A36" s="3">
        <v>20271</v>
      </c>
      <c r="B36">
        <v>11221</v>
      </c>
      <c r="C36">
        <f t="shared" si="0"/>
        <v>9.325542301664866</v>
      </c>
      <c r="D36">
        <f t="shared" si="1"/>
        <v>35</v>
      </c>
    </row>
    <row r="37" spans="1:4" x14ac:dyDescent="0.45">
      <c r="A37" s="3">
        <v>20363</v>
      </c>
      <c r="B37">
        <v>11307</v>
      </c>
      <c r="C37">
        <f t="shared" si="0"/>
        <v>9.3331772819352459</v>
      </c>
      <c r="D37">
        <f t="shared" si="1"/>
        <v>36</v>
      </c>
    </row>
    <row r="38" spans="1:4" x14ac:dyDescent="0.45">
      <c r="A38" s="3">
        <v>20455</v>
      </c>
      <c r="B38">
        <v>11279</v>
      </c>
      <c r="C38">
        <f t="shared" si="0"/>
        <v>9.3306978686399162</v>
      </c>
      <c r="D38">
        <f t="shared" si="1"/>
        <v>37</v>
      </c>
    </row>
    <row r="39" spans="1:4" x14ac:dyDescent="0.45">
      <c r="A39" s="3">
        <v>20546</v>
      </c>
      <c r="B39">
        <v>11271</v>
      </c>
      <c r="C39">
        <f t="shared" si="0"/>
        <v>9.3299883342420777</v>
      </c>
      <c r="D39">
        <f t="shared" si="1"/>
        <v>38</v>
      </c>
    </row>
    <row r="40" spans="1:4" x14ac:dyDescent="0.45">
      <c r="A40" s="3">
        <v>20637</v>
      </c>
      <c r="B40">
        <v>11244</v>
      </c>
      <c r="C40">
        <f t="shared" si="0"/>
        <v>9.3275899320264219</v>
      </c>
      <c r="D40">
        <f t="shared" si="1"/>
        <v>39</v>
      </c>
    </row>
    <row r="41" spans="1:4" x14ac:dyDescent="0.45">
      <c r="A41" s="3">
        <v>20729</v>
      </c>
      <c r="B41">
        <v>11342</v>
      </c>
      <c r="C41">
        <f t="shared" si="0"/>
        <v>9.3362679285739727</v>
      </c>
      <c r="D41">
        <f t="shared" si="1"/>
        <v>40</v>
      </c>
    </row>
    <row r="42" spans="1:4" x14ac:dyDescent="0.45">
      <c r="A42" s="3">
        <v>20821</v>
      </c>
      <c r="B42">
        <v>11370</v>
      </c>
      <c r="C42">
        <f t="shared" si="0"/>
        <v>9.3387335867445813</v>
      </c>
      <c r="D42">
        <f t="shared" si="1"/>
        <v>41</v>
      </c>
    </row>
    <row r="43" spans="1:4" x14ac:dyDescent="0.45">
      <c r="A43" s="3">
        <v>20911</v>
      </c>
      <c r="B43">
        <v>11343</v>
      </c>
      <c r="C43">
        <f t="shared" si="0"/>
        <v>9.3363560925590434</v>
      </c>
      <c r="D43">
        <f t="shared" si="1"/>
        <v>42</v>
      </c>
    </row>
    <row r="44" spans="1:4" x14ac:dyDescent="0.45">
      <c r="A44" s="3">
        <v>21002</v>
      </c>
      <c r="B44">
        <v>11382</v>
      </c>
      <c r="C44">
        <f t="shared" si="0"/>
        <v>9.339788439163069</v>
      </c>
      <c r="D44">
        <f t="shared" si="1"/>
        <v>43</v>
      </c>
    </row>
    <row r="45" spans="1:4" x14ac:dyDescent="0.45">
      <c r="A45" s="3">
        <v>21094</v>
      </c>
      <c r="B45">
        <v>11335</v>
      </c>
      <c r="C45">
        <f t="shared" si="0"/>
        <v>9.3356505629416286</v>
      </c>
      <c r="D45">
        <f t="shared" si="1"/>
        <v>44</v>
      </c>
    </row>
    <row r="46" spans="1:4" x14ac:dyDescent="0.45">
      <c r="A46" s="3">
        <v>21186</v>
      </c>
      <c r="B46">
        <v>11136</v>
      </c>
      <c r="C46">
        <f t="shared" si="0"/>
        <v>9.3179383825742015</v>
      </c>
      <c r="D46">
        <f t="shared" si="1"/>
        <v>45</v>
      </c>
    </row>
    <row r="47" spans="1:4" x14ac:dyDescent="0.45">
      <c r="A47" s="3">
        <v>21276</v>
      </c>
      <c r="B47">
        <v>11185</v>
      </c>
      <c r="C47">
        <f t="shared" si="0"/>
        <v>9.3223288739242296</v>
      </c>
      <c r="D47">
        <f t="shared" si="1"/>
        <v>46</v>
      </c>
    </row>
    <row r="48" spans="1:4" x14ac:dyDescent="0.45">
      <c r="A48" s="3">
        <v>21367</v>
      </c>
      <c r="B48">
        <v>11322</v>
      </c>
      <c r="C48">
        <f t="shared" si="0"/>
        <v>9.3345030145966046</v>
      </c>
      <c r="D48">
        <f t="shared" si="1"/>
        <v>47</v>
      </c>
    </row>
    <row r="49" spans="1:4" x14ac:dyDescent="0.45">
      <c r="A49" s="3">
        <v>21459</v>
      </c>
      <c r="B49">
        <v>11423</v>
      </c>
      <c r="C49">
        <f t="shared" si="0"/>
        <v>9.3433841457339479</v>
      </c>
      <c r="D49">
        <f t="shared" si="1"/>
        <v>48</v>
      </c>
    </row>
    <row r="50" spans="1:4" x14ac:dyDescent="0.45">
      <c r="A50" s="3">
        <v>21551</v>
      </c>
      <c r="B50">
        <v>11582</v>
      </c>
      <c r="C50">
        <f t="shared" si="0"/>
        <v>9.3572074477857345</v>
      </c>
      <c r="D50">
        <f t="shared" si="1"/>
        <v>49</v>
      </c>
    </row>
    <row r="51" spans="1:4" x14ac:dyDescent="0.45">
      <c r="A51" s="3">
        <v>21641</v>
      </c>
      <c r="B51">
        <v>11716</v>
      </c>
      <c r="C51">
        <f t="shared" si="0"/>
        <v>9.3687107079476242</v>
      </c>
      <c r="D51">
        <f t="shared" si="1"/>
        <v>50</v>
      </c>
    </row>
    <row r="52" spans="1:4" x14ac:dyDescent="0.45">
      <c r="A52" s="3">
        <v>21732</v>
      </c>
      <c r="B52">
        <v>11788</v>
      </c>
      <c r="C52">
        <f t="shared" si="0"/>
        <v>9.3748373438575854</v>
      </c>
      <c r="D52">
        <f t="shared" si="1"/>
        <v>51</v>
      </c>
    </row>
    <row r="53" spans="1:4" x14ac:dyDescent="0.45">
      <c r="A53" s="3">
        <v>21824</v>
      </c>
      <c r="B53">
        <v>11749</v>
      </c>
      <c r="C53">
        <f t="shared" si="0"/>
        <v>9.3715234095675726</v>
      </c>
      <c r="D53">
        <f t="shared" si="1"/>
        <v>52</v>
      </c>
    </row>
    <row r="54" spans="1:4" x14ac:dyDescent="0.45">
      <c r="A54" s="3">
        <v>21916</v>
      </c>
      <c r="B54">
        <v>11792</v>
      </c>
      <c r="C54">
        <f t="shared" si="0"/>
        <v>9.3751766144291171</v>
      </c>
      <c r="D54">
        <f t="shared" si="1"/>
        <v>53</v>
      </c>
    </row>
    <row r="55" spans="1:4" x14ac:dyDescent="0.45">
      <c r="A55" s="3">
        <v>22007</v>
      </c>
      <c r="B55">
        <v>11869</v>
      </c>
      <c r="C55">
        <f t="shared" si="0"/>
        <v>9.3816852380565052</v>
      </c>
      <c r="D55">
        <f t="shared" si="1"/>
        <v>54</v>
      </c>
    </row>
    <row r="56" spans="1:4" x14ac:dyDescent="0.45">
      <c r="A56" s="3">
        <v>22098</v>
      </c>
      <c r="B56">
        <v>11763</v>
      </c>
      <c r="C56">
        <f t="shared" si="0"/>
        <v>9.3727142909604417</v>
      </c>
      <c r="D56">
        <f t="shared" si="1"/>
        <v>55</v>
      </c>
    </row>
    <row r="57" spans="1:4" x14ac:dyDescent="0.45">
      <c r="A57" s="3">
        <v>22190</v>
      </c>
      <c r="B57">
        <v>11732</v>
      </c>
      <c r="C57">
        <f t="shared" si="0"/>
        <v>9.3700754300973408</v>
      </c>
      <c r="D57">
        <f t="shared" si="1"/>
        <v>56</v>
      </c>
    </row>
    <row r="58" spans="1:4" x14ac:dyDescent="0.45">
      <c r="A58" s="3">
        <v>22282</v>
      </c>
      <c r="B58">
        <v>11688</v>
      </c>
      <c r="C58">
        <f t="shared" si="0"/>
        <v>9.366317953430535</v>
      </c>
      <c r="D58">
        <f t="shared" si="1"/>
        <v>57</v>
      </c>
    </row>
    <row r="59" spans="1:4" x14ac:dyDescent="0.45">
      <c r="A59" s="3">
        <v>22372</v>
      </c>
      <c r="B59">
        <v>11816</v>
      </c>
      <c r="C59">
        <f t="shared" si="0"/>
        <v>9.3772098242112154</v>
      </c>
      <c r="D59">
        <f t="shared" si="1"/>
        <v>58</v>
      </c>
    </row>
    <row r="60" spans="1:4" x14ac:dyDescent="0.45">
      <c r="A60" s="3">
        <v>22463</v>
      </c>
      <c r="B60">
        <v>11824</v>
      </c>
      <c r="C60">
        <f t="shared" si="0"/>
        <v>9.377886643187983</v>
      </c>
      <c r="D60">
        <f t="shared" si="1"/>
        <v>59</v>
      </c>
    </row>
    <row r="61" spans="1:4" x14ac:dyDescent="0.45">
      <c r="A61" s="3">
        <v>22555</v>
      </c>
      <c r="B61">
        <v>12011</v>
      </c>
      <c r="C61">
        <f t="shared" si="0"/>
        <v>9.3935781755544898</v>
      </c>
      <c r="D61">
        <f t="shared" si="1"/>
        <v>60</v>
      </c>
    </row>
    <row r="62" spans="1:4" x14ac:dyDescent="0.45">
      <c r="A62" s="3">
        <v>22647</v>
      </c>
      <c r="B62">
        <v>12095</v>
      </c>
      <c r="C62">
        <f t="shared" si="0"/>
        <v>9.4005474230441273</v>
      </c>
      <c r="D62">
        <f t="shared" si="1"/>
        <v>61</v>
      </c>
    </row>
    <row r="63" spans="1:4" x14ac:dyDescent="0.45">
      <c r="A63" s="3">
        <v>22737</v>
      </c>
      <c r="B63">
        <v>12201</v>
      </c>
      <c r="C63">
        <f t="shared" si="0"/>
        <v>9.4092731945753343</v>
      </c>
      <c r="D63">
        <f t="shared" si="1"/>
        <v>62</v>
      </c>
    </row>
    <row r="64" spans="1:4" x14ac:dyDescent="0.45">
      <c r="A64" s="3">
        <v>22828</v>
      </c>
      <c r="B64">
        <v>12252</v>
      </c>
      <c r="C64">
        <f t="shared" si="0"/>
        <v>9.4134444679526652</v>
      </c>
      <c r="D64">
        <f t="shared" si="1"/>
        <v>63</v>
      </c>
    </row>
    <row r="65" spans="1:4" x14ac:dyDescent="0.45">
      <c r="A65" s="3">
        <v>22920</v>
      </c>
      <c r="B65">
        <v>12375</v>
      </c>
      <c r="C65">
        <f t="shared" si="0"/>
        <v>9.4234335874368913</v>
      </c>
      <c r="D65">
        <f t="shared" si="1"/>
        <v>64</v>
      </c>
    </row>
    <row r="66" spans="1:4" x14ac:dyDescent="0.45">
      <c r="A66" s="3">
        <v>23012</v>
      </c>
      <c r="B66">
        <v>12421</v>
      </c>
      <c r="C66">
        <f t="shared" si="0"/>
        <v>9.4271438675441939</v>
      </c>
      <c r="D66">
        <f t="shared" si="1"/>
        <v>65</v>
      </c>
    </row>
    <row r="67" spans="1:4" x14ac:dyDescent="0.45">
      <c r="A67" s="3">
        <v>23102</v>
      </c>
      <c r="B67">
        <v>12498</v>
      </c>
      <c r="C67">
        <f t="shared" ref="C67:C130" si="2">LN(B67)</f>
        <v>9.4333239104890279</v>
      </c>
      <c r="D67">
        <f t="shared" si="1"/>
        <v>66</v>
      </c>
    </row>
    <row r="68" spans="1:4" x14ac:dyDescent="0.45">
      <c r="A68" s="3">
        <v>23193</v>
      </c>
      <c r="B68">
        <v>12619</v>
      </c>
      <c r="C68">
        <f t="shared" si="2"/>
        <v>9.4429588936529107</v>
      </c>
      <c r="D68">
        <f t="shared" ref="D68:D131" si="3">D67+1</f>
        <v>67</v>
      </c>
    </row>
    <row r="69" spans="1:4" x14ac:dyDescent="0.45">
      <c r="A69" s="3">
        <v>23285</v>
      </c>
      <c r="B69">
        <v>12675</v>
      </c>
      <c r="C69">
        <f t="shared" si="2"/>
        <v>9.4473868284593845</v>
      </c>
      <c r="D69">
        <f t="shared" si="3"/>
        <v>68</v>
      </c>
    </row>
    <row r="70" spans="1:4" x14ac:dyDescent="0.45">
      <c r="A70" s="3">
        <v>23377</v>
      </c>
      <c r="B70">
        <v>12884</v>
      </c>
      <c r="C70">
        <f t="shared" si="2"/>
        <v>9.46374151045109</v>
      </c>
      <c r="D70">
        <f t="shared" si="3"/>
        <v>69</v>
      </c>
    </row>
    <row r="71" spans="1:4" x14ac:dyDescent="0.45">
      <c r="A71" s="3">
        <v>23468</v>
      </c>
      <c r="B71">
        <v>13070</v>
      </c>
      <c r="C71">
        <f t="shared" si="2"/>
        <v>9.4780748066182685</v>
      </c>
      <c r="D71">
        <f t="shared" si="3"/>
        <v>70</v>
      </c>
    </row>
    <row r="72" spans="1:4" x14ac:dyDescent="0.45">
      <c r="A72" s="3">
        <v>23559</v>
      </c>
      <c r="B72">
        <v>13263</v>
      </c>
      <c r="C72">
        <f t="shared" si="2"/>
        <v>9.4927334824943532</v>
      </c>
      <c r="D72">
        <f t="shared" si="3"/>
        <v>71</v>
      </c>
    </row>
    <row r="73" spans="1:4" x14ac:dyDescent="0.45">
      <c r="A73" s="3">
        <v>23651</v>
      </c>
      <c r="B73">
        <v>13254</v>
      </c>
      <c r="C73">
        <f t="shared" si="2"/>
        <v>9.4920546726481714</v>
      </c>
      <c r="D73">
        <f t="shared" si="3"/>
        <v>72</v>
      </c>
    </row>
    <row r="74" spans="1:4" x14ac:dyDescent="0.45">
      <c r="A74" s="3">
        <v>23743</v>
      </c>
      <c r="B74">
        <v>13513</v>
      </c>
      <c r="C74">
        <f t="shared" si="2"/>
        <v>9.5114074640380863</v>
      </c>
      <c r="D74">
        <f t="shared" si="3"/>
        <v>73</v>
      </c>
    </row>
    <row r="75" spans="1:4" x14ac:dyDescent="0.45">
      <c r="A75" s="3">
        <v>23833</v>
      </c>
      <c r="B75">
        <v>13625</v>
      </c>
      <c r="C75">
        <f t="shared" si="2"/>
        <v>9.5196616195314441</v>
      </c>
      <c r="D75">
        <f t="shared" si="3"/>
        <v>74</v>
      </c>
    </row>
    <row r="76" spans="1:4" x14ac:dyDescent="0.45">
      <c r="A76" s="3">
        <v>23924</v>
      </c>
      <c r="B76">
        <v>13812</v>
      </c>
      <c r="C76">
        <f t="shared" si="2"/>
        <v>9.5332930585098836</v>
      </c>
      <c r="D76">
        <f t="shared" si="3"/>
        <v>75</v>
      </c>
    </row>
    <row r="77" spans="1:4" x14ac:dyDescent="0.45">
      <c r="A77" s="3">
        <v>24016</v>
      </c>
      <c r="B77">
        <v>14155</v>
      </c>
      <c r="C77">
        <f t="shared" si="2"/>
        <v>9.557823197546</v>
      </c>
      <c r="D77">
        <f t="shared" si="3"/>
        <v>76</v>
      </c>
    </row>
    <row r="78" spans="1:4" x14ac:dyDescent="0.45">
      <c r="A78" s="3">
        <v>24108</v>
      </c>
      <c r="B78">
        <v>14328</v>
      </c>
      <c r="C78">
        <f t="shared" si="2"/>
        <v>9.5699709437405485</v>
      </c>
      <c r="D78">
        <f t="shared" si="3"/>
        <v>77</v>
      </c>
    </row>
    <row r="79" spans="1:4" x14ac:dyDescent="0.45">
      <c r="A79" s="3">
        <v>24198</v>
      </c>
      <c r="B79">
        <v>14327</v>
      </c>
      <c r="C79">
        <f t="shared" si="2"/>
        <v>9.569901147893372</v>
      </c>
      <c r="D79">
        <f t="shared" si="3"/>
        <v>78</v>
      </c>
    </row>
    <row r="80" spans="1:4" x14ac:dyDescent="0.45">
      <c r="A80" s="3">
        <v>24289</v>
      </c>
      <c r="B80">
        <v>14447</v>
      </c>
      <c r="C80">
        <f t="shared" si="2"/>
        <v>9.5782420595293818</v>
      </c>
      <c r="D80">
        <f t="shared" si="3"/>
        <v>79</v>
      </c>
    </row>
    <row r="81" spans="1:4" x14ac:dyDescent="0.45">
      <c r="A81" s="3">
        <v>24381</v>
      </c>
      <c r="B81">
        <v>14462</v>
      </c>
      <c r="C81">
        <f t="shared" si="2"/>
        <v>9.5792797987348965</v>
      </c>
      <c r="D81">
        <f t="shared" si="3"/>
        <v>80</v>
      </c>
    </row>
    <row r="82" spans="1:4" x14ac:dyDescent="0.45">
      <c r="A82" s="3">
        <v>24473</v>
      </c>
      <c r="B82">
        <v>14510</v>
      </c>
      <c r="C82">
        <f t="shared" si="2"/>
        <v>9.5825933458782337</v>
      </c>
      <c r="D82">
        <f t="shared" si="3"/>
        <v>81</v>
      </c>
    </row>
    <row r="83" spans="1:4" x14ac:dyDescent="0.45">
      <c r="A83" s="3">
        <v>24563</v>
      </c>
      <c r="B83">
        <v>14672</v>
      </c>
      <c r="C83">
        <f t="shared" si="2"/>
        <v>9.5936961944962462</v>
      </c>
      <c r="D83">
        <f t="shared" si="3"/>
        <v>82</v>
      </c>
    </row>
    <row r="84" spans="1:4" x14ac:dyDescent="0.45">
      <c r="A84" s="3">
        <v>24654</v>
      </c>
      <c r="B84">
        <v>14706</v>
      </c>
      <c r="C84">
        <f t="shared" si="2"/>
        <v>9.5960108527561676</v>
      </c>
      <c r="D84">
        <f t="shared" si="3"/>
        <v>83</v>
      </c>
    </row>
    <row r="85" spans="1:4" x14ac:dyDescent="0.45">
      <c r="A85" s="3">
        <v>24746</v>
      </c>
      <c r="B85">
        <v>14755</v>
      </c>
      <c r="C85">
        <f t="shared" si="2"/>
        <v>9.5993372873770397</v>
      </c>
      <c r="D85">
        <f t="shared" si="3"/>
        <v>84</v>
      </c>
    </row>
    <row r="86" spans="1:4" x14ac:dyDescent="0.45">
      <c r="A86" s="3">
        <v>24838</v>
      </c>
      <c r="B86">
        <v>15076</v>
      </c>
      <c r="C86">
        <f t="shared" si="2"/>
        <v>9.6208593543870258</v>
      </c>
      <c r="D86">
        <f t="shared" si="3"/>
        <v>85</v>
      </c>
    </row>
    <row r="87" spans="1:4" x14ac:dyDescent="0.45">
      <c r="A87" s="3">
        <v>24929</v>
      </c>
      <c r="B87">
        <v>15271</v>
      </c>
      <c r="C87">
        <f t="shared" si="2"/>
        <v>9.6337108839531815</v>
      </c>
      <c r="D87">
        <f t="shared" si="3"/>
        <v>86</v>
      </c>
    </row>
    <row r="88" spans="1:4" x14ac:dyDescent="0.45">
      <c r="A88" s="3">
        <v>25020</v>
      </c>
      <c r="B88">
        <v>15515</v>
      </c>
      <c r="C88">
        <f t="shared" si="2"/>
        <v>9.6495625768824809</v>
      </c>
      <c r="D88">
        <f t="shared" si="3"/>
        <v>87</v>
      </c>
    </row>
    <row r="89" spans="1:4" x14ac:dyDescent="0.45">
      <c r="A89" s="3">
        <v>25112</v>
      </c>
      <c r="B89">
        <v>15543</v>
      </c>
      <c r="C89">
        <f t="shared" si="2"/>
        <v>9.6513656554828984</v>
      </c>
      <c r="D89">
        <f t="shared" si="3"/>
        <v>88</v>
      </c>
    </row>
    <row r="90" spans="1:4" x14ac:dyDescent="0.45">
      <c r="A90" s="3">
        <v>25204</v>
      </c>
      <c r="B90">
        <v>15683</v>
      </c>
      <c r="C90">
        <f t="shared" si="2"/>
        <v>9.6603326021344245</v>
      </c>
      <c r="D90">
        <f t="shared" si="3"/>
        <v>89</v>
      </c>
    </row>
    <row r="91" spans="1:4" x14ac:dyDescent="0.45">
      <c r="A91" s="3">
        <v>25294</v>
      </c>
      <c r="B91">
        <v>15748</v>
      </c>
      <c r="C91">
        <f t="shared" si="2"/>
        <v>9.6644686520636274</v>
      </c>
      <c r="D91">
        <f t="shared" si="3"/>
        <v>90</v>
      </c>
    </row>
    <row r="92" spans="1:4" x14ac:dyDescent="0.45">
      <c r="A92" s="3">
        <v>25385</v>
      </c>
      <c r="B92">
        <v>15780</v>
      </c>
      <c r="C92">
        <f t="shared" si="2"/>
        <v>9.6664985943998651</v>
      </c>
      <c r="D92">
        <f t="shared" si="3"/>
        <v>91</v>
      </c>
    </row>
    <row r="93" spans="1:4" x14ac:dyDescent="0.45">
      <c r="A93" s="3">
        <v>25477</v>
      </c>
      <c r="B93">
        <v>15860</v>
      </c>
      <c r="C93">
        <f t="shared" si="2"/>
        <v>9.6715554951888389</v>
      </c>
      <c r="D93">
        <f t="shared" si="3"/>
        <v>92</v>
      </c>
    </row>
    <row r="94" spans="1:4" x14ac:dyDescent="0.45">
      <c r="A94" s="3">
        <v>25569</v>
      </c>
      <c r="B94">
        <v>15919</v>
      </c>
      <c r="C94">
        <f t="shared" si="2"/>
        <v>9.6752686433551354</v>
      </c>
      <c r="D94">
        <f t="shared" si="3"/>
        <v>93</v>
      </c>
    </row>
    <row r="95" spans="1:4" x14ac:dyDescent="0.45">
      <c r="A95" s="3">
        <v>25659</v>
      </c>
      <c r="B95">
        <v>15942</v>
      </c>
      <c r="C95">
        <f t="shared" si="2"/>
        <v>9.6767124149878683</v>
      </c>
      <c r="D95">
        <f t="shared" si="3"/>
        <v>94</v>
      </c>
    </row>
    <row r="96" spans="1:4" x14ac:dyDescent="0.45">
      <c r="A96" s="3">
        <v>25750</v>
      </c>
      <c r="B96">
        <v>16027</v>
      </c>
      <c r="C96">
        <f t="shared" si="2"/>
        <v>9.6820300789935754</v>
      </c>
      <c r="D96">
        <f t="shared" si="3"/>
        <v>95</v>
      </c>
    </row>
    <row r="97" spans="1:4" x14ac:dyDescent="0.45">
      <c r="A97" s="3">
        <v>25842</v>
      </c>
      <c r="B97">
        <v>15928</v>
      </c>
      <c r="C97">
        <f t="shared" si="2"/>
        <v>9.675833845744032</v>
      </c>
      <c r="D97">
        <f t="shared" si="3"/>
        <v>96</v>
      </c>
    </row>
    <row r="98" spans="1:4" x14ac:dyDescent="0.45">
      <c r="A98" s="3">
        <v>25934</v>
      </c>
      <c r="B98">
        <v>16184</v>
      </c>
      <c r="C98">
        <f t="shared" si="2"/>
        <v>9.691778378847582</v>
      </c>
      <c r="D98">
        <f t="shared" si="3"/>
        <v>97</v>
      </c>
    </row>
    <row r="99" spans="1:4" x14ac:dyDescent="0.45">
      <c r="A99" s="3">
        <v>26024</v>
      </c>
      <c r="B99">
        <v>16286</v>
      </c>
      <c r="C99">
        <f t="shared" si="2"/>
        <v>9.6980611220270774</v>
      </c>
      <c r="D99">
        <f t="shared" si="3"/>
        <v>98</v>
      </c>
    </row>
    <row r="100" spans="1:4" x14ac:dyDescent="0.45">
      <c r="A100" s="3">
        <v>26115</v>
      </c>
      <c r="B100">
        <v>16365</v>
      </c>
      <c r="C100">
        <f t="shared" si="2"/>
        <v>9.7029001869352811</v>
      </c>
      <c r="D100">
        <f t="shared" si="3"/>
        <v>99</v>
      </c>
    </row>
    <row r="101" spans="1:4" x14ac:dyDescent="0.45">
      <c r="A101" s="3">
        <v>26207</v>
      </c>
      <c r="B101">
        <v>16585</v>
      </c>
      <c r="C101">
        <f t="shared" si="2"/>
        <v>9.7162539513811534</v>
      </c>
      <c r="D101">
        <f t="shared" si="3"/>
        <v>100</v>
      </c>
    </row>
    <row r="102" spans="1:4" x14ac:dyDescent="0.45">
      <c r="A102" s="3">
        <v>26299</v>
      </c>
      <c r="B102">
        <v>16764</v>
      </c>
      <c r="C102">
        <f t="shared" si="2"/>
        <v>9.7269890090449618</v>
      </c>
      <c r="D102">
        <f t="shared" si="3"/>
        <v>101</v>
      </c>
    </row>
    <row r="103" spans="1:4" x14ac:dyDescent="0.45">
      <c r="A103" s="3">
        <v>26390</v>
      </c>
      <c r="B103">
        <v>17043</v>
      </c>
      <c r="C103">
        <f t="shared" si="2"/>
        <v>9.7434948412252371</v>
      </c>
      <c r="D103">
        <f t="shared" si="3"/>
        <v>102</v>
      </c>
    </row>
    <row r="104" spans="1:4" x14ac:dyDescent="0.45">
      <c r="A104" s="3">
        <v>26481</v>
      </c>
      <c r="B104">
        <v>17261</v>
      </c>
      <c r="C104">
        <f t="shared" si="2"/>
        <v>9.75620490038669</v>
      </c>
      <c r="D104">
        <f t="shared" si="3"/>
        <v>103</v>
      </c>
    </row>
    <row r="105" spans="1:4" x14ac:dyDescent="0.45">
      <c r="A105" s="3">
        <v>26573</v>
      </c>
      <c r="B105">
        <v>17619</v>
      </c>
      <c r="C105">
        <f t="shared" si="2"/>
        <v>9.7767331441906293</v>
      </c>
      <c r="D105">
        <f t="shared" si="3"/>
        <v>104</v>
      </c>
    </row>
    <row r="106" spans="1:4" x14ac:dyDescent="0.45">
      <c r="A106" s="3">
        <v>26665</v>
      </c>
      <c r="B106">
        <v>17902</v>
      </c>
      <c r="C106">
        <f t="shared" si="2"/>
        <v>9.7926677174308843</v>
      </c>
      <c r="D106">
        <f t="shared" si="3"/>
        <v>105</v>
      </c>
    </row>
    <row r="107" spans="1:4" x14ac:dyDescent="0.45">
      <c r="A107" s="3">
        <v>26755</v>
      </c>
      <c r="B107">
        <v>17854</v>
      </c>
      <c r="C107">
        <f t="shared" si="2"/>
        <v>9.7899828517393068</v>
      </c>
      <c r="D107">
        <f t="shared" si="3"/>
        <v>106</v>
      </c>
    </row>
    <row r="108" spans="1:4" x14ac:dyDescent="0.45">
      <c r="A108" s="3">
        <v>26846</v>
      </c>
      <c r="B108">
        <v>17873</v>
      </c>
      <c r="C108">
        <f t="shared" si="2"/>
        <v>9.791046473190379</v>
      </c>
      <c r="D108">
        <f t="shared" si="3"/>
        <v>107</v>
      </c>
    </row>
    <row r="109" spans="1:4" x14ac:dyDescent="0.45">
      <c r="A109" s="3">
        <v>26938</v>
      </c>
      <c r="B109">
        <v>17776</v>
      </c>
      <c r="C109">
        <f t="shared" si="2"/>
        <v>9.785604511879411</v>
      </c>
      <c r="D109">
        <f t="shared" si="3"/>
        <v>108</v>
      </c>
    </row>
    <row r="110" spans="1:4" x14ac:dyDescent="0.45">
      <c r="A110" s="3">
        <v>27030</v>
      </c>
      <c r="B110">
        <v>17581</v>
      </c>
      <c r="C110">
        <f t="shared" si="2"/>
        <v>9.7745740524427891</v>
      </c>
      <c r="D110">
        <f t="shared" si="3"/>
        <v>109</v>
      </c>
    </row>
    <row r="111" spans="1:4" x14ac:dyDescent="0.45">
      <c r="A111" s="3">
        <v>27120</v>
      </c>
      <c r="B111">
        <v>17606</v>
      </c>
      <c r="C111">
        <f t="shared" si="2"/>
        <v>9.7759950320208517</v>
      </c>
      <c r="D111">
        <f t="shared" si="3"/>
        <v>110</v>
      </c>
    </row>
    <row r="112" spans="1:4" x14ac:dyDescent="0.45">
      <c r="A112" s="3">
        <v>27211</v>
      </c>
      <c r="B112">
        <v>17637</v>
      </c>
      <c r="C112">
        <f t="shared" si="2"/>
        <v>9.777754247070364</v>
      </c>
      <c r="D112">
        <f t="shared" si="3"/>
        <v>111</v>
      </c>
    </row>
    <row r="113" spans="1:4" x14ac:dyDescent="0.45">
      <c r="A113" s="3">
        <v>27303</v>
      </c>
      <c r="B113">
        <v>17335</v>
      </c>
      <c r="C113">
        <f t="shared" si="2"/>
        <v>9.7604828581191239</v>
      </c>
      <c r="D113">
        <f t="shared" si="3"/>
        <v>112</v>
      </c>
    </row>
    <row r="114" spans="1:4" x14ac:dyDescent="0.45">
      <c r="A114" s="3">
        <v>27395</v>
      </c>
      <c r="B114">
        <v>17445</v>
      </c>
      <c r="C114">
        <f t="shared" si="2"/>
        <v>9.7668083536208741</v>
      </c>
      <c r="D114">
        <f t="shared" si="3"/>
        <v>113</v>
      </c>
    </row>
    <row r="115" spans="1:4" x14ac:dyDescent="0.45">
      <c r="A115" s="3">
        <v>27485</v>
      </c>
      <c r="B115">
        <v>17689</v>
      </c>
      <c r="C115">
        <f t="shared" si="2"/>
        <v>9.7806982564435074</v>
      </c>
      <c r="D115">
        <f t="shared" si="3"/>
        <v>114</v>
      </c>
    </row>
    <row r="116" spans="1:4" x14ac:dyDescent="0.45">
      <c r="A116" s="3">
        <v>27576</v>
      </c>
      <c r="B116">
        <v>17888</v>
      </c>
      <c r="C116">
        <f t="shared" si="2"/>
        <v>9.7918853759548252</v>
      </c>
      <c r="D116">
        <f t="shared" si="3"/>
        <v>115</v>
      </c>
    </row>
    <row r="117" spans="1:4" x14ac:dyDescent="0.45">
      <c r="A117" s="3">
        <v>27668</v>
      </c>
      <c r="B117">
        <v>18033</v>
      </c>
      <c r="C117">
        <f t="shared" si="2"/>
        <v>9.7999586917072712</v>
      </c>
      <c r="D117">
        <f t="shared" si="3"/>
        <v>116</v>
      </c>
    </row>
    <row r="118" spans="1:4" x14ac:dyDescent="0.45">
      <c r="A118" s="3">
        <v>27760</v>
      </c>
      <c r="B118">
        <v>18354</v>
      </c>
      <c r="C118">
        <f t="shared" si="2"/>
        <v>9.8176028133789579</v>
      </c>
      <c r="D118">
        <f t="shared" si="3"/>
        <v>117</v>
      </c>
    </row>
    <row r="119" spans="1:4" x14ac:dyDescent="0.45">
      <c r="A119" s="3">
        <v>27851</v>
      </c>
      <c r="B119">
        <v>18484</v>
      </c>
      <c r="C119">
        <f t="shared" si="2"/>
        <v>9.8246607719901569</v>
      </c>
      <c r="D119">
        <f t="shared" si="3"/>
        <v>118</v>
      </c>
    </row>
    <row r="120" spans="1:4" x14ac:dyDescent="0.45">
      <c r="A120" s="3">
        <v>27942</v>
      </c>
      <c r="B120">
        <v>18631</v>
      </c>
      <c r="C120">
        <f t="shared" si="2"/>
        <v>9.8325821390203529</v>
      </c>
      <c r="D120">
        <f t="shared" si="3"/>
        <v>119</v>
      </c>
    </row>
    <row r="121" spans="1:4" x14ac:dyDescent="0.45">
      <c r="A121" s="3">
        <v>28034</v>
      </c>
      <c r="B121">
        <v>18822</v>
      </c>
      <c r="C121">
        <f t="shared" si="2"/>
        <v>9.8427816774187331</v>
      </c>
      <c r="D121">
        <f t="shared" si="3"/>
        <v>120</v>
      </c>
    </row>
    <row r="122" spans="1:4" x14ac:dyDescent="0.45">
      <c r="A122" s="3">
        <v>28126</v>
      </c>
      <c r="B122">
        <v>19000</v>
      </c>
      <c r="C122">
        <f t="shared" si="2"/>
        <v>9.8521942581485771</v>
      </c>
      <c r="D122">
        <f t="shared" si="3"/>
        <v>121</v>
      </c>
    </row>
    <row r="123" spans="1:4" x14ac:dyDescent="0.45">
      <c r="A123" s="3">
        <v>28216</v>
      </c>
      <c r="B123">
        <v>19057</v>
      </c>
      <c r="C123">
        <f t="shared" si="2"/>
        <v>9.8551897671283761</v>
      </c>
      <c r="D123">
        <f t="shared" si="3"/>
        <v>122</v>
      </c>
    </row>
    <row r="124" spans="1:4" x14ac:dyDescent="0.45">
      <c r="A124" s="3">
        <v>28307</v>
      </c>
      <c r="B124">
        <v>19183</v>
      </c>
      <c r="C124">
        <f t="shared" si="2"/>
        <v>9.8617797491363373</v>
      </c>
      <c r="D124">
        <f t="shared" si="3"/>
        <v>123</v>
      </c>
    </row>
    <row r="125" spans="1:4" x14ac:dyDescent="0.45">
      <c r="A125" s="3">
        <v>28399</v>
      </c>
      <c r="B125">
        <v>19417</v>
      </c>
      <c r="C125">
        <f t="shared" si="2"/>
        <v>9.8739042499944532</v>
      </c>
      <c r="D125">
        <f t="shared" si="3"/>
        <v>124</v>
      </c>
    </row>
    <row r="126" spans="1:4" x14ac:dyDescent="0.45">
      <c r="A126" s="3">
        <v>28491</v>
      </c>
      <c r="B126">
        <v>19480</v>
      </c>
      <c r="C126">
        <f t="shared" si="2"/>
        <v>9.8771435771965255</v>
      </c>
      <c r="D126">
        <f t="shared" si="3"/>
        <v>125</v>
      </c>
    </row>
    <row r="127" spans="1:4" x14ac:dyDescent="0.45">
      <c r="A127" s="3">
        <v>28581</v>
      </c>
      <c r="B127">
        <v>19846</v>
      </c>
      <c r="C127">
        <f t="shared" si="2"/>
        <v>9.8957577544741859</v>
      </c>
      <c r="D127">
        <f t="shared" si="3"/>
        <v>126</v>
      </c>
    </row>
    <row r="128" spans="1:4" x14ac:dyDescent="0.45">
      <c r="A128" s="3">
        <v>28672</v>
      </c>
      <c r="B128">
        <v>19871</v>
      </c>
      <c r="C128">
        <f t="shared" si="2"/>
        <v>9.8970166614058162</v>
      </c>
      <c r="D128">
        <f t="shared" si="3"/>
        <v>127</v>
      </c>
    </row>
    <row r="129" spans="1:4" x14ac:dyDescent="0.45">
      <c r="A129" s="3">
        <v>28764</v>
      </c>
      <c r="B129">
        <v>19973</v>
      </c>
      <c r="C129">
        <f t="shared" si="2"/>
        <v>9.9021366404651712</v>
      </c>
      <c r="D129">
        <f t="shared" si="3"/>
        <v>128</v>
      </c>
    </row>
    <row r="130" spans="1:4" x14ac:dyDescent="0.45">
      <c r="A130" s="3">
        <v>28856</v>
      </c>
      <c r="B130">
        <v>20026</v>
      </c>
      <c r="C130">
        <f t="shared" si="2"/>
        <v>9.9047867082677481</v>
      </c>
      <c r="D130">
        <f t="shared" si="3"/>
        <v>129</v>
      </c>
    </row>
    <row r="131" spans="1:4" x14ac:dyDescent="0.45">
      <c r="A131" s="3">
        <v>28946</v>
      </c>
      <c r="B131">
        <v>19961</v>
      </c>
      <c r="C131">
        <f t="shared" ref="C131:C194" si="4">LN(B131)</f>
        <v>9.9015356488108832</v>
      </c>
      <c r="D131">
        <f t="shared" si="3"/>
        <v>130</v>
      </c>
    </row>
    <row r="132" spans="1:4" x14ac:dyDescent="0.45">
      <c r="A132" s="3">
        <v>29037</v>
      </c>
      <c r="B132">
        <v>20094</v>
      </c>
      <c r="C132">
        <f t="shared" si="4"/>
        <v>9.9081765420222592</v>
      </c>
      <c r="D132">
        <f t="shared" ref="D132:D195" si="5">D131+1</f>
        <v>131</v>
      </c>
    </row>
    <row r="133" spans="1:4" x14ac:dyDescent="0.45">
      <c r="A133" s="3">
        <v>29129</v>
      </c>
      <c r="B133">
        <v>20082</v>
      </c>
      <c r="C133">
        <f t="shared" si="4"/>
        <v>9.9075791704393819</v>
      </c>
      <c r="D133">
        <f t="shared" si="5"/>
        <v>132</v>
      </c>
    </row>
    <row r="134" spans="1:4" x14ac:dyDescent="0.45">
      <c r="A134" s="3">
        <v>29221</v>
      </c>
      <c r="B134">
        <v>19997</v>
      </c>
      <c r="C134">
        <f t="shared" si="4"/>
        <v>9.9033375412850031</v>
      </c>
      <c r="D134">
        <f t="shared" si="5"/>
        <v>133</v>
      </c>
    </row>
    <row r="135" spans="1:4" x14ac:dyDescent="0.45">
      <c r="A135" s="3">
        <v>29312</v>
      </c>
      <c r="B135">
        <v>19492</v>
      </c>
      <c r="C135">
        <f t="shared" si="4"/>
        <v>9.8777594039633971</v>
      </c>
      <c r="D135">
        <f t="shared" si="5"/>
        <v>134</v>
      </c>
    </row>
    <row r="136" spans="1:4" x14ac:dyDescent="0.45">
      <c r="A136" s="3">
        <v>29403</v>
      </c>
      <c r="B136">
        <v>19647</v>
      </c>
      <c r="C136">
        <f t="shared" si="4"/>
        <v>9.8856799338861627</v>
      </c>
      <c r="D136">
        <f t="shared" si="5"/>
        <v>135</v>
      </c>
    </row>
    <row r="137" spans="1:4" x14ac:dyDescent="0.45">
      <c r="A137" s="3">
        <v>29495</v>
      </c>
      <c r="B137">
        <v>19858</v>
      </c>
      <c r="C137">
        <f t="shared" si="4"/>
        <v>9.8963622275935386</v>
      </c>
      <c r="D137">
        <f t="shared" si="5"/>
        <v>136</v>
      </c>
    </row>
    <row r="138" spans="1:4" x14ac:dyDescent="0.45">
      <c r="A138" s="3">
        <v>29587</v>
      </c>
      <c r="B138">
        <v>19884</v>
      </c>
      <c r="C138">
        <f t="shared" si="4"/>
        <v>9.8976706672145625</v>
      </c>
      <c r="D138">
        <f t="shared" si="5"/>
        <v>137</v>
      </c>
    </row>
    <row r="139" spans="1:4" x14ac:dyDescent="0.45">
      <c r="A139" s="3">
        <v>29677</v>
      </c>
      <c r="B139">
        <v>19841</v>
      </c>
      <c r="C139">
        <f t="shared" si="4"/>
        <v>9.895505782794471</v>
      </c>
      <c r="D139">
        <f t="shared" si="5"/>
        <v>138</v>
      </c>
    </row>
    <row r="140" spans="1:4" x14ac:dyDescent="0.45">
      <c r="A140" s="3">
        <v>29768</v>
      </c>
      <c r="B140">
        <v>19878</v>
      </c>
      <c r="C140">
        <f t="shared" si="4"/>
        <v>9.8973688715279504</v>
      </c>
      <c r="D140">
        <f t="shared" si="5"/>
        <v>139</v>
      </c>
    </row>
    <row r="141" spans="1:4" x14ac:dyDescent="0.45">
      <c r="A141" s="3">
        <v>29860</v>
      </c>
      <c r="B141">
        <v>19691</v>
      </c>
      <c r="C141">
        <f t="shared" si="4"/>
        <v>9.8879169575451709</v>
      </c>
      <c r="D141">
        <f t="shared" si="5"/>
        <v>140</v>
      </c>
    </row>
    <row r="142" spans="1:4" x14ac:dyDescent="0.45">
      <c r="A142" s="3">
        <v>29952</v>
      </c>
      <c r="B142">
        <v>19794</v>
      </c>
      <c r="C142">
        <f t="shared" si="4"/>
        <v>9.8931341404566364</v>
      </c>
      <c r="D142">
        <f t="shared" si="5"/>
        <v>141</v>
      </c>
    </row>
    <row r="143" spans="1:4" x14ac:dyDescent="0.45">
      <c r="A143" s="3">
        <v>30042</v>
      </c>
      <c r="B143">
        <v>19810</v>
      </c>
      <c r="C143">
        <f t="shared" si="4"/>
        <v>9.8939421396925962</v>
      </c>
      <c r="D143">
        <f t="shared" si="5"/>
        <v>142</v>
      </c>
    </row>
    <row r="144" spans="1:4" x14ac:dyDescent="0.45">
      <c r="A144" s="3">
        <v>30133</v>
      </c>
      <c r="B144">
        <v>19892</v>
      </c>
      <c r="C144">
        <f t="shared" si="4"/>
        <v>9.8980729198346289</v>
      </c>
      <c r="D144">
        <f t="shared" si="5"/>
        <v>143</v>
      </c>
    </row>
    <row r="145" spans="1:4" x14ac:dyDescent="0.45">
      <c r="A145" s="3">
        <v>30225</v>
      </c>
      <c r="B145">
        <v>20191</v>
      </c>
      <c r="C145">
        <f t="shared" si="4"/>
        <v>9.9129922395503733</v>
      </c>
      <c r="D145">
        <f t="shared" si="5"/>
        <v>144</v>
      </c>
    </row>
    <row r="146" spans="1:4" x14ac:dyDescent="0.45">
      <c r="A146" s="3">
        <v>30317</v>
      </c>
      <c r="B146">
        <v>20349</v>
      </c>
      <c r="C146">
        <f t="shared" si="4"/>
        <v>9.920787049614189</v>
      </c>
      <c r="D146">
        <f t="shared" si="5"/>
        <v>145</v>
      </c>
    </row>
    <row r="147" spans="1:4" x14ac:dyDescent="0.45">
      <c r="A147" s="3">
        <v>30407</v>
      </c>
      <c r="B147">
        <v>20721</v>
      </c>
      <c r="C147">
        <f t="shared" si="4"/>
        <v>9.9389029577570831</v>
      </c>
      <c r="D147">
        <f t="shared" si="5"/>
        <v>146</v>
      </c>
    </row>
    <row r="148" spans="1:4" x14ac:dyDescent="0.45">
      <c r="A148" s="3">
        <v>30498</v>
      </c>
      <c r="B148">
        <v>21041</v>
      </c>
      <c r="C148">
        <f t="shared" si="4"/>
        <v>9.9542281942393114</v>
      </c>
      <c r="D148">
        <f t="shared" si="5"/>
        <v>147</v>
      </c>
    </row>
    <row r="149" spans="1:4" x14ac:dyDescent="0.45">
      <c r="A149" s="3">
        <v>30590</v>
      </c>
      <c r="B149">
        <v>21326</v>
      </c>
      <c r="C149">
        <f t="shared" si="4"/>
        <v>9.9676822645781247</v>
      </c>
      <c r="D149">
        <f t="shared" si="5"/>
        <v>148</v>
      </c>
    </row>
    <row r="150" spans="1:4" x14ac:dyDescent="0.45">
      <c r="A150" s="3">
        <v>30682</v>
      </c>
      <c r="B150">
        <v>21462</v>
      </c>
      <c r="C150">
        <f t="shared" si="4"/>
        <v>9.9740392084870724</v>
      </c>
      <c r="D150">
        <f t="shared" si="5"/>
        <v>149</v>
      </c>
    </row>
    <row r="151" spans="1:4" x14ac:dyDescent="0.45">
      <c r="A151" s="3">
        <v>30773</v>
      </c>
      <c r="B151">
        <v>21718</v>
      </c>
      <c r="C151">
        <f t="shared" si="4"/>
        <v>9.9858966887768457</v>
      </c>
      <c r="D151">
        <f t="shared" si="5"/>
        <v>150</v>
      </c>
    </row>
    <row r="152" spans="1:4" x14ac:dyDescent="0.45">
      <c r="A152" s="3">
        <v>30864</v>
      </c>
      <c r="B152">
        <v>21826</v>
      </c>
      <c r="C152">
        <f t="shared" si="4"/>
        <v>9.9908571986730355</v>
      </c>
      <c r="D152">
        <f t="shared" si="5"/>
        <v>151</v>
      </c>
    </row>
    <row r="153" spans="1:4" x14ac:dyDescent="0.45">
      <c r="A153" s="3">
        <v>30956</v>
      </c>
      <c r="B153">
        <v>22055</v>
      </c>
      <c r="C153">
        <f t="shared" si="4"/>
        <v>10.00129461253904</v>
      </c>
      <c r="D153">
        <f t="shared" si="5"/>
        <v>152</v>
      </c>
    </row>
    <row r="154" spans="1:4" x14ac:dyDescent="0.45">
      <c r="A154" s="3">
        <v>31048</v>
      </c>
      <c r="B154">
        <v>22389</v>
      </c>
      <c r="C154">
        <f t="shared" si="4"/>
        <v>10.016325045799498</v>
      </c>
      <c r="D154">
        <f t="shared" si="5"/>
        <v>153</v>
      </c>
    </row>
    <row r="155" spans="1:4" x14ac:dyDescent="0.45">
      <c r="A155" s="3">
        <v>31138</v>
      </c>
      <c r="B155">
        <v>22546</v>
      </c>
      <c r="C155">
        <f t="shared" si="4"/>
        <v>10.023312945604477</v>
      </c>
      <c r="D155">
        <f t="shared" si="5"/>
        <v>154</v>
      </c>
    </row>
    <row r="156" spans="1:4" x14ac:dyDescent="0.45">
      <c r="A156" s="3">
        <v>31229</v>
      </c>
      <c r="B156">
        <v>22916</v>
      </c>
      <c r="C156">
        <f t="shared" si="4"/>
        <v>10.039590635528468</v>
      </c>
      <c r="D156">
        <f t="shared" si="5"/>
        <v>155</v>
      </c>
    </row>
    <row r="157" spans="1:4" x14ac:dyDescent="0.45">
      <c r="A157" s="3">
        <v>31321</v>
      </c>
      <c r="B157">
        <v>22908</v>
      </c>
      <c r="C157">
        <f t="shared" si="4"/>
        <v>10.039241473513748</v>
      </c>
      <c r="D157">
        <f t="shared" si="5"/>
        <v>156</v>
      </c>
    </row>
    <row r="158" spans="1:4" x14ac:dyDescent="0.45">
      <c r="A158" s="3">
        <v>31413</v>
      </c>
      <c r="B158">
        <v>23063</v>
      </c>
      <c r="C158">
        <f t="shared" si="4"/>
        <v>10.045984880764673</v>
      </c>
      <c r="D158">
        <f t="shared" si="5"/>
        <v>157</v>
      </c>
    </row>
    <row r="159" spans="1:4" x14ac:dyDescent="0.45">
      <c r="A159" s="3">
        <v>31503</v>
      </c>
      <c r="B159">
        <v>23265</v>
      </c>
      <c r="C159">
        <f t="shared" si="4"/>
        <v>10.05470536427875</v>
      </c>
      <c r="D159">
        <f t="shared" si="5"/>
        <v>158</v>
      </c>
    </row>
    <row r="160" spans="1:4" x14ac:dyDescent="0.45">
      <c r="A160" s="3">
        <v>31594</v>
      </c>
      <c r="B160">
        <v>23618</v>
      </c>
      <c r="C160">
        <f t="shared" si="4"/>
        <v>10.069764412161227</v>
      </c>
      <c r="D160">
        <f t="shared" si="5"/>
        <v>159</v>
      </c>
    </row>
    <row r="161" spans="1:4" x14ac:dyDescent="0.45">
      <c r="A161" s="3">
        <v>31686</v>
      </c>
      <c r="B161">
        <v>23706</v>
      </c>
      <c r="C161">
        <f t="shared" si="4"/>
        <v>10.073483459639446</v>
      </c>
      <c r="D161">
        <f t="shared" si="5"/>
        <v>160</v>
      </c>
    </row>
    <row r="162" spans="1:4" x14ac:dyDescent="0.45">
      <c r="A162" s="3">
        <v>31778</v>
      </c>
      <c r="B162">
        <v>23682</v>
      </c>
      <c r="C162">
        <f t="shared" si="4"/>
        <v>10.072470544890901</v>
      </c>
      <c r="D162">
        <f t="shared" si="5"/>
        <v>161</v>
      </c>
    </row>
    <row r="163" spans="1:4" x14ac:dyDescent="0.45">
      <c r="A163" s="3">
        <v>31868</v>
      </c>
      <c r="B163">
        <v>23954</v>
      </c>
      <c r="C163">
        <f t="shared" si="4"/>
        <v>10.083890603507452</v>
      </c>
      <c r="D163">
        <f t="shared" si="5"/>
        <v>162</v>
      </c>
    </row>
    <row r="164" spans="1:4" x14ac:dyDescent="0.45">
      <c r="A164" s="3">
        <v>31959</v>
      </c>
      <c r="B164">
        <v>24168</v>
      </c>
      <c r="C164">
        <f t="shared" si="4"/>
        <v>10.092784723066508</v>
      </c>
      <c r="D164">
        <f t="shared" si="5"/>
        <v>163</v>
      </c>
    </row>
    <row r="165" spans="1:4" x14ac:dyDescent="0.45">
      <c r="A165" s="3">
        <v>32051</v>
      </c>
      <c r="B165">
        <v>24159</v>
      </c>
      <c r="C165">
        <f t="shared" si="4"/>
        <v>10.092412260463655</v>
      </c>
      <c r="D165">
        <f t="shared" si="5"/>
        <v>164</v>
      </c>
    </row>
    <row r="166" spans="1:4" x14ac:dyDescent="0.45">
      <c r="A166" s="3">
        <v>32143</v>
      </c>
      <c r="B166">
        <v>24537</v>
      </c>
      <c r="C166">
        <f t="shared" si="4"/>
        <v>10.107937461403084</v>
      </c>
      <c r="D166">
        <f t="shared" si="5"/>
        <v>165</v>
      </c>
    </row>
    <row r="167" spans="1:4" x14ac:dyDescent="0.45">
      <c r="A167" s="3">
        <v>32234</v>
      </c>
      <c r="B167">
        <v>24667</v>
      </c>
      <c r="C167">
        <f t="shared" si="4"/>
        <v>10.113221596940404</v>
      </c>
      <c r="D167">
        <f t="shared" si="5"/>
        <v>166</v>
      </c>
    </row>
    <row r="168" spans="1:4" x14ac:dyDescent="0.45">
      <c r="A168" s="3">
        <v>32325</v>
      </c>
      <c r="B168">
        <v>24821</v>
      </c>
      <c r="C168">
        <f t="shared" si="4"/>
        <v>10.119445348035613</v>
      </c>
      <c r="D168">
        <f t="shared" si="5"/>
        <v>167</v>
      </c>
    </row>
    <row r="169" spans="1:4" x14ac:dyDescent="0.45">
      <c r="A169" s="3">
        <v>32417</v>
      </c>
      <c r="B169">
        <v>25041</v>
      </c>
      <c r="C169">
        <f t="shared" si="4"/>
        <v>10.128269760518846</v>
      </c>
      <c r="D169">
        <f t="shared" si="5"/>
        <v>168</v>
      </c>
    </row>
    <row r="170" spans="1:4" x14ac:dyDescent="0.45">
      <c r="A170" s="3">
        <v>32509</v>
      </c>
      <c r="B170">
        <v>25107</v>
      </c>
      <c r="C170">
        <f t="shared" si="4"/>
        <v>10.130901970700984</v>
      </c>
      <c r="D170">
        <f t="shared" si="5"/>
        <v>169</v>
      </c>
    </row>
    <row r="171" spans="1:4" x14ac:dyDescent="0.45">
      <c r="A171" s="3">
        <v>32599</v>
      </c>
      <c r="B171">
        <v>25167</v>
      </c>
      <c r="C171">
        <f t="shared" si="4"/>
        <v>10.133288891514404</v>
      </c>
      <c r="D171">
        <f t="shared" si="5"/>
        <v>170</v>
      </c>
    </row>
    <row r="172" spans="1:4" x14ac:dyDescent="0.45">
      <c r="A172" s="3">
        <v>32690</v>
      </c>
      <c r="B172">
        <v>25341</v>
      </c>
      <c r="C172">
        <f t="shared" si="4"/>
        <v>10.140178916395607</v>
      </c>
      <c r="D172">
        <f t="shared" si="5"/>
        <v>171</v>
      </c>
    </row>
    <row r="173" spans="1:4" x14ac:dyDescent="0.45">
      <c r="A173" s="3">
        <v>32782</v>
      </c>
      <c r="B173">
        <v>25382</v>
      </c>
      <c r="C173">
        <f t="shared" si="4"/>
        <v>10.14179554037011</v>
      </c>
      <c r="D173">
        <f t="shared" si="5"/>
        <v>172</v>
      </c>
    </row>
    <row r="174" spans="1:4" x14ac:dyDescent="0.45">
      <c r="A174" s="3">
        <v>32874</v>
      </c>
      <c r="B174">
        <v>25538</v>
      </c>
      <c r="C174">
        <f t="shared" si="4"/>
        <v>10.147922817984627</v>
      </c>
      <c r="D174">
        <f t="shared" si="5"/>
        <v>173</v>
      </c>
    </row>
    <row r="175" spans="1:4" x14ac:dyDescent="0.45">
      <c r="A175" s="3">
        <v>32964</v>
      </c>
      <c r="B175">
        <v>25536</v>
      </c>
      <c r="C175">
        <f t="shared" si="4"/>
        <v>10.147844500249535</v>
      </c>
      <c r="D175">
        <f t="shared" si="5"/>
        <v>174</v>
      </c>
    </row>
    <row r="176" spans="1:4" x14ac:dyDescent="0.45">
      <c r="A176" s="3">
        <v>33055</v>
      </c>
      <c r="B176">
        <v>25547</v>
      </c>
      <c r="C176">
        <f t="shared" si="4"/>
        <v>10.148275171908208</v>
      </c>
      <c r="D176">
        <f t="shared" si="5"/>
        <v>175</v>
      </c>
    </row>
    <row r="177" spans="1:4" x14ac:dyDescent="0.45">
      <c r="A177" s="3">
        <v>33147</v>
      </c>
      <c r="B177">
        <v>25263</v>
      </c>
      <c r="C177">
        <f t="shared" si="4"/>
        <v>10.137096153698101</v>
      </c>
      <c r="D177">
        <f t="shared" si="5"/>
        <v>176</v>
      </c>
    </row>
    <row r="178" spans="1:4" x14ac:dyDescent="0.45">
      <c r="A178" s="3">
        <v>33239</v>
      </c>
      <c r="B178">
        <v>25090</v>
      </c>
      <c r="C178">
        <f t="shared" si="4"/>
        <v>10.130224639360469</v>
      </c>
      <c r="D178">
        <f t="shared" si="5"/>
        <v>177</v>
      </c>
    </row>
    <row r="179" spans="1:4" x14ac:dyDescent="0.45">
      <c r="A179" s="3">
        <v>33329</v>
      </c>
      <c r="B179">
        <v>25218</v>
      </c>
      <c r="C179">
        <f t="shared" si="4"/>
        <v>10.135313304233172</v>
      </c>
      <c r="D179">
        <f t="shared" si="5"/>
        <v>178</v>
      </c>
    </row>
    <row r="180" spans="1:4" x14ac:dyDescent="0.45">
      <c r="A180" s="3">
        <v>33420</v>
      </c>
      <c r="B180">
        <v>25254</v>
      </c>
      <c r="C180">
        <f t="shared" si="4"/>
        <v>10.136739837998626</v>
      </c>
      <c r="D180">
        <f t="shared" si="5"/>
        <v>179</v>
      </c>
    </row>
    <row r="181" spans="1:4" x14ac:dyDescent="0.45">
      <c r="A181" s="3">
        <v>33512</v>
      </c>
      <c r="B181">
        <v>25155</v>
      </c>
      <c r="C181">
        <f t="shared" si="4"/>
        <v>10.13281196292542</v>
      </c>
      <c r="D181">
        <f t="shared" si="5"/>
        <v>180</v>
      </c>
    </row>
    <row r="182" spans="1:4" x14ac:dyDescent="0.45">
      <c r="A182" s="3">
        <v>33604</v>
      </c>
      <c r="B182">
        <v>25551</v>
      </c>
      <c r="C182">
        <f t="shared" si="4"/>
        <v>10.14843173380919</v>
      </c>
      <c r="D182">
        <f t="shared" si="5"/>
        <v>181</v>
      </c>
    </row>
    <row r="183" spans="1:4" x14ac:dyDescent="0.45">
      <c r="A183" s="3">
        <v>33695</v>
      </c>
      <c r="B183">
        <v>25638</v>
      </c>
      <c r="C183">
        <f t="shared" si="4"/>
        <v>10.15183090487208</v>
      </c>
      <c r="D183">
        <f t="shared" si="5"/>
        <v>182</v>
      </c>
    </row>
    <row r="184" spans="1:4" x14ac:dyDescent="0.45">
      <c r="A184" s="3">
        <v>33786</v>
      </c>
      <c r="B184">
        <v>25818</v>
      </c>
      <c r="C184">
        <f t="shared" si="4"/>
        <v>10.158827202066655</v>
      </c>
      <c r="D184">
        <f t="shared" si="5"/>
        <v>183</v>
      </c>
    </row>
    <row r="185" spans="1:4" x14ac:dyDescent="0.45">
      <c r="A185" s="3">
        <v>33878</v>
      </c>
      <c r="B185">
        <v>26035</v>
      </c>
      <c r="C185">
        <f t="shared" si="4"/>
        <v>10.167197065597</v>
      </c>
      <c r="D185">
        <f t="shared" si="5"/>
        <v>184</v>
      </c>
    </row>
    <row r="186" spans="1:4" x14ac:dyDescent="0.45">
      <c r="A186" s="3">
        <v>33970</v>
      </c>
      <c r="B186">
        <v>26058</v>
      </c>
      <c r="C186">
        <f t="shared" si="4"/>
        <v>10.168080101762877</v>
      </c>
      <c r="D186">
        <f t="shared" si="5"/>
        <v>185</v>
      </c>
    </row>
    <row r="187" spans="1:4" x14ac:dyDescent="0.45">
      <c r="A187" s="3">
        <v>34060</v>
      </c>
      <c r="B187">
        <v>26216</v>
      </c>
      <c r="C187">
        <f t="shared" si="4"/>
        <v>10.17412519037865</v>
      </c>
      <c r="D187">
        <f t="shared" si="5"/>
        <v>186</v>
      </c>
    </row>
    <row r="188" spans="1:4" x14ac:dyDescent="0.45">
      <c r="A188" s="3">
        <v>34151</v>
      </c>
      <c r="B188">
        <v>26417</v>
      </c>
      <c r="C188">
        <f t="shared" si="4"/>
        <v>10.181763021288337</v>
      </c>
      <c r="D188">
        <f t="shared" si="5"/>
        <v>187</v>
      </c>
    </row>
    <row r="189" spans="1:4" x14ac:dyDescent="0.45">
      <c r="A189" s="3">
        <v>34243</v>
      </c>
      <c r="B189">
        <v>26564</v>
      </c>
      <c r="C189">
        <f t="shared" si="4"/>
        <v>10.187312194660604</v>
      </c>
      <c r="D189">
        <f t="shared" si="5"/>
        <v>188</v>
      </c>
    </row>
    <row r="190" spans="1:4" x14ac:dyDescent="0.45">
      <c r="A190" s="3">
        <v>34335</v>
      </c>
      <c r="B190">
        <v>26796</v>
      </c>
      <c r="C190">
        <f t="shared" si="4"/>
        <v>10.196007901628159</v>
      </c>
      <c r="D190">
        <f t="shared" si="5"/>
        <v>189</v>
      </c>
    </row>
    <row r="191" spans="1:4" x14ac:dyDescent="0.45">
      <c r="A191" s="3">
        <v>34425</v>
      </c>
      <c r="B191">
        <v>26925</v>
      </c>
      <c r="C191">
        <f t="shared" si="4"/>
        <v>10.20081050202459</v>
      </c>
      <c r="D191">
        <f t="shared" si="5"/>
        <v>190</v>
      </c>
    </row>
    <row r="192" spans="1:4" x14ac:dyDescent="0.45">
      <c r="A192" s="3">
        <v>34516</v>
      </c>
      <c r="B192">
        <v>27043</v>
      </c>
      <c r="C192">
        <f t="shared" si="4"/>
        <v>10.205183470748327</v>
      </c>
      <c r="D192">
        <f t="shared" si="5"/>
        <v>191</v>
      </c>
    </row>
    <row r="193" spans="1:4" x14ac:dyDescent="0.45">
      <c r="A193" s="3">
        <v>34608</v>
      </c>
      <c r="B193">
        <v>27252</v>
      </c>
      <c r="C193">
        <f t="shared" si="4"/>
        <v>10.212882191893559</v>
      </c>
      <c r="D193">
        <f t="shared" si="5"/>
        <v>192</v>
      </c>
    </row>
    <row r="194" spans="1:4" x14ac:dyDescent="0.45">
      <c r="A194" s="3">
        <v>34700</v>
      </c>
      <c r="B194">
        <v>27247</v>
      </c>
      <c r="C194">
        <f t="shared" si="4"/>
        <v>10.21269870228773</v>
      </c>
      <c r="D194">
        <f t="shared" si="5"/>
        <v>193</v>
      </c>
    </row>
    <row r="195" spans="1:4" x14ac:dyDescent="0.45">
      <c r="A195" s="3">
        <v>34790</v>
      </c>
      <c r="B195">
        <v>27408</v>
      </c>
      <c r="C195">
        <f t="shared" ref="C195:C258" si="6">LN(B195)</f>
        <v>10.2185902205639</v>
      </c>
      <c r="D195">
        <f t="shared" si="5"/>
        <v>194</v>
      </c>
    </row>
    <row r="196" spans="1:4" x14ac:dyDescent="0.45">
      <c r="A196" s="3">
        <v>34881</v>
      </c>
      <c r="B196">
        <v>27568</v>
      </c>
      <c r="C196">
        <f t="shared" si="6"/>
        <v>10.224410958767711</v>
      </c>
      <c r="D196">
        <f t="shared" ref="D196:D259" si="7">D195+1</f>
        <v>195</v>
      </c>
    </row>
    <row r="197" spans="1:4" x14ac:dyDescent="0.45">
      <c r="A197" s="3">
        <v>34973</v>
      </c>
      <c r="B197">
        <v>27675</v>
      </c>
      <c r="C197">
        <f t="shared" si="6"/>
        <v>10.228284757576837</v>
      </c>
      <c r="D197">
        <f t="shared" si="7"/>
        <v>196</v>
      </c>
    </row>
    <row r="198" spans="1:4" x14ac:dyDescent="0.45">
      <c r="A198" s="3">
        <v>35065</v>
      </c>
      <c r="B198">
        <v>27861</v>
      </c>
      <c r="C198">
        <f t="shared" si="6"/>
        <v>10.234983140444118</v>
      </c>
      <c r="D198">
        <f t="shared" si="7"/>
        <v>197</v>
      </c>
    </row>
    <row r="199" spans="1:4" x14ac:dyDescent="0.45">
      <c r="A199" s="3">
        <v>35156</v>
      </c>
      <c r="B199">
        <v>28080</v>
      </c>
      <c r="C199">
        <f t="shared" si="6"/>
        <v>10.242812858139747</v>
      </c>
      <c r="D199">
        <f t="shared" si="7"/>
        <v>198</v>
      </c>
    </row>
    <row r="200" spans="1:4" x14ac:dyDescent="0.45">
      <c r="A200" s="3">
        <v>35247</v>
      </c>
      <c r="B200">
        <v>28159</v>
      </c>
      <c r="C200">
        <f t="shared" si="6"/>
        <v>10.2456222982778</v>
      </c>
      <c r="D200">
        <f t="shared" si="7"/>
        <v>199</v>
      </c>
    </row>
    <row r="201" spans="1:4" x14ac:dyDescent="0.45">
      <c r="A201" s="3">
        <v>35339</v>
      </c>
      <c r="B201">
        <v>28293</v>
      </c>
      <c r="C201">
        <f t="shared" si="6"/>
        <v>10.250369703211994</v>
      </c>
      <c r="D201">
        <f t="shared" si="7"/>
        <v>200</v>
      </c>
    </row>
    <row r="202" spans="1:4" x14ac:dyDescent="0.45">
      <c r="A202" s="3">
        <v>35431</v>
      </c>
      <c r="B202">
        <v>28515</v>
      </c>
      <c r="C202">
        <f t="shared" si="6"/>
        <v>10.258185543590638</v>
      </c>
      <c r="D202">
        <f t="shared" si="7"/>
        <v>201</v>
      </c>
    </row>
    <row r="203" spans="1:4" x14ac:dyDescent="0.45">
      <c r="A203" s="3">
        <v>35521</v>
      </c>
      <c r="B203">
        <v>28562</v>
      </c>
      <c r="C203">
        <f t="shared" si="6"/>
        <v>10.259832442012879</v>
      </c>
      <c r="D203">
        <f t="shared" si="7"/>
        <v>202</v>
      </c>
    </row>
    <row r="204" spans="1:4" x14ac:dyDescent="0.45">
      <c r="A204" s="3">
        <v>35612</v>
      </c>
      <c r="B204">
        <v>28953</v>
      </c>
      <c r="C204">
        <f t="shared" si="6"/>
        <v>10.273429104575246</v>
      </c>
      <c r="D204">
        <f t="shared" si="7"/>
        <v>203</v>
      </c>
    </row>
    <row r="205" spans="1:4" x14ac:dyDescent="0.45">
      <c r="A205" s="3">
        <v>35704</v>
      </c>
      <c r="B205">
        <v>29207</v>
      </c>
      <c r="C205">
        <f t="shared" si="6"/>
        <v>10.282163685554078</v>
      </c>
      <c r="D205">
        <f t="shared" si="7"/>
        <v>204</v>
      </c>
    </row>
    <row r="206" spans="1:4" x14ac:dyDescent="0.45">
      <c r="A206" s="3">
        <v>35796</v>
      </c>
      <c r="B206">
        <v>29427</v>
      </c>
      <c r="C206">
        <f t="shared" si="6"/>
        <v>10.289667899232425</v>
      </c>
      <c r="D206">
        <f t="shared" si="7"/>
        <v>205</v>
      </c>
    </row>
    <row r="207" spans="1:4" x14ac:dyDescent="0.45">
      <c r="A207" s="3">
        <v>35886</v>
      </c>
      <c r="B207">
        <v>29864</v>
      </c>
      <c r="C207">
        <f t="shared" si="6"/>
        <v>10.30440902059442</v>
      </c>
      <c r="D207">
        <f t="shared" si="7"/>
        <v>206</v>
      </c>
    </row>
    <row r="208" spans="1:4" x14ac:dyDescent="0.45">
      <c r="A208" s="3">
        <v>35977</v>
      </c>
      <c r="B208">
        <v>30159</v>
      </c>
      <c r="C208">
        <f t="shared" si="6"/>
        <v>10.31423866507353</v>
      </c>
      <c r="D208">
        <f t="shared" si="7"/>
        <v>207</v>
      </c>
    </row>
    <row r="209" spans="1:4" x14ac:dyDescent="0.45">
      <c r="A209" s="3">
        <v>36069</v>
      </c>
      <c r="B209">
        <v>30502</v>
      </c>
      <c r="C209">
        <f t="shared" si="6"/>
        <v>10.325547534216129</v>
      </c>
      <c r="D209">
        <f t="shared" si="7"/>
        <v>208</v>
      </c>
    </row>
    <row r="210" spans="1:4" x14ac:dyDescent="0.45">
      <c r="A210" s="3">
        <v>36161</v>
      </c>
      <c r="B210">
        <v>30738</v>
      </c>
      <c r="C210">
        <f t="shared" si="6"/>
        <v>10.333254953167257</v>
      </c>
      <c r="D210">
        <f t="shared" si="7"/>
        <v>209</v>
      </c>
    </row>
    <row r="211" spans="1:4" x14ac:dyDescent="0.45">
      <c r="A211" s="3">
        <v>36251</v>
      </c>
      <c r="B211">
        <v>31123</v>
      </c>
      <c r="C211">
        <f t="shared" si="6"/>
        <v>10.345702374674325</v>
      </c>
      <c r="D211">
        <f t="shared" si="7"/>
        <v>210</v>
      </c>
    </row>
    <row r="212" spans="1:4" x14ac:dyDescent="0.45">
      <c r="A212" s="3">
        <v>36342</v>
      </c>
      <c r="B212">
        <v>31373</v>
      </c>
      <c r="C212">
        <f t="shared" si="6"/>
        <v>10.353702929382365</v>
      </c>
      <c r="D212">
        <f t="shared" si="7"/>
        <v>211</v>
      </c>
    </row>
    <row r="213" spans="1:4" x14ac:dyDescent="0.45">
      <c r="A213" s="3">
        <v>36434</v>
      </c>
      <c r="B213">
        <v>31737</v>
      </c>
      <c r="C213">
        <f t="shared" si="6"/>
        <v>10.365238471654884</v>
      </c>
      <c r="D213">
        <f t="shared" si="7"/>
        <v>212</v>
      </c>
    </row>
    <row r="214" spans="1:4" x14ac:dyDescent="0.45">
      <c r="A214" s="3">
        <v>36526</v>
      </c>
      <c r="B214">
        <v>32135</v>
      </c>
      <c r="C214">
        <f t="shared" si="6"/>
        <v>10.377701057805387</v>
      </c>
      <c r="D214">
        <f t="shared" si="7"/>
        <v>213</v>
      </c>
    </row>
    <row r="215" spans="1:4" x14ac:dyDescent="0.45">
      <c r="A215" s="3">
        <v>36617</v>
      </c>
      <c r="B215">
        <v>32355</v>
      </c>
      <c r="C215">
        <f t="shared" si="6"/>
        <v>10.384523847491366</v>
      </c>
      <c r="D215">
        <f t="shared" si="7"/>
        <v>214</v>
      </c>
    </row>
    <row r="216" spans="1:4" x14ac:dyDescent="0.45">
      <c r="A216" s="3">
        <v>36708</v>
      </c>
      <c r="B216">
        <v>32576</v>
      </c>
      <c r="C216">
        <f t="shared" si="6"/>
        <v>10.391331099910195</v>
      </c>
      <c r="D216">
        <f t="shared" si="7"/>
        <v>215</v>
      </c>
    </row>
    <row r="217" spans="1:4" x14ac:dyDescent="0.45">
      <c r="A217" s="3">
        <v>36800</v>
      </c>
      <c r="B217">
        <v>32774</v>
      </c>
      <c r="C217">
        <f t="shared" si="6"/>
        <v>10.397390797106169</v>
      </c>
      <c r="D217">
        <f t="shared" si="7"/>
        <v>216</v>
      </c>
    </row>
    <row r="218" spans="1:4" x14ac:dyDescent="0.45">
      <c r="A218" s="3">
        <v>36892</v>
      </c>
      <c r="B218">
        <v>32818</v>
      </c>
      <c r="C218">
        <f t="shared" si="6"/>
        <v>10.398732424335096</v>
      </c>
      <c r="D218">
        <f t="shared" si="7"/>
        <v>217</v>
      </c>
    </row>
    <row r="219" spans="1:4" x14ac:dyDescent="0.45">
      <c r="A219" s="3">
        <v>36982</v>
      </c>
      <c r="B219">
        <v>32806</v>
      </c>
      <c r="C219">
        <f t="shared" si="6"/>
        <v>10.398366704472432</v>
      </c>
      <c r="D219">
        <f t="shared" si="7"/>
        <v>218</v>
      </c>
    </row>
    <row r="220" spans="1:4" x14ac:dyDescent="0.45">
      <c r="A220" s="3">
        <v>37073</v>
      </c>
      <c r="B220">
        <v>32835</v>
      </c>
      <c r="C220">
        <f t="shared" si="6"/>
        <v>10.399250298625073</v>
      </c>
      <c r="D220">
        <f t="shared" si="7"/>
        <v>219</v>
      </c>
    </row>
    <row r="221" spans="1:4" x14ac:dyDescent="0.45">
      <c r="A221" s="3">
        <v>37165</v>
      </c>
      <c r="B221">
        <v>33280</v>
      </c>
      <c r="C221">
        <f t="shared" si="6"/>
        <v>10.412711894935144</v>
      </c>
      <c r="D221">
        <f t="shared" si="7"/>
        <v>220</v>
      </c>
    </row>
    <row r="222" spans="1:4" x14ac:dyDescent="0.45">
      <c r="A222" s="3">
        <v>37257</v>
      </c>
      <c r="B222">
        <v>33281</v>
      </c>
      <c r="C222">
        <f t="shared" si="6"/>
        <v>10.412741942560633</v>
      </c>
      <c r="D222">
        <f t="shared" si="7"/>
        <v>221</v>
      </c>
    </row>
    <row r="223" spans="1:4" x14ac:dyDescent="0.45">
      <c r="A223" s="3">
        <v>37347</v>
      </c>
      <c r="B223">
        <v>33375</v>
      </c>
      <c r="C223">
        <f t="shared" si="6"/>
        <v>10.415562395702551</v>
      </c>
      <c r="D223">
        <f t="shared" si="7"/>
        <v>222</v>
      </c>
    </row>
    <row r="224" spans="1:4" x14ac:dyDescent="0.45">
      <c r="A224" s="3">
        <v>37438</v>
      </c>
      <c r="B224">
        <v>33524</v>
      </c>
      <c r="C224">
        <f t="shared" si="6"/>
        <v>10.420016879218796</v>
      </c>
      <c r="D224">
        <f t="shared" si="7"/>
        <v>223</v>
      </c>
    </row>
    <row r="225" spans="1:4" x14ac:dyDescent="0.45">
      <c r="A225" s="3">
        <v>37530</v>
      </c>
      <c r="B225">
        <v>33628</v>
      </c>
      <c r="C225">
        <f t="shared" si="6"/>
        <v>10.423114332255187</v>
      </c>
      <c r="D225">
        <f t="shared" si="7"/>
        <v>224</v>
      </c>
    </row>
    <row r="226" spans="1:4" x14ac:dyDescent="0.45">
      <c r="A226" s="3">
        <v>37622</v>
      </c>
      <c r="B226">
        <v>33723</v>
      </c>
      <c r="C226">
        <f t="shared" si="6"/>
        <v>10.425935376129907</v>
      </c>
      <c r="D226">
        <f t="shared" si="7"/>
        <v>225</v>
      </c>
    </row>
    <row r="227" spans="1:4" x14ac:dyDescent="0.45">
      <c r="A227" s="3">
        <v>37712</v>
      </c>
      <c r="B227">
        <v>34034</v>
      </c>
      <c r="C227">
        <f t="shared" si="6"/>
        <v>10.435115303931381</v>
      </c>
      <c r="D227">
        <f t="shared" si="7"/>
        <v>226</v>
      </c>
    </row>
    <row r="228" spans="1:4" x14ac:dyDescent="0.45">
      <c r="A228" s="3">
        <v>37803</v>
      </c>
      <c r="B228">
        <v>34430</v>
      </c>
      <c r="C228">
        <f t="shared" si="6"/>
        <v>10.44668355633257</v>
      </c>
      <c r="D228">
        <f t="shared" si="7"/>
        <v>227</v>
      </c>
    </row>
    <row r="229" spans="1:4" x14ac:dyDescent="0.45">
      <c r="A229" s="3">
        <v>37895</v>
      </c>
      <c r="B229">
        <v>34584</v>
      </c>
      <c r="C229">
        <f t="shared" si="6"/>
        <v>10.451146426347467</v>
      </c>
      <c r="D229">
        <f t="shared" si="7"/>
        <v>228</v>
      </c>
    </row>
    <row r="230" spans="1:4" x14ac:dyDescent="0.45">
      <c r="A230" s="3">
        <v>37987</v>
      </c>
      <c r="B230">
        <v>34839</v>
      </c>
      <c r="C230">
        <f t="shared" si="6"/>
        <v>10.458492727913868</v>
      </c>
      <c r="D230">
        <f t="shared" si="7"/>
        <v>229</v>
      </c>
    </row>
    <row r="231" spans="1:4" x14ac:dyDescent="0.45">
      <c r="A231" s="3">
        <v>38078</v>
      </c>
      <c r="B231">
        <v>34952</v>
      </c>
      <c r="C231">
        <f t="shared" si="6"/>
        <v>10.461730970631272</v>
      </c>
      <c r="D231">
        <f t="shared" si="7"/>
        <v>230</v>
      </c>
    </row>
    <row r="232" spans="1:4" x14ac:dyDescent="0.45">
      <c r="A232" s="3">
        <v>38169</v>
      </c>
      <c r="B232">
        <v>35275</v>
      </c>
      <c r="C232">
        <f t="shared" si="6"/>
        <v>10.470929776721015</v>
      </c>
      <c r="D232">
        <f t="shared" si="7"/>
        <v>231</v>
      </c>
    </row>
    <row r="233" spans="1:4" x14ac:dyDescent="0.45">
      <c r="A233" s="3">
        <v>38261</v>
      </c>
      <c r="B233">
        <v>35586</v>
      </c>
      <c r="C233">
        <f t="shared" si="6"/>
        <v>10.479707581066782</v>
      </c>
      <c r="D233">
        <f t="shared" si="7"/>
        <v>232</v>
      </c>
    </row>
    <row r="234" spans="1:4" x14ac:dyDescent="0.45">
      <c r="A234" s="3">
        <v>38353</v>
      </c>
      <c r="B234">
        <v>35736</v>
      </c>
      <c r="C234">
        <f t="shared" si="6"/>
        <v>10.483913863031955</v>
      </c>
      <c r="D234">
        <f t="shared" si="7"/>
        <v>233</v>
      </c>
    </row>
    <row r="235" spans="1:4" x14ac:dyDescent="0.45">
      <c r="A235" s="3">
        <v>38443</v>
      </c>
      <c r="B235">
        <v>36055</v>
      </c>
      <c r="C235">
        <f t="shared" si="6"/>
        <v>10.492800829350861</v>
      </c>
      <c r="D235">
        <f t="shared" si="7"/>
        <v>234</v>
      </c>
    </row>
    <row r="236" spans="1:4" x14ac:dyDescent="0.45">
      <c r="A236" s="3">
        <v>38534</v>
      </c>
      <c r="B236">
        <v>36262</v>
      </c>
      <c r="C236">
        <f t="shared" si="6"/>
        <v>10.498525639985754</v>
      </c>
      <c r="D236">
        <f t="shared" si="7"/>
        <v>235</v>
      </c>
    </row>
    <row r="237" spans="1:4" x14ac:dyDescent="0.45">
      <c r="A237" s="3">
        <v>38626</v>
      </c>
      <c r="B237">
        <v>36238</v>
      </c>
      <c r="C237">
        <f t="shared" si="6"/>
        <v>10.497863570996053</v>
      </c>
      <c r="D237">
        <f t="shared" si="7"/>
        <v>236</v>
      </c>
    </row>
    <row r="238" spans="1:4" x14ac:dyDescent="0.45">
      <c r="A238" s="3">
        <v>38718</v>
      </c>
      <c r="B238">
        <v>36553</v>
      </c>
      <c r="C238">
        <f t="shared" si="6"/>
        <v>10.506518541152964</v>
      </c>
      <c r="D238">
        <f t="shared" si="7"/>
        <v>237</v>
      </c>
    </row>
    <row r="239" spans="1:4" x14ac:dyDescent="0.45">
      <c r="A239" s="3">
        <v>38808</v>
      </c>
      <c r="B239">
        <v>36660</v>
      </c>
      <c r="C239">
        <f t="shared" si="6"/>
        <v>10.509441521393695</v>
      </c>
      <c r="D239">
        <f t="shared" si="7"/>
        <v>238</v>
      </c>
    </row>
    <row r="240" spans="1:4" x14ac:dyDescent="0.45">
      <c r="A240" s="3">
        <v>38899</v>
      </c>
      <c r="B240">
        <v>36800</v>
      </c>
      <c r="C240">
        <f t="shared" si="6"/>
        <v>10.513253124157023</v>
      </c>
      <c r="D240">
        <f t="shared" si="7"/>
        <v>239</v>
      </c>
    </row>
    <row r="241" spans="1:4" x14ac:dyDescent="0.45">
      <c r="A241" s="3">
        <v>38991</v>
      </c>
      <c r="B241">
        <v>37056</v>
      </c>
      <c r="C241">
        <f t="shared" si="6"/>
        <v>10.520185560932667</v>
      </c>
      <c r="D241">
        <f t="shared" si="7"/>
        <v>240</v>
      </c>
    </row>
    <row r="242" spans="1:4" x14ac:dyDescent="0.45">
      <c r="A242" s="3">
        <v>39083</v>
      </c>
      <c r="B242">
        <v>37202</v>
      </c>
      <c r="C242">
        <f t="shared" si="6"/>
        <v>10.524117802256896</v>
      </c>
      <c r="D242">
        <f t="shared" si="7"/>
        <v>241</v>
      </c>
    </row>
    <row r="243" spans="1:4" x14ac:dyDescent="0.45">
      <c r="A243" s="3">
        <v>39173</v>
      </c>
      <c r="B243">
        <v>37216</v>
      </c>
      <c r="C243">
        <f t="shared" si="6"/>
        <v>10.524494055318391</v>
      </c>
      <c r="D243">
        <f t="shared" si="7"/>
        <v>242</v>
      </c>
    </row>
    <row r="244" spans="1:4" x14ac:dyDescent="0.45">
      <c r="A244" s="3">
        <v>39264</v>
      </c>
      <c r="B244">
        <v>37368</v>
      </c>
      <c r="C244">
        <f t="shared" si="6"/>
        <v>10.528570002181944</v>
      </c>
      <c r="D244">
        <f t="shared" si="7"/>
        <v>243</v>
      </c>
    </row>
    <row r="245" spans="1:4" x14ac:dyDescent="0.45">
      <c r="A245" s="3">
        <v>39356</v>
      </c>
      <c r="B245">
        <v>37420</v>
      </c>
      <c r="C245">
        <f t="shared" si="6"/>
        <v>10.529960599828081</v>
      </c>
      <c r="D245">
        <f t="shared" si="7"/>
        <v>244</v>
      </c>
    </row>
    <row r="246" spans="1:4" x14ac:dyDescent="0.45">
      <c r="A246" s="3">
        <v>39448</v>
      </c>
      <c r="B246">
        <v>37287</v>
      </c>
      <c r="C246">
        <f t="shared" si="6"/>
        <v>10.526400019413622</v>
      </c>
      <c r="D246">
        <f t="shared" si="7"/>
        <v>245</v>
      </c>
    </row>
    <row r="247" spans="1:4" x14ac:dyDescent="0.45">
      <c r="A247" s="3">
        <v>39539</v>
      </c>
      <c r="B247">
        <v>37308</v>
      </c>
      <c r="C247">
        <f t="shared" si="6"/>
        <v>10.526963059846754</v>
      </c>
      <c r="D247">
        <f t="shared" si="7"/>
        <v>246</v>
      </c>
    </row>
    <row r="248" spans="1:4" x14ac:dyDescent="0.45">
      <c r="A248" s="3">
        <v>39630</v>
      </c>
      <c r="B248">
        <v>36930</v>
      </c>
      <c r="C248">
        <f t="shared" si="6"/>
        <v>10.516779507846609</v>
      </c>
      <c r="D248">
        <f t="shared" si="7"/>
        <v>247</v>
      </c>
    </row>
    <row r="249" spans="1:4" x14ac:dyDescent="0.45">
      <c r="A249" s="3">
        <v>39722</v>
      </c>
      <c r="B249">
        <v>36512</v>
      </c>
      <c r="C249">
        <f t="shared" si="6"/>
        <v>10.505396252661802</v>
      </c>
      <c r="D249">
        <f t="shared" si="7"/>
        <v>248</v>
      </c>
    </row>
    <row r="250" spans="1:4" x14ac:dyDescent="0.45">
      <c r="A250" s="3">
        <v>39814</v>
      </c>
      <c r="B250">
        <v>36346</v>
      </c>
      <c r="C250">
        <f t="shared" si="6"/>
        <v>10.500839435641206</v>
      </c>
      <c r="D250">
        <f t="shared" si="7"/>
        <v>249</v>
      </c>
    </row>
    <row r="251" spans="1:4" x14ac:dyDescent="0.45">
      <c r="A251" s="3">
        <v>39904</v>
      </c>
      <c r="B251">
        <v>36093</v>
      </c>
      <c r="C251">
        <f t="shared" si="6"/>
        <v>10.493854219701634</v>
      </c>
      <c r="D251">
        <f t="shared" si="7"/>
        <v>250</v>
      </c>
    </row>
    <row r="252" spans="1:4" x14ac:dyDescent="0.45">
      <c r="A252" s="3">
        <v>39995</v>
      </c>
      <c r="B252">
        <v>36252</v>
      </c>
      <c r="C252">
        <f t="shared" si="6"/>
        <v>10.498249831174672</v>
      </c>
      <c r="D252">
        <f t="shared" si="7"/>
        <v>251</v>
      </c>
    </row>
    <row r="253" spans="1:4" x14ac:dyDescent="0.45">
      <c r="A253" s="3">
        <v>40087</v>
      </c>
      <c r="B253">
        <v>36129</v>
      </c>
      <c r="C253">
        <f t="shared" si="6"/>
        <v>10.494851145928589</v>
      </c>
      <c r="D253">
        <f t="shared" si="7"/>
        <v>252</v>
      </c>
    </row>
    <row r="254" spans="1:4" x14ac:dyDescent="0.45">
      <c r="A254" s="3">
        <v>40179</v>
      </c>
      <c r="B254">
        <v>36266</v>
      </c>
      <c r="C254">
        <f t="shared" si="6"/>
        <v>10.498635942213971</v>
      </c>
      <c r="D254">
        <f t="shared" si="7"/>
        <v>253</v>
      </c>
    </row>
    <row r="255" spans="1:4" x14ac:dyDescent="0.45">
      <c r="A255" s="3">
        <v>40269</v>
      </c>
      <c r="B255">
        <v>36521</v>
      </c>
      <c r="C255">
        <f t="shared" si="6"/>
        <v>10.505642716590316</v>
      </c>
      <c r="D255">
        <f t="shared" si="7"/>
        <v>254</v>
      </c>
    </row>
    <row r="256" spans="1:4" x14ac:dyDescent="0.45">
      <c r="A256" s="3">
        <v>40360</v>
      </c>
      <c r="B256">
        <v>36704</v>
      </c>
      <c r="C256">
        <f t="shared" si="6"/>
        <v>10.510641019929098</v>
      </c>
      <c r="D256">
        <f t="shared" si="7"/>
        <v>255</v>
      </c>
    </row>
    <row r="257" spans="1:4" x14ac:dyDescent="0.45">
      <c r="A257" s="3">
        <v>40452</v>
      </c>
      <c r="B257">
        <v>36849</v>
      </c>
      <c r="C257">
        <f t="shared" si="6"/>
        <v>10.514583760207204</v>
      </c>
      <c r="D257">
        <f t="shared" si="7"/>
        <v>256</v>
      </c>
    </row>
    <row r="258" spans="1:4" x14ac:dyDescent="0.45">
      <c r="A258" s="3">
        <v>40544</v>
      </c>
      <c r="B258">
        <v>36924</v>
      </c>
      <c r="C258">
        <f t="shared" si="6"/>
        <v>10.516617025110042</v>
      </c>
      <c r="D258">
        <f t="shared" si="7"/>
        <v>257</v>
      </c>
    </row>
    <row r="259" spans="1:4" x14ac:dyDescent="0.45">
      <c r="A259" s="3">
        <v>40634</v>
      </c>
      <c r="B259">
        <v>36895</v>
      </c>
      <c r="C259">
        <f t="shared" ref="C259:C317" si="8">LN(B259)</f>
        <v>10.515831319492467</v>
      </c>
      <c r="D259">
        <f t="shared" si="7"/>
        <v>258</v>
      </c>
    </row>
    <row r="260" spans="1:4" x14ac:dyDescent="0.45">
      <c r="A260" s="3">
        <v>40725</v>
      </c>
      <c r="B260">
        <v>36928</v>
      </c>
      <c r="C260">
        <f t="shared" si="8"/>
        <v>10.516725349867771</v>
      </c>
      <c r="D260">
        <f t="shared" ref="D260:D317" si="9">D259+1</f>
        <v>259</v>
      </c>
    </row>
    <row r="261" spans="1:4" x14ac:dyDescent="0.45">
      <c r="A261" s="3">
        <v>40817</v>
      </c>
      <c r="B261">
        <v>36915</v>
      </c>
      <c r="C261">
        <f t="shared" si="8"/>
        <v>10.516373251493265</v>
      </c>
      <c r="D261">
        <f t="shared" si="9"/>
        <v>260</v>
      </c>
    </row>
    <row r="262" spans="1:4" x14ac:dyDescent="0.45">
      <c r="A262" s="3">
        <v>40909</v>
      </c>
      <c r="B262">
        <v>37115</v>
      </c>
      <c r="C262">
        <f t="shared" si="8"/>
        <v>10.521776479551647</v>
      </c>
      <c r="D262">
        <f t="shared" si="9"/>
        <v>261</v>
      </c>
    </row>
    <row r="263" spans="1:4" x14ac:dyDescent="0.45">
      <c r="A263" s="3">
        <v>41000</v>
      </c>
      <c r="B263">
        <v>37114</v>
      </c>
      <c r="C263">
        <f t="shared" si="8"/>
        <v>10.521749535904284</v>
      </c>
      <c r="D263">
        <f t="shared" si="9"/>
        <v>262</v>
      </c>
    </row>
    <row r="264" spans="1:4" x14ac:dyDescent="0.45">
      <c r="A264" s="3">
        <v>41091</v>
      </c>
      <c r="B264">
        <v>37112</v>
      </c>
      <c r="C264">
        <f t="shared" si="8"/>
        <v>10.52169564643158</v>
      </c>
      <c r="D264">
        <f t="shared" si="9"/>
        <v>263</v>
      </c>
    </row>
    <row r="265" spans="1:4" x14ac:dyDescent="0.45">
      <c r="A265" s="3">
        <v>41183</v>
      </c>
      <c r="B265">
        <v>37183</v>
      </c>
      <c r="C265">
        <f t="shared" si="8"/>
        <v>10.523606946562516</v>
      </c>
      <c r="D265">
        <f t="shared" si="9"/>
        <v>264</v>
      </c>
    </row>
    <row r="266" spans="1:4" x14ac:dyDescent="0.45">
      <c r="A266" s="3">
        <v>41275</v>
      </c>
      <c r="B266">
        <v>37364</v>
      </c>
      <c r="C266">
        <f t="shared" si="8"/>
        <v>10.52846295299274</v>
      </c>
      <c r="D266">
        <f t="shared" si="9"/>
        <v>265</v>
      </c>
    </row>
    <row r="267" spans="1:4" x14ac:dyDescent="0.45">
      <c r="A267" s="3">
        <v>41365</v>
      </c>
      <c r="B267">
        <v>37407</v>
      </c>
      <c r="C267">
        <f t="shared" si="8"/>
        <v>10.529613131664696</v>
      </c>
      <c r="D267">
        <f t="shared" si="9"/>
        <v>266</v>
      </c>
    </row>
    <row r="268" spans="1:4" x14ac:dyDescent="0.45">
      <c r="A268" s="3">
        <v>41456</v>
      </c>
      <c r="B268">
        <v>37481</v>
      </c>
      <c r="C268">
        <f t="shared" si="8"/>
        <v>10.531589416892908</v>
      </c>
      <c r="D268">
        <f t="shared" si="9"/>
        <v>267</v>
      </c>
    </row>
    <row r="269" spans="1:4" x14ac:dyDescent="0.45">
      <c r="A269" s="3">
        <v>41548</v>
      </c>
      <c r="B269">
        <v>37731</v>
      </c>
      <c r="C269">
        <f t="shared" si="8"/>
        <v>10.538237316715266</v>
      </c>
      <c r="D269">
        <f t="shared" si="9"/>
        <v>268</v>
      </c>
    </row>
    <row r="270" spans="1:4" x14ac:dyDescent="0.45">
      <c r="A270" s="3">
        <v>41640</v>
      </c>
      <c r="B270">
        <v>37798</v>
      </c>
      <c r="C270">
        <f t="shared" si="8"/>
        <v>10.540011470154983</v>
      </c>
      <c r="D270">
        <f t="shared" si="9"/>
        <v>269</v>
      </c>
    </row>
    <row r="271" spans="1:4" x14ac:dyDescent="0.45">
      <c r="A271" s="3">
        <v>41730</v>
      </c>
      <c r="B271">
        <v>38092</v>
      </c>
      <c r="C271">
        <f t="shared" si="8"/>
        <v>10.547759565313937</v>
      </c>
      <c r="D271">
        <f t="shared" si="9"/>
        <v>270</v>
      </c>
    </row>
    <row r="272" spans="1:4" x14ac:dyDescent="0.45">
      <c r="A272" s="3">
        <v>41821</v>
      </c>
      <c r="B272">
        <v>38385</v>
      </c>
      <c r="C272">
        <f t="shared" si="8"/>
        <v>10.555422037261998</v>
      </c>
      <c r="D272">
        <f t="shared" si="9"/>
        <v>271</v>
      </c>
    </row>
    <row r="273" spans="1:4" x14ac:dyDescent="0.45">
      <c r="A273" s="3">
        <v>41913</v>
      </c>
      <c r="B273">
        <v>38743</v>
      </c>
      <c r="C273">
        <f t="shared" si="8"/>
        <v>10.5647053733019</v>
      </c>
      <c r="D273">
        <f t="shared" si="9"/>
        <v>272</v>
      </c>
    </row>
    <row r="274" spans="1:4" x14ac:dyDescent="0.45">
      <c r="A274" s="3">
        <v>42005</v>
      </c>
      <c r="B274">
        <v>38973</v>
      </c>
      <c r="C274">
        <f t="shared" si="8"/>
        <v>10.570624377663842</v>
      </c>
      <c r="D274">
        <f t="shared" si="9"/>
        <v>273</v>
      </c>
    </row>
    <row r="275" spans="1:4" x14ac:dyDescent="0.45">
      <c r="A275" s="3">
        <v>42095</v>
      </c>
      <c r="B275">
        <v>39171</v>
      </c>
      <c r="C275">
        <f t="shared" si="8"/>
        <v>10.575691956076149</v>
      </c>
      <c r="D275">
        <f t="shared" si="9"/>
        <v>274</v>
      </c>
    </row>
    <row r="276" spans="1:4" x14ac:dyDescent="0.45">
      <c r="A276" s="3">
        <v>42186</v>
      </c>
      <c r="B276">
        <v>39363</v>
      </c>
      <c r="C276">
        <f t="shared" si="8"/>
        <v>10.580581567773825</v>
      </c>
      <c r="D276">
        <f t="shared" si="9"/>
        <v>275</v>
      </c>
    </row>
    <row r="277" spans="1:4" x14ac:dyDescent="0.45">
      <c r="A277" s="3">
        <v>42278</v>
      </c>
      <c r="B277">
        <v>39440</v>
      </c>
      <c r="C277">
        <f t="shared" si="8"/>
        <v>10.582535808716571</v>
      </c>
      <c r="D277">
        <f t="shared" si="9"/>
        <v>276</v>
      </c>
    </row>
    <row r="278" spans="1:4" x14ac:dyDescent="0.45">
      <c r="A278" s="3">
        <v>42370</v>
      </c>
      <c r="B278">
        <v>39667</v>
      </c>
      <c r="C278">
        <f t="shared" si="8"/>
        <v>10.588274886751593</v>
      </c>
      <c r="D278">
        <f t="shared" si="9"/>
        <v>277</v>
      </c>
    </row>
    <row r="279" spans="1:4" x14ac:dyDescent="0.45">
      <c r="A279" s="3">
        <v>42461</v>
      </c>
      <c r="B279">
        <v>39792</v>
      </c>
      <c r="C279">
        <f t="shared" si="8"/>
        <v>10.591421166043187</v>
      </c>
      <c r="D279">
        <f t="shared" si="9"/>
        <v>278</v>
      </c>
    </row>
    <row r="280" spans="1:4" x14ac:dyDescent="0.45">
      <c r="A280" s="3">
        <v>42552</v>
      </c>
      <c r="B280">
        <v>39988</v>
      </c>
      <c r="C280">
        <f t="shared" si="8"/>
        <v>10.596334688087071</v>
      </c>
      <c r="D280">
        <f t="shared" si="9"/>
        <v>279</v>
      </c>
    </row>
    <row r="281" spans="1:4" x14ac:dyDescent="0.45">
      <c r="A281" s="3">
        <v>42644</v>
      </c>
      <c r="B281">
        <v>40116</v>
      </c>
      <c r="C281">
        <f t="shared" si="8"/>
        <v>10.599530536208098</v>
      </c>
      <c r="D281">
        <f t="shared" si="9"/>
        <v>280</v>
      </c>
    </row>
    <row r="282" spans="1:4" x14ac:dyDescent="0.45">
      <c r="A282" s="3">
        <v>42736</v>
      </c>
      <c r="B282">
        <v>40363</v>
      </c>
      <c r="C282">
        <f t="shared" si="8"/>
        <v>10.605668802725944</v>
      </c>
      <c r="D282">
        <f t="shared" si="9"/>
        <v>281</v>
      </c>
    </row>
    <row r="283" spans="1:4" x14ac:dyDescent="0.45">
      <c r="A283" s="3">
        <v>42826</v>
      </c>
      <c r="B283">
        <v>40501</v>
      </c>
      <c r="C283">
        <f t="shared" si="8"/>
        <v>10.609081944147828</v>
      </c>
      <c r="D283">
        <f t="shared" si="9"/>
        <v>282</v>
      </c>
    </row>
    <row r="284" spans="1:4" x14ac:dyDescent="0.45">
      <c r="A284" s="3">
        <v>42917</v>
      </c>
      <c r="B284">
        <v>40702</v>
      </c>
      <c r="C284">
        <f t="shared" si="8"/>
        <v>10.614032510272494</v>
      </c>
      <c r="D284">
        <f t="shared" si="9"/>
        <v>283</v>
      </c>
    </row>
    <row r="285" spans="1:4" x14ac:dyDescent="0.45">
      <c r="A285" s="3">
        <v>43009</v>
      </c>
      <c r="B285">
        <v>41078</v>
      </c>
      <c r="C285">
        <f t="shared" si="8"/>
        <v>10.623227977365595</v>
      </c>
      <c r="D285">
        <f t="shared" si="9"/>
        <v>284</v>
      </c>
    </row>
    <row r="286" spans="1:4" x14ac:dyDescent="0.45">
      <c r="A286" s="3">
        <v>43101</v>
      </c>
      <c r="B286">
        <v>41325</v>
      </c>
      <c r="C286">
        <f t="shared" si="8"/>
        <v>10.629222922689225</v>
      </c>
      <c r="D286">
        <f t="shared" si="9"/>
        <v>285</v>
      </c>
    </row>
    <row r="287" spans="1:4" x14ac:dyDescent="0.45">
      <c r="A287" s="3">
        <v>43191</v>
      </c>
      <c r="B287">
        <v>41491</v>
      </c>
      <c r="C287">
        <f t="shared" si="8"/>
        <v>10.63323181522976</v>
      </c>
      <c r="D287">
        <f t="shared" si="9"/>
        <v>286</v>
      </c>
    </row>
    <row r="288" spans="1:4" x14ac:dyDescent="0.45">
      <c r="A288" s="3">
        <v>43282</v>
      </c>
      <c r="B288">
        <v>41617</v>
      </c>
      <c r="C288">
        <f t="shared" si="8"/>
        <v>10.636264016619267</v>
      </c>
      <c r="D288">
        <f t="shared" si="9"/>
        <v>287</v>
      </c>
    </row>
    <row r="289" spans="1:4" x14ac:dyDescent="0.45">
      <c r="A289" s="3">
        <v>43374</v>
      </c>
      <c r="B289">
        <v>41686</v>
      </c>
      <c r="C289">
        <f t="shared" si="8"/>
        <v>10.637920620001616</v>
      </c>
      <c r="D289">
        <f t="shared" si="9"/>
        <v>288</v>
      </c>
    </row>
    <row r="290" spans="1:4" x14ac:dyDescent="0.45">
      <c r="A290" s="3">
        <v>43466</v>
      </c>
      <c r="B290">
        <v>41709</v>
      </c>
      <c r="C290">
        <f t="shared" si="8"/>
        <v>10.638472211837653</v>
      </c>
      <c r="D290">
        <f t="shared" si="9"/>
        <v>289</v>
      </c>
    </row>
    <row r="291" spans="1:4" x14ac:dyDescent="0.45">
      <c r="A291" s="3">
        <v>43556</v>
      </c>
      <c r="B291">
        <v>42016</v>
      </c>
      <c r="C291">
        <f t="shared" si="8"/>
        <v>10.645805777102522</v>
      </c>
      <c r="D291">
        <f t="shared" si="9"/>
        <v>290</v>
      </c>
    </row>
    <row r="292" spans="1:4" x14ac:dyDescent="0.45">
      <c r="A292" s="3">
        <v>43647</v>
      </c>
      <c r="B292">
        <v>42431</v>
      </c>
      <c r="C292">
        <f t="shared" si="8"/>
        <v>10.655634506148671</v>
      </c>
      <c r="D292">
        <f t="shared" si="9"/>
        <v>291</v>
      </c>
    </row>
    <row r="293" spans="1:4" x14ac:dyDescent="0.45">
      <c r="A293" s="3">
        <v>43739</v>
      </c>
      <c r="B293">
        <v>42648</v>
      </c>
      <c r="C293">
        <f t="shared" si="8"/>
        <v>10.660735658502597</v>
      </c>
      <c r="D293">
        <f t="shared" si="9"/>
        <v>292</v>
      </c>
    </row>
    <row r="294" spans="1:4" x14ac:dyDescent="0.45">
      <c r="A294" s="3">
        <v>43831</v>
      </c>
      <c r="B294">
        <v>41886</v>
      </c>
      <c r="C294">
        <f t="shared" si="8"/>
        <v>10.642706921198457</v>
      </c>
      <c r="D294">
        <f t="shared" si="9"/>
        <v>293</v>
      </c>
    </row>
    <row r="295" spans="1:4" x14ac:dyDescent="0.45">
      <c r="A295" s="3">
        <v>43922</v>
      </c>
      <c r="B295">
        <v>38236</v>
      </c>
      <c r="C295">
        <f t="shared" si="8"/>
        <v>10.551532759183653</v>
      </c>
      <c r="D295">
        <f t="shared" si="9"/>
        <v>294</v>
      </c>
    </row>
    <row r="296" spans="1:4" x14ac:dyDescent="0.45">
      <c r="A296" s="3">
        <v>44013</v>
      </c>
      <c r="B296">
        <v>41615</v>
      </c>
      <c r="C296">
        <f t="shared" si="8"/>
        <v>10.636215958180195</v>
      </c>
      <c r="D296">
        <f t="shared" si="9"/>
        <v>295</v>
      </c>
    </row>
    <row r="297" spans="1:4" x14ac:dyDescent="0.45">
      <c r="A297" s="3">
        <v>44105</v>
      </c>
      <c r="B297">
        <v>42159</v>
      </c>
      <c r="C297">
        <f t="shared" si="8"/>
        <v>10.649203463768854</v>
      </c>
      <c r="D297">
        <f t="shared" si="9"/>
        <v>296</v>
      </c>
    </row>
    <row r="298" spans="1:4" x14ac:dyDescent="0.45">
      <c r="A298" s="3">
        <v>44197</v>
      </c>
      <c r="B298">
        <v>43124</v>
      </c>
      <c r="C298">
        <f t="shared" si="8"/>
        <v>10.671834965659009</v>
      </c>
      <c r="D298">
        <f t="shared" si="9"/>
        <v>297</v>
      </c>
    </row>
    <row r="299" spans="1:4" x14ac:dyDescent="0.45">
      <c r="A299" s="3">
        <v>44287</v>
      </c>
      <c r="B299">
        <v>44609</v>
      </c>
      <c r="C299">
        <f t="shared" si="8"/>
        <v>10.705690911372514</v>
      </c>
      <c r="D299">
        <f t="shared" si="9"/>
        <v>298</v>
      </c>
    </row>
    <row r="300" spans="1:4" x14ac:dyDescent="0.45">
      <c r="A300" s="3">
        <v>44378</v>
      </c>
      <c r="B300">
        <v>44924</v>
      </c>
      <c r="C300">
        <f t="shared" si="8"/>
        <v>10.712727452082927</v>
      </c>
      <c r="D300">
        <f t="shared" si="9"/>
        <v>299</v>
      </c>
    </row>
    <row r="301" spans="1:4" x14ac:dyDescent="0.45">
      <c r="A301" s="3">
        <v>44470</v>
      </c>
      <c r="B301">
        <v>45292</v>
      </c>
      <c r="C301">
        <f t="shared" si="8"/>
        <v>10.72088569543393</v>
      </c>
      <c r="D301">
        <f t="shared" si="9"/>
        <v>300</v>
      </c>
    </row>
    <row r="302" spans="1:4" x14ac:dyDescent="0.45">
      <c r="A302" s="3">
        <v>44562</v>
      </c>
      <c r="B302">
        <v>45285</v>
      </c>
      <c r="C302">
        <f t="shared" si="8"/>
        <v>10.72073113080905</v>
      </c>
      <c r="D302">
        <f t="shared" si="9"/>
        <v>301</v>
      </c>
    </row>
    <row r="303" spans="1:4" x14ac:dyDescent="0.45">
      <c r="A303" s="3">
        <v>44652</v>
      </c>
      <c r="B303">
        <v>45587</v>
      </c>
      <c r="C303">
        <f t="shared" si="8"/>
        <v>10.72737786713795</v>
      </c>
      <c r="D303">
        <f t="shared" si="9"/>
        <v>302</v>
      </c>
    </row>
    <row r="304" spans="1:4" x14ac:dyDescent="0.45">
      <c r="A304" s="3">
        <v>44743</v>
      </c>
      <c r="B304">
        <v>45710</v>
      </c>
      <c r="C304">
        <f t="shared" si="8"/>
        <v>10.73007237132579</v>
      </c>
      <c r="D304">
        <f t="shared" si="9"/>
        <v>303</v>
      </c>
    </row>
    <row r="305" spans="1:4" x14ac:dyDescent="0.45">
      <c r="A305" s="3">
        <v>44835</v>
      </c>
      <c r="B305">
        <v>45702</v>
      </c>
      <c r="C305">
        <f t="shared" si="8"/>
        <v>10.729897339600843</v>
      </c>
      <c r="D305">
        <f t="shared" si="9"/>
        <v>304</v>
      </c>
    </row>
    <row r="306" spans="1:4" x14ac:dyDescent="0.45">
      <c r="A306" s="3">
        <v>44927</v>
      </c>
      <c r="B306">
        <v>46121</v>
      </c>
      <c r="C306">
        <f t="shared" si="8"/>
        <v>10.739023656715148</v>
      </c>
      <c r="D306">
        <f t="shared" si="9"/>
        <v>305</v>
      </c>
    </row>
    <row r="307" spans="1:4" x14ac:dyDescent="0.45">
      <c r="A307" s="3">
        <v>45017</v>
      </c>
      <c r="B307">
        <v>46203</v>
      </c>
      <c r="C307">
        <f t="shared" si="8"/>
        <v>10.740800010026575</v>
      </c>
      <c r="D307">
        <f t="shared" si="9"/>
        <v>306</v>
      </c>
    </row>
    <row r="308" spans="1:4" x14ac:dyDescent="0.45">
      <c r="A308" s="3">
        <v>45108</v>
      </c>
      <c r="B308">
        <v>46443</v>
      </c>
      <c r="C308">
        <f t="shared" si="8"/>
        <v>10.745981033208576</v>
      </c>
      <c r="D308">
        <f t="shared" si="9"/>
        <v>307</v>
      </c>
    </row>
    <row r="309" spans="1:4" x14ac:dyDescent="0.45">
      <c r="A309" s="3">
        <v>45200</v>
      </c>
      <c r="B309">
        <v>46675</v>
      </c>
      <c r="C309">
        <f t="shared" si="8"/>
        <v>10.750963968409923</v>
      </c>
      <c r="D309">
        <f t="shared" si="9"/>
        <v>308</v>
      </c>
    </row>
    <row r="310" spans="1:4" x14ac:dyDescent="0.45">
      <c r="A310" s="3">
        <v>45292</v>
      </c>
      <c r="B310">
        <v>46773</v>
      </c>
      <c r="C310">
        <f t="shared" si="8"/>
        <v>10.753061392344661</v>
      </c>
      <c r="D310">
        <f t="shared" si="9"/>
        <v>309</v>
      </c>
    </row>
    <row r="311" spans="1:4" x14ac:dyDescent="0.45">
      <c r="A311" s="3">
        <v>45383</v>
      </c>
      <c r="B311">
        <v>47111</v>
      </c>
      <c r="C311">
        <f t="shared" si="8"/>
        <v>10.760261798384528</v>
      </c>
      <c r="D311">
        <f t="shared" si="9"/>
        <v>310</v>
      </c>
    </row>
    <row r="312" spans="1:4" x14ac:dyDescent="0.45">
      <c r="A312" s="3">
        <v>45474</v>
      </c>
      <c r="B312">
        <v>47475</v>
      </c>
      <c r="C312">
        <f t="shared" si="8"/>
        <v>10.767958535680487</v>
      </c>
      <c r="D312">
        <f t="shared" si="9"/>
        <v>311</v>
      </c>
    </row>
    <row r="313" spans="1:4" x14ac:dyDescent="0.45">
      <c r="A313" s="3">
        <v>45566</v>
      </c>
      <c r="B313">
        <v>47861</v>
      </c>
      <c r="C313">
        <f t="shared" si="8"/>
        <v>10.77605625551905</v>
      </c>
      <c r="D313">
        <f t="shared" si="9"/>
        <v>312</v>
      </c>
    </row>
    <row r="314" spans="1:4" x14ac:dyDescent="0.45">
      <c r="A314" s="3">
        <v>45658</v>
      </c>
      <c r="B314">
        <v>47881</v>
      </c>
      <c r="C314">
        <f t="shared" si="8"/>
        <v>10.776474045001011</v>
      </c>
      <c r="D314">
        <f t="shared" si="9"/>
        <v>313</v>
      </c>
    </row>
    <row r="315" spans="1:4" x14ac:dyDescent="0.45">
      <c r="A315" s="3">
        <v>45748</v>
      </c>
      <c r="B315">
        <v>48117</v>
      </c>
      <c r="C315">
        <f t="shared" si="8"/>
        <v>10.781390824005488</v>
      </c>
      <c r="D315">
        <f t="shared" si="9"/>
        <v>314</v>
      </c>
    </row>
    <row r="316" spans="1:4" x14ac:dyDescent="0.45">
      <c r="A316" s="3">
        <v>45839</v>
      </c>
      <c r="B316">
        <v>48472</v>
      </c>
      <c r="C316">
        <f t="shared" si="8"/>
        <v>10.788741590624825</v>
      </c>
      <c r="D316">
        <f t="shared" si="9"/>
        <v>315</v>
      </c>
    </row>
    <row r="317" spans="1:4" x14ac:dyDescent="0.45">
      <c r="A317" s="3">
        <v>45931</v>
      </c>
      <c r="B317">
        <v>48672</v>
      </c>
      <c r="C317">
        <f t="shared" si="8"/>
        <v>10.79285919505902</v>
      </c>
      <c r="D317">
        <f t="shared" si="9"/>
        <v>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Sheet1</vt:lpstr>
      <vt:lpstr>Sheet4</vt:lpstr>
      <vt:lpstr>Sheet2</vt:lpstr>
      <vt:lpstr>Sheet3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McNelis</cp:lastModifiedBy>
  <dcterms:created xsi:type="dcterms:W3CDTF">2026-04-09T02:36:54Z</dcterms:created>
  <dcterms:modified xsi:type="dcterms:W3CDTF">2026-04-09T15:41:04Z</dcterms:modified>
</cp:coreProperties>
</file>