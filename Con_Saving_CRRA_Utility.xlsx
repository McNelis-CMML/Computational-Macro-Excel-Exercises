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int110676\Dropbox\ComputMacro\EXCEL-ICM\"/>
    </mc:Choice>
  </mc:AlternateContent>
  <xr:revisionPtr revIDLastSave="0" documentId="13_ncr:1_{4C6A8F55-4DBF-44E3-B99A-762244CBF8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Beta">Hoja1!$B$5</definedName>
    <definedName name="Rbar">Hoja1!$B$9</definedName>
    <definedName name="Rbara">Hoja1!$B$9</definedName>
    <definedName name="Sigma">Hoja1!$B$6</definedName>
    <definedName name="solver_adj" localSheetId="0" hidden="1">Hoja1!$F$3:$F$33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</definedName>
    <definedName name="solver_lhs1" localSheetId="0" hidden="1">Hoja1!$H$33</definedName>
    <definedName name="solver_lhs2" localSheetId="0" hidden="1">Hoja1!$H$33</definedName>
    <definedName name="solver_lhs3" localSheetId="0" hidden="1">Hoja1!$H$33</definedName>
    <definedName name="solver_lhs4" localSheetId="0" hidden="1">Hoja1!$H$33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Hoja1!$I$34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3</definedName>
    <definedName name="solver_rel3" localSheetId="0" hidden="1">3</definedName>
    <definedName name="solver_rel4" localSheetId="0" hidden="1">3</definedName>
    <definedName name="solver_rhs1" localSheetId="0" hidden="1">0</definedName>
    <definedName name="solver_rhs2" localSheetId="0" hidden="1">0</definedName>
    <definedName name="solver_rhs3" localSheetId="0" hidden="1">40</definedName>
    <definedName name="solver_rhs4" localSheetId="0" hidden="1">40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4" i="1"/>
  <c r="N3" i="1"/>
  <c r="G3" i="1"/>
  <c r="F36" i="1"/>
  <c r="H3" i="1"/>
  <c r="I3" i="1"/>
  <c r="E4" i="1"/>
  <c r="E5" i="1" s="1"/>
  <c r="I4" i="1" l="1"/>
  <c r="I5" i="1"/>
  <c r="E6" i="1"/>
  <c r="N5" i="1" l="1"/>
  <c r="E7" i="1"/>
  <c r="I6" i="1"/>
  <c r="H4" i="1" l="1"/>
  <c r="H5" i="1" s="1"/>
  <c r="N4" i="1"/>
  <c r="E8" i="1"/>
  <c r="I7" i="1"/>
  <c r="N7" i="1" l="1"/>
  <c r="I8" i="1"/>
  <c r="E9" i="1"/>
  <c r="N8" i="1" l="1"/>
  <c r="I9" i="1"/>
  <c r="E10" i="1"/>
  <c r="H6" i="1" l="1"/>
  <c r="H7" i="1" s="1"/>
  <c r="H8" i="1" s="1"/>
  <c r="N6" i="1"/>
  <c r="N9" i="1"/>
  <c r="I10" i="1"/>
  <c r="E11" i="1"/>
  <c r="H9" i="1" l="1"/>
  <c r="E12" i="1"/>
  <c r="I11" i="1"/>
  <c r="I12" i="1" l="1"/>
  <c r="E13" i="1"/>
  <c r="H10" i="1" l="1"/>
  <c r="N10" i="1"/>
  <c r="I13" i="1"/>
  <c r="E14" i="1"/>
  <c r="H11" i="1" l="1"/>
  <c r="N11" i="1"/>
  <c r="E15" i="1"/>
  <c r="I14" i="1"/>
  <c r="H12" i="1" l="1"/>
  <c r="N12" i="1"/>
  <c r="E16" i="1"/>
  <c r="I15" i="1"/>
  <c r="H13" i="1" l="1"/>
  <c r="N13" i="1"/>
  <c r="E17" i="1"/>
  <c r="I16" i="1"/>
  <c r="H14" i="1" l="1"/>
  <c r="N14" i="1"/>
  <c r="I17" i="1"/>
  <c r="E18" i="1"/>
  <c r="H15" i="1" l="1"/>
  <c r="N15" i="1"/>
  <c r="E19" i="1"/>
  <c r="I18" i="1"/>
  <c r="H16" i="1" l="1"/>
  <c r="N16" i="1"/>
  <c r="E20" i="1"/>
  <c r="I19" i="1"/>
  <c r="H17" i="1" l="1"/>
  <c r="N17" i="1"/>
  <c r="I20" i="1"/>
  <c r="E21" i="1"/>
  <c r="H18" i="1" l="1"/>
  <c r="N18" i="1"/>
  <c r="I21" i="1"/>
  <c r="E22" i="1"/>
  <c r="H19" i="1" l="1"/>
  <c r="N19" i="1"/>
  <c r="I22" i="1"/>
  <c r="E23" i="1"/>
  <c r="H20" i="1" l="1"/>
  <c r="N20" i="1"/>
  <c r="E24" i="1"/>
  <c r="I23" i="1"/>
  <c r="H21" i="1" l="1"/>
  <c r="N21" i="1"/>
  <c r="E25" i="1"/>
  <c r="I24" i="1"/>
  <c r="H22" i="1" l="1"/>
  <c r="N22" i="1"/>
  <c r="I25" i="1"/>
  <c r="E26" i="1"/>
  <c r="H23" i="1" l="1"/>
  <c r="N23" i="1"/>
  <c r="I26" i="1"/>
  <c r="E27" i="1"/>
  <c r="H24" i="1" l="1"/>
  <c r="N24" i="1"/>
  <c r="E28" i="1"/>
  <c r="I27" i="1"/>
  <c r="H25" i="1" l="1"/>
  <c r="N25" i="1"/>
  <c r="E29" i="1"/>
  <c r="I28" i="1"/>
  <c r="H26" i="1" l="1"/>
  <c r="N26" i="1"/>
  <c r="I29" i="1"/>
  <c r="E30" i="1"/>
  <c r="H27" i="1" l="1"/>
  <c r="N27" i="1"/>
  <c r="E31" i="1"/>
  <c r="I30" i="1"/>
  <c r="H28" i="1" l="1"/>
  <c r="N28" i="1"/>
  <c r="E32" i="1"/>
  <c r="I31" i="1"/>
  <c r="H29" i="1" l="1"/>
  <c r="N29" i="1"/>
  <c r="E33" i="1"/>
  <c r="I33" i="1" s="1"/>
  <c r="I32" i="1"/>
  <c r="H30" i="1" l="1"/>
  <c r="N30" i="1"/>
  <c r="I34" i="1"/>
  <c r="H31" i="1" l="1"/>
  <c r="N31" i="1"/>
  <c r="N33" i="1"/>
  <c r="H32" i="1" l="1"/>
  <c r="H33" i="1" s="1"/>
  <c r="N32" i="1"/>
  <c r="G36" i="1"/>
</calcChain>
</file>

<file path=xl/sharedStrings.xml><?xml version="1.0" encoding="utf-8"?>
<sst xmlns="http://schemas.openxmlformats.org/spreadsheetml/2006/main" count="24" uniqueCount="14">
  <si>
    <t xml:space="preserve"> </t>
  </si>
  <si>
    <t>Beta</t>
  </si>
  <si>
    <t>Sigma</t>
  </si>
  <si>
    <t>EXERCISE 4.4: Consumption-saving decision</t>
  </si>
  <si>
    <t>Parameters</t>
  </si>
  <si>
    <t>Exogenous variables</t>
  </si>
  <si>
    <t>Interest rate</t>
  </si>
  <si>
    <t>Period</t>
  </si>
  <si>
    <t>Consumption</t>
  </si>
  <si>
    <t>Income</t>
  </si>
  <si>
    <t>Saving</t>
  </si>
  <si>
    <t>Utility</t>
  </si>
  <si>
    <t>Sum</t>
  </si>
  <si>
    <t>Net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</si>
</sst>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0"/>
      <name val="Times New Roman"/>
      <family val="1"/>
    </font>
    <font>
      <b/>
      <i/>
      <sz val="11"/>
      <color theme="0"/>
      <name val="Times New Roman"/>
      <family val="1"/>
    </font>
    <font>
      <sz val="11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164" fontId="2" fillId="0" borderId="0" xfId="0" applyNumberFormat="1" applyFont="1"/>
    <xf numFmtId="0" fontId="1" fillId="2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2" xfId="0" applyFont="1" applyFill="1" applyBorder="1" applyAlignment="1">
      <alignment horizontal="center"/>
    </xf>
    <xf numFmtId="2" fontId="2" fillId="3" borderId="0" xfId="0" applyNumberFormat="1" applyFont="1" applyFill="1"/>
    <xf numFmtId="2" fontId="2" fillId="3" borderId="3" xfId="0" applyNumberFormat="1" applyFont="1" applyFill="1" applyBorder="1"/>
    <xf numFmtId="0" fontId="1" fillId="3" borderId="4" xfId="0" applyFont="1" applyFill="1" applyBorder="1" applyAlignment="1">
      <alignment horizontal="center"/>
    </xf>
    <xf numFmtId="2" fontId="1" fillId="3" borderId="9" xfId="0" applyNumberFormat="1" applyFont="1" applyFill="1" applyBorder="1"/>
    <xf numFmtId="2" fontId="1" fillId="3" borderId="5" xfId="0" applyNumberFormat="1" applyFont="1" applyFill="1" applyBorder="1"/>
    <xf numFmtId="0" fontId="4" fillId="4" borderId="6" xfId="0" applyFont="1" applyFill="1" applyBorder="1"/>
    <xf numFmtId="0" fontId="5" fillId="4" borderId="8" xfId="0" applyFont="1" applyFill="1" applyBorder="1"/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right"/>
    </xf>
    <xf numFmtId="0" fontId="3" fillId="4" borderId="8" xfId="0" applyFont="1" applyFill="1" applyBorder="1" applyAlignment="1">
      <alignment horizontal="right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3B3B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es-ES" sz="1100" b="1"/>
              <a:t>Income</a:t>
            </a:r>
          </a:p>
        </c:rich>
      </c:tx>
      <c:layout>
        <c:manualLayout>
          <c:xMode val="edge"/>
          <c:yMode val="edge"/>
          <c:x val="0.43569662600465098"/>
          <c:y val="3.74532323586940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485603996483341"/>
          <c:y val="0.23595591919738704"/>
          <c:w val="0.80840102218929977"/>
          <c:h val="0.5056198268515437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none"/>
          </c:marker>
          <c:cat>
            <c:strRef>
              <c:f>Hoja1!$E$3:$E$34</c:f>
              <c:strCach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Sum</c:v>
                </c:pt>
              </c:strCache>
            </c:strRef>
          </c:cat>
          <c:val>
            <c:numRef>
              <c:f>Hoja1!$G$3:$G$33</c:f>
              <c:numCache>
                <c:formatCode>0.00</c:formatCode>
                <c:ptCount val="31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EE-4689-AA1D-15CE38E97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780416"/>
        <c:axId val="867780976"/>
      </c:lineChart>
      <c:catAx>
        <c:axId val="867780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1"/>
                </a:pPr>
                <a:r>
                  <a:rPr lang="es-ES" b="1"/>
                  <a:t>Time</a:t>
                </a:r>
              </a:p>
            </c:rich>
          </c:tx>
          <c:layout>
            <c:manualLayout>
              <c:xMode val="edge"/>
              <c:yMode val="edge"/>
              <c:x val="0.49081500822759844"/>
              <c:y val="0.85768126117993204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6778097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867780976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67780416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Times New Roman" panose="02020603050405020304" pitchFamily="18" charset="0"/>
          <a:ea typeface="Arial"/>
          <a:cs typeface="Times New Roman" panose="02020603050405020304" pitchFamily="18" charset="0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419920</xdr:colOff>
      <xdr:row>20</xdr:row>
      <xdr:rowOff>163871</xdr:rowOff>
    </xdr:from>
    <xdr:to>
      <xdr:col>26</xdr:col>
      <xdr:colOff>261374</xdr:colOff>
      <xdr:row>36</xdr:row>
      <xdr:rowOff>80952</xdr:rowOff>
    </xdr:to>
    <xdr:graphicFrame macro="">
      <xdr:nvGraphicFramePr>
        <xdr:cNvPr id="1126" name="Chart 10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6"/>
  <sheetViews>
    <sheetView tabSelected="1" zoomScale="93" zoomScaleNormal="93" workbookViewId="0">
      <selection activeCell="L14" sqref="L14"/>
    </sheetView>
  </sheetViews>
  <sheetFormatPr defaultColWidth="11.5703125" defaultRowHeight="15" x14ac:dyDescent="0.25"/>
  <cols>
    <col min="1" max="1" width="44.140625" style="1" customWidth="1"/>
    <col min="2" max="2" width="11" style="1" customWidth="1"/>
    <col min="3" max="3" width="4.28515625" style="1" customWidth="1"/>
    <col min="4" max="4" width="11.42578125" style="1" hidden="1" customWidth="1"/>
    <col min="5" max="5" width="9.140625" style="1" customWidth="1"/>
    <col min="6" max="6" width="12.85546875" style="1" customWidth="1"/>
    <col min="7" max="7" width="7.85546875" style="1" customWidth="1"/>
    <col min="8" max="8" width="9.140625" style="1" customWidth="1"/>
    <col min="9" max="9" width="8.5703125" style="1" customWidth="1"/>
    <col min="10" max="10" width="3.28515625" style="1" customWidth="1"/>
    <col min="11" max="16384" width="11.5703125" style="1"/>
  </cols>
  <sheetData>
    <row r="1" spans="1:57" ht="15.75" thickBot="1" x14ac:dyDescent="0.3">
      <c r="A1" s="5" t="s">
        <v>3</v>
      </c>
      <c r="BB1" s="2"/>
    </row>
    <row r="2" spans="1:57" x14ac:dyDescent="0.25">
      <c r="A2" s="1" t="s">
        <v>0</v>
      </c>
      <c r="E2" s="18" t="s">
        <v>7</v>
      </c>
      <c r="F2" s="19" t="s">
        <v>8</v>
      </c>
      <c r="G2" s="19" t="s">
        <v>9</v>
      </c>
      <c r="H2" s="19" t="s">
        <v>13</v>
      </c>
      <c r="I2" s="20" t="s">
        <v>11</v>
      </c>
      <c r="N2" s="1" t="s">
        <v>10</v>
      </c>
      <c r="BB2" s="3"/>
      <c r="BC2" s="3"/>
      <c r="BD2" s="3"/>
    </row>
    <row r="3" spans="1:57" ht="15.75" thickBot="1" x14ac:dyDescent="0.3">
      <c r="A3" s="1" t="s">
        <v>0</v>
      </c>
      <c r="E3" s="10">
        <v>0</v>
      </c>
      <c r="F3" s="11">
        <v>31.200881483975628</v>
      </c>
      <c r="G3" s="11">
        <f>10</f>
        <v>10</v>
      </c>
      <c r="H3" s="11">
        <f>G3-F3</f>
        <v>-21.200881483975628</v>
      </c>
      <c r="I3" s="12">
        <f t="shared" ref="I3:I33" si="0">Beta^E3*(F3^(1-Sigma)-1)/(1-Sigma)</f>
        <v>0.49948638668176182</v>
      </c>
      <c r="N3" s="21">
        <f xml:space="preserve"> G3-F3</f>
        <v>-21.200881483975628</v>
      </c>
    </row>
    <row r="4" spans="1:57" x14ac:dyDescent="0.25">
      <c r="A4" s="16" t="s">
        <v>4</v>
      </c>
      <c r="B4" s="17"/>
      <c r="E4" s="10">
        <f>E3+1</f>
        <v>1</v>
      </c>
      <c r="F4" s="11">
        <v>31.078018435367106</v>
      </c>
      <c r="G4" s="11">
        <f xml:space="preserve"> G3+2</f>
        <v>12</v>
      </c>
      <c r="H4" s="11">
        <f t="shared" ref="H4:H33" si="1">(1+Rbar)*H3+G4-F4</f>
        <v>-41.126935178701757</v>
      </c>
      <c r="I4" s="12">
        <f t="shared" si="0"/>
        <v>0.47450820176058545</v>
      </c>
      <c r="N4" s="21">
        <f t="shared" ref="N4:N34" si="2" xml:space="preserve"> G4-F4</f>
        <v>-19.078018435367106</v>
      </c>
    </row>
    <row r="5" spans="1:57" x14ac:dyDescent="0.25">
      <c r="A5" s="6" t="s">
        <v>1</v>
      </c>
      <c r="B5" s="7">
        <v>0.95</v>
      </c>
      <c r="E5" s="10">
        <f t="shared" ref="E5:E33" si="3">E4+1</f>
        <v>2</v>
      </c>
      <c r="F5" s="11">
        <v>30.946912814374404</v>
      </c>
      <c r="G5" s="11">
        <f t="shared" ref="G5:G23" si="4" xml:space="preserve"> G4+2</f>
        <v>14</v>
      </c>
      <c r="H5" s="11">
        <f t="shared" si="1"/>
        <v>-59.718925400224236</v>
      </c>
      <c r="I5" s="12">
        <f t="shared" si="0"/>
        <v>0.45077882466054281</v>
      </c>
      <c r="N5" s="21">
        <f t="shared" si="2"/>
        <v>-16.946912814374404</v>
      </c>
    </row>
    <row r="6" spans="1:57" ht="15.75" thickBot="1" x14ac:dyDescent="0.3">
      <c r="A6" s="8" t="s">
        <v>2</v>
      </c>
      <c r="B6" s="9">
        <v>3</v>
      </c>
      <c r="E6" s="10">
        <f t="shared" si="3"/>
        <v>3</v>
      </c>
      <c r="F6" s="11">
        <v>30.823105922580361</v>
      </c>
      <c r="G6" s="11">
        <f t="shared" si="4"/>
        <v>16</v>
      </c>
      <c r="H6" s="11">
        <f t="shared" si="1"/>
        <v>-76.930788338813571</v>
      </c>
      <c r="I6" s="12">
        <f t="shared" si="0"/>
        <v>0.42823628033085054</v>
      </c>
      <c r="N6" s="21">
        <f t="shared" si="2"/>
        <v>-14.823105922580361</v>
      </c>
    </row>
    <row r="7" spans="1:57" ht="15.75" thickBot="1" x14ac:dyDescent="0.3">
      <c r="E7" s="10">
        <f t="shared" si="3"/>
        <v>4</v>
      </c>
      <c r="F7" s="11">
        <v>30.701925971816607</v>
      </c>
      <c r="G7" s="11">
        <f t="shared" si="4"/>
        <v>18</v>
      </c>
      <c r="H7" s="11">
        <f t="shared" si="1"/>
        <v>-92.709945844182727</v>
      </c>
      <c r="I7" s="12">
        <f t="shared" si="0"/>
        <v>0.40682107582009958</v>
      </c>
      <c r="N7" s="21">
        <f t="shared" si="2"/>
        <v>-12.701925971816607</v>
      </c>
    </row>
    <row r="8" spans="1:57" x14ac:dyDescent="0.25">
      <c r="A8" s="16" t="s">
        <v>5</v>
      </c>
      <c r="B8" s="17"/>
      <c r="E8" s="10">
        <f t="shared" si="3"/>
        <v>5</v>
      </c>
      <c r="F8" s="11">
        <v>30.581019414978574</v>
      </c>
      <c r="G8" s="11">
        <f t="shared" si="4"/>
        <v>20</v>
      </c>
      <c r="H8" s="11">
        <f t="shared" si="1"/>
        <v>-106.9993630929286</v>
      </c>
      <c r="I8" s="12">
        <f t="shared" si="0"/>
        <v>0.38647677009034354</v>
      </c>
      <c r="N8" s="21">
        <f t="shared" si="2"/>
        <v>-10.581019414978574</v>
      </c>
      <c r="BE8" s="4"/>
    </row>
    <row r="9" spans="1:57" ht="15.75" thickBot="1" x14ac:dyDescent="0.3">
      <c r="A9" s="8" t="s">
        <v>6</v>
      </c>
      <c r="B9" s="9">
        <v>0.04</v>
      </c>
      <c r="E9" s="10">
        <f t="shared" si="3"/>
        <v>6</v>
      </c>
      <c r="F9" s="11">
        <v>30.459397907764917</v>
      </c>
      <c r="G9" s="11">
        <f t="shared" si="4"/>
        <v>22</v>
      </c>
      <c r="H9" s="11">
        <f t="shared" si="1"/>
        <v>-119.73873552441066</v>
      </c>
      <c r="I9" s="12">
        <f t="shared" si="0"/>
        <v>0.36714978678629773</v>
      </c>
      <c r="N9" s="21">
        <f t="shared" si="2"/>
        <v>-8.4593979077649166</v>
      </c>
    </row>
    <row r="10" spans="1:57" x14ac:dyDescent="0.25">
      <c r="A10" s="1" t="s">
        <v>0</v>
      </c>
      <c r="E10" s="10">
        <f t="shared" si="3"/>
        <v>7</v>
      </c>
      <c r="F10" s="11">
        <v>30.336957234697071</v>
      </c>
      <c r="G10" s="11">
        <f t="shared" si="4"/>
        <v>24</v>
      </c>
      <c r="H10" s="11">
        <f t="shared" si="1"/>
        <v>-130.86524218008415</v>
      </c>
      <c r="I10" s="12">
        <f t="shared" si="0"/>
        <v>0.34878925339667571</v>
      </c>
      <c r="N10" s="21">
        <f t="shared" si="2"/>
        <v>-6.3369572346970706</v>
      </c>
    </row>
    <row r="11" spans="1:57" x14ac:dyDescent="0.25">
      <c r="E11" s="10">
        <f t="shared" si="3"/>
        <v>8</v>
      </c>
      <c r="F11" s="11">
        <v>30.214005124937032</v>
      </c>
      <c r="G11" s="11">
        <f t="shared" si="4"/>
        <v>26</v>
      </c>
      <c r="H11" s="11">
        <f t="shared" si="1"/>
        <v>-140.31385699222454</v>
      </c>
      <c r="I11" s="12">
        <f t="shared" si="0"/>
        <v>0.33134685135014985</v>
      </c>
      <c r="N11" s="21">
        <f t="shared" si="2"/>
        <v>-4.2140051249370316</v>
      </c>
    </row>
    <row r="12" spans="1:57" x14ac:dyDescent="0.25">
      <c r="C12" s="1" t="s">
        <v>0</v>
      </c>
      <c r="E12" s="10">
        <f t="shared" si="3"/>
        <v>9</v>
      </c>
      <c r="F12" s="11">
        <v>30.091048594678547</v>
      </c>
      <c r="G12" s="11">
        <f t="shared" si="4"/>
        <v>28</v>
      </c>
      <c r="H12" s="11">
        <f t="shared" si="1"/>
        <v>-148.01745986659208</v>
      </c>
      <c r="I12" s="12">
        <f t="shared" si="0"/>
        <v>0.31477668197329539</v>
      </c>
      <c r="N12" s="21">
        <f t="shared" si="2"/>
        <v>-2.0910485946785471</v>
      </c>
    </row>
    <row r="13" spans="1:57" x14ac:dyDescent="0.25">
      <c r="A13" s="1" t="s">
        <v>0</v>
      </c>
      <c r="E13" s="10">
        <f t="shared" si="3"/>
        <v>10</v>
      </c>
      <c r="F13" s="11">
        <v>29.968582812002463</v>
      </c>
      <c r="G13" s="11">
        <f t="shared" si="4"/>
        <v>30</v>
      </c>
      <c r="H13" s="11">
        <f t="shared" si="1"/>
        <v>-153.90674107325825</v>
      </c>
      <c r="I13" s="12">
        <f t="shared" si="0"/>
        <v>0.29903514020031063</v>
      </c>
      <c r="N13" s="21">
        <f t="shared" si="2"/>
        <v>3.14171879975369E-2</v>
      </c>
    </row>
    <row r="14" spans="1:57" x14ac:dyDescent="0.25">
      <c r="A14" s="1" t="s">
        <v>0</v>
      </c>
      <c r="E14" s="10">
        <f t="shared" si="3"/>
        <v>11</v>
      </c>
      <c r="F14" s="11">
        <v>29.847002454754367</v>
      </c>
      <c r="G14" s="11">
        <f t="shared" si="4"/>
        <v>32</v>
      </c>
      <c r="H14" s="11">
        <f t="shared" si="1"/>
        <v>-157.91001317094296</v>
      </c>
      <c r="I14" s="12">
        <f t="shared" si="0"/>
        <v>0.28408079811272485</v>
      </c>
      <c r="N14" s="21">
        <f t="shared" si="2"/>
        <v>2.1529975452456327</v>
      </c>
    </row>
    <row r="15" spans="1:57" x14ac:dyDescent="0.25">
      <c r="C15" s="2" t="s">
        <v>0</v>
      </c>
      <c r="E15" s="10">
        <f t="shared" si="3"/>
        <v>12</v>
      </c>
      <c r="F15" s="11">
        <v>29.726563349061752</v>
      </c>
      <c r="G15" s="11">
        <f t="shared" si="4"/>
        <v>34</v>
      </c>
      <c r="H15" s="11">
        <f t="shared" si="1"/>
        <v>-159.95297704684245</v>
      </c>
      <c r="I15" s="12">
        <f t="shared" si="0"/>
        <v>0.26987429566571836</v>
      </c>
      <c r="N15" s="21">
        <f t="shared" si="2"/>
        <v>4.2734366509382475</v>
      </c>
    </row>
    <row r="16" spans="1:57" x14ac:dyDescent="0.25">
      <c r="C16" s="2" t="s">
        <v>0</v>
      </c>
      <c r="E16" s="10">
        <f t="shared" si="3"/>
        <v>13</v>
      </c>
      <c r="F16" s="11">
        <v>29.607308258412818</v>
      </c>
      <c r="G16" s="11">
        <f t="shared" si="4"/>
        <v>36</v>
      </c>
      <c r="H16" s="11">
        <f t="shared" si="1"/>
        <v>-159.95840438712898</v>
      </c>
      <c r="I16" s="12">
        <f t="shared" si="0"/>
        <v>0.25637823627990436</v>
      </c>
      <c r="N16" s="21">
        <f t="shared" si="2"/>
        <v>6.392691741587182</v>
      </c>
    </row>
    <row r="17" spans="3:14" x14ac:dyDescent="0.25">
      <c r="C17" s="2"/>
      <c r="E17" s="10">
        <f t="shared" si="3"/>
        <v>14</v>
      </c>
      <c r="F17" s="11">
        <v>29.489193718123769</v>
      </c>
      <c r="G17" s="11">
        <f t="shared" si="4"/>
        <v>38</v>
      </c>
      <c r="H17" s="11">
        <f t="shared" si="1"/>
        <v>-157.84593428073791</v>
      </c>
      <c r="I17" s="12">
        <f t="shared" si="0"/>
        <v>0.24355709170628645</v>
      </c>
      <c r="N17" s="21">
        <f t="shared" si="2"/>
        <v>8.5108062818762313</v>
      </c>
    </row>
    <row r="18" spans="3:14" x14ac:dyDescent="0.25">
      <c r="C18" s="2"/>
      <c r="E18" s="10">
        <f t="shared" si="3"/>
        <v>15</v>
      </c>
      <c r="F18" s="11">
        <v>29.372059334169375</v>
      </c>
      <c r="G18" s="11">
        <f t="shared" si="4"/>
        <v>40</v>
      </c>
      <c r="H18" s="11">
        <f t="shared" si="1"/>
        <v>-153.53183098613678</v>
      </c>
      <c r="I18" s="12">
        <f t="shared" si="0"/>
        <v>0.23137710827914693</v>
      </c>
      <c r="N18" s="21">
        <f t="shared" si="2"/>
        <v>10.627940665830625</v>
      </c>
    </row>
    <row r="19" spans="3:14" x14ac:dyDescent="0.25">
      <c r="C19" s="2"/>
      <c r="E19" s="10">
        <f t="shared" si="3"/>
        <v>16</v>
      </c>
      <c r="F19" s="11">
        <v>29.255610986576748</v>
      </c>
      <c r="G19" s="11">
        <f t="shared" si="4"/>
        <v>42</v>
      </c>
      <c r="H19" s="11">
        <f t="shared" si="1"/>
        <v>-146.92871521215901</v>
      </c>
      <c r="I19" s="12">
        <f t="shared" si="0"/>
        <v>0.21980621818330948</v>
      </c>
      <c r="N19" s="21">
        <f t="shared" si="2"/>
        <v>12.744389013423252</v>
      </c>
    </row>
    <row r="20" spans="3:14" x14ac:dyDescent="0.25">
      <c r="C20" s="2"/>
      <c r="E20" s="10">
        <f t="shared" si="3"/>
        <v>17</v>
      </c>
      <c r="F20" s="11">
        <v>29.139618582638661</v>
      </c>
      <c r="G20" s="11">
        <f t="shared" si="4"/>
        <v>44</v>
      </c>
      <c r="H20" s="11">
        <f t="shared" si="1"/>
        <v>-137.94548240328405</v>
      </c>
      <c r="I20" s="12">
        <f t="shared" si="0"/>
        <v>0.20881395881123552</v>
      </c>
      <c r="N20" s="21">
        <f t="shared" si="2"/>
        <v>14.860381417361339</v>
      </c>
    </row>
    <row r="21" spans="3:14" x14ac:dyDescent="0.25">
      <c r="C21" s="2"/>
      <c r="E21" s="10">
        <f t="shared" si="3"/>
        <v>18</v>
      </c>
      <c r="F21" s="11">
        <v>29.023802091847603</v>
      </c>
      <c r="G21" s="11">
        <f t="shared" si="4"/>
        <v>46</v>
      </c>
      <c r="H21" s="11">
        <f t="shared" si="1"/>
        <v>-126.48710379126301</v>
      </c>
      <c r="I21" s="12">
        <f t="shared" si="0"/>
        <v>0.19837139045166427</v>
      </c>
      <c r="N21" s="21">
        <f t="shared" si="2"/>
        <v>16.976197908152397</v>
      </c>
    </row>
    <row r="22" spans="3:14" x14ac:dyDescent="0.25">
      <c r="C22" s="2"/>
      <c r="E22" s="10">
        <f t="shared" si="3"/>
        <v>19</v>
      </c>
      <c r="F22" s="11">
        <v>28.90792799024975</v>
      </c>
      <c r="G22" s="11">
        <f t="shared" si="4"/>
        <v>48</v>
      </c>
      <c r="H22" s="11">
        <f t="shared" si="1"/>
        <v>-112.45451593316328</v>
      </c>
      <c r="I22" s="12">
        <f t="shared" si="0"/>
        <v>0.18845102173154837</v>
      </c>
      <c r="N22" s="21">
        <f t="shared" si="2"/>
        <v>19.09207200975025</v>
      </c>
    </row>
    <row r="23" spans="3:14" x14ac:dyDescent="0.25">
      <c r="C23" s="2"/>
      <c r="E23" s="10">
        <f t="shared" si="3"/>
        <v>20</v>
      </c>
      <c r="F23" s="11">
        <v>28.791869852655992</v>
      </c>
      <c r="G23" s="11">
        <f t="shared" si="4"/>
        <v>50</v>
      </c>
      <c r="H23" s="11">
        <f t="shared" si="1"/>
        <v>-95.744566423145812</v>
      </c>
      <c r="I23" s="12">
        <f t="shared" si="0"/>
        <v>0.17902673796510324</v>
      </c>
      <c r="N23" s="21">
        <f t="shared" si="2"/>
        <v>21.208130147344008</v>
      </c>
    </row>
    <row r="24" spans="3:14" x14ac:dyDescent="0.25">
      <c r="C24" s="2"/>
      <c r="E24" s="10">
        <f t="shared" si="3"/>
        <v>21</v>
      </c>
      <c r="F24" s="11">
        <v>28.675555879998257</v>
      </c>
      <c r="G24" s="11">
        <v>40</v>
      </c>
      <c r="H24" s="11">
        <f t="shared" si="1"/>
        <v>-88.249904960069898</v>
      </c>
      <c r="I24" s="12">
        <f t="shared" si="0"/>
        <v>0.17007373129968673</v>
      </c>
      <c r="N24" s="21">
        <f t="shared" si="2"/>
        <v>11.324444120001743</v>
      </c>
    </row>
    <row r="25" spans="3:14" x14ac:dyDescent="0.25">
      <c r="C25" s="2"/>
      <c r="E25" s="10">
        <f t="shared" si="3"/>
        <v>22</v>
      </c>
      <c r="F25" s="11">
        <v>28.559025462464003</v>
      </c>
      <c r="G25" s="11">
        <v>40</v>
      </c>
      <c r="H25" s="11">
        <f t="shared" si="1"/>
        <v>-80.338926620936704</v>
      </c>
      <c r="I25" s="12">
        <f t="shared" si="0"/>
        <v>0.16156843602872573</v>
      </c>
      <c r="N25" s="21">
        <f t="shared" si="2"/>
        <v>11.440974537535997</v>
      </c>
    </row>
    <row r="26" spans="3:14" x14ac:dyDescent="0.25">
      <c r="C26" s="2"/>
      <c r="E26" s="10">
        <f t="shared" si="3"/>
        <v>23</v>
      </c>
      <c r="F26" s="11">
        <v>28.442419530666982</v>
      </c>
      <c r="G26" s="11">
        <v>40</v>
      </c>
      <c r="H26" s="11">
        <f t="shared" si="1"/>
        <v>-71.994903216441159</v>
      </c>
      <c r="I26" s="12">
        <f t="shared" si="0"/>
        <v>0.15348846612521877</v>
      </c>
      <c r="N26" s="21">
        <f t="shared" si="2"/>
        <v>11.557580469333018</v>
      </c>
    </row>
    <row r="27" spans="3:14" x14ac:dyDescent="0.25">
      <c r="C27" s="2"/>
      <c r="E27" s="10">
        <f t="shared" si="3"/>
        <v>24</v>
      </c>
      <c r="F27" s="11">
        <v>28.326013320516701</v>
      </c>
      <c r="G27" s="11">
        <v>40</v>
      </c>
      <c r="H27" s="11">
        <f t="shared" si="1"/>
        <v>-63.200712665615505</v>
      </c>
      <c r="I27" s="12">
        <f t="shared" si="0"/>
        <v>0.14581255648773683</v>
      </c>
      <c r="N27" s="21">
        <f t="shared" si="2"/>
        <v>11.673986679483299</v>
      </c>
    </row>
    <row r="28" spans="3:14" x14ac:dyDescent="0.25">
      <c r="C28" s="2"/>
      <c r="E28" s="10">
        <f t="shared" si="3"/>
        <v>25</v>
      </c>
      <c r="F28" s="11">
        <v>28.210209331253619</v>
      </c>
      <c r="G28" s="11">
        <v>40</v>
      </c>
      <c r="H28" s="11">
        <f t="shared" si="1"/>
        <v>-53.938950503493757</v>
      </c>
      <c r="I28" s="12">
        <f t="shared" si="0"/>
        <v>0.13852050657388898</v>
      </c>
      <c r="N28" s="21">
        <f t="shared" si="2"/>
        <v>11.789790668746381</v>
      </c>
    </row>
    <row r="29" spans="3:14" x14ac:dyDescent="0.25">
      <c r="C29" s="2"/>
      <c r="E29" s="10">
        <f t="shared" si="3"/>
        <v>26</v>
      </c>
      <c r="F29" s="11">
        <v>28.095489519408392</v>
      </c>
      <c r="G29" s="11">
        <v>40</v>
      </c>
      <c r="H29" s="11">
        <f t="shared" si="1"/>
        <v>-44.191998043041906</v>
      </c>
      <c r="I29" s="12">
        <f t="shared" si="0"/>
        <v>0.13159312640305298</v>
      </c>
      <c r="N29" s="21">
        <f t="shared" si="2"/>
        <v>11.904510480591608</v>
      </c>
    </row>
    <row r="30" spans="3:14" x14ac:dyDescent="0.25">
      <c r="C30" s="2"/>
      <c r="E30" s="10">
        <f t="shared" si="3"/>
        <v>27</v>
      </c>
      <c r="F30" s="11">
        <v>27.982507156899739</v>
      </c>
      <c r="G30" s="11">
        <v>40</v>
      </c>
      <c r="H30" s="11">
        <f t="shared" si="1"/>
        <v>-33.942185121663329</v>
      </c>
      <c r="I30" s="12">
        <f t="shared" si="0"/>
        <v>0.12501218697246907</v>
      </c>
      <c r="N30" s="21">
        <f t="shared" si="2"/>
        <v>12.017492843100261</v>
      </c>
    </row>
    <row r="31" spans="3:14" x14ac:dyDescent="0.25">
      <c r="C31" s="2"/>
      <c r="E31" s="10">
        <f t="shared" si="3"/>
        <v>28</v>
      </c>
      <c r="F31" s="11">
        <v>27.871989511708058</v>
      </c>
      <c r="G31" s="11">
        <v>40</v>
      </c>
      <c r="H31" s="11">
        <f t="shared" si="1"/>
        <v>-23.171862038237919</v>
      </c>
      <c r="I31" s="12">
        <f t="shared" si="0"/>
        <v>0.11876037088989649</v>
      </c>
      <c r="N31" s="21">
        <f t="shared" si="2"/>
        <v>12.128010488291942</v>
      </c>
    </row>
    <row r="32" spans="3:14" x14ac:dyDescent="0.25">
      <c r="E32" s="10">
        <f t="shared" si="3"/>
        <v>29</v>
      </c>
      <c r="F32" s="11">
        <v>27.764810245595335</v>
      </c>
      <c r="G32" s="11">
        <v>40</v>
      </c>
      <c r="H32" s="11">
        <f t="shared" si="1"/>
        <v>-11.86354676536277</v>
      </c>
      <c r="I32" s="12">
        <f t="shared" si="0"/>
        <v>0.11282122747596011</v>
      </c>
      <c r="N32" s="21">
        <f t="shared" si="2"/>
        <v>12.235189754404665</v>
      </c>
    </row>
    <row r="33" spans="5:14" x14ac:dyDescent="0.25">
      <c r="E33" s="10">
        <f t="shared" si="3"/>
        <v>30</v>
      </c>
      <c r="F33" s="11">
        <v>27.661911346708028</v>
      </c>
      <c r="G33" s="11">
        <v>40</v>
      </c>
      <c r="H33" s="11">
        <f t="shared" si="1"/>
        <v>1.7314693678827098E-8</v>
      </c>
      <c r="I33" s="12">
        <f t="shared" si="0"/>
        <v>0.10717912844403406</v>
      </c>
      <c r="N33" s="21">
        <f t="shared" si="2"/>
        <v>12.338088653291972</v>
      </c>
    </row>
    <row r="34" spans="5:14" ht="15.75" thickBot="1" x14ac:dyDescent="0.3">
      <c r="E34" s="13" t="s">
        <v>12</v>
      </c>
      <c r="F34" s="14" t="s">
        <v>0</v>
      </c>
      <c r="G34" s="14" t="s">
        <v>0</v>
      </c>
      <c r="H34" s="14" t="s">
        <v>0</v>
      </c>
      <c r="I34" s="15">
        <f>SUM(I3:I33)</f>
        <v>7.9519718469382283</v>
      </c>
      <c r="N34" s="21"/>
    </row>
    <row r="36" spans="5:14" x14ac:dyDescent="0.25">
      <c r="F36" s="1">
        <f>STDEV(F3:F33)</f>
        <v>1.0752921794415311</v>
      </c>
      <c r="G36" s="1">
        <f>STDEV(G3:G33)</f>
        <v>11.191394543485501</v>
      </c>
    </row>
  </sheetData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 r:id="rId1"/>
  <headerFooter alignWithMargins="0"/>
  <ignoredErrors>
    <ignoredError sqref="H3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2.75" x14ac:dyDescent="0.2"/>
  <sheetData/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2.75" x14ac:dyDescent="0.2"/>
  <sheetData/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Hoja1</vt:lpstr>
      <vt:lpstr>Hoja2</vt:lpstr>
      <vt:lpstr>Hoja3</vt:lpstr>
      <vt:lpstr>Beta</vt:lpstr>
      <vt:lpstr>Rbar</vt:lpstr>
      <vt:lpstr>Rbara</vt:lpstr>
      <vt:lpstr>Sigma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JoseLuis</dc:creator>
  <cp:lastModifiedBy>Paul D McNelis</cp:lastModifiedBy>
  <dcterms:created xsi:type="dcterms:W3CDTF">2009-07-04T07:41:09Z</dcterms:created>
  <dcterms:modified xsi:type="dcterms:W3CDTF">2025-10-16T00:15:29Z</dcterms:modified>
</cp:coreProperties>
</file>