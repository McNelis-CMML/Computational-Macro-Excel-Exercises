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nt\Dropbox\ComputMacro\EXCEL-ICM\"/>
    </mc:Choice>
  </mc:AlternateContent>
  <xr:revisionPtr revIDLastSave="0" documentId="13_ncr:1_{1915FD07-007A-4E18-92A0-2676DD6934E3}" xr6:coauthVersionLast="47" xr6:coauthVersionMax="47" xr10:uidLastSave="{00000000-0000-0000-0000-000000000000}"/>
  <bookViews>
    <workbookView xWindow="-98" yWindow="-98" windowWidth="19396" windowHeight="11475" xr2:uid="{909F8FA6-EB0A-40CF-858C-A89B7A4F2411}"/>
  </bookViews>
  <sheets>
    <sheet name="Sheet1" sheetId="1" r:id="rId1"/>
  </sheets>
  <externalReferences>
    <externalReference r:id="rId2"/>
  </externalReferences>
  <definedNames>
    <definedName name="Ac">Sheet1!$B$34</definedName>
    <definedName name="alpha">Sheet1!$B$12</definedName>
    <definedName name="Beta">Sheet1!$B$18</definedName>
    <definedName name="Cbar">Sheet1!$B$39</definedName>
    <definedName name="Delta">Sheet1!$B$13</definedName>
    <definedName name="gamma">Sheet1!$B$49</definedName>
    <definedName name="Interest">Sheet1!$B$17</definedName>
    <definedName name="kbar">Sheet1!$B$21</definedName>
    <definedName name="lambdabar">Sheet1!$B$46</definedName>
    <definedName name="lbar">Sheet1!$B$22</definedName>
    <definedName name="mpk">Sheet1!$B$47</definedName>
    <definedName name="mpl">Sheet1!$B$48</definedName>
    <definedName name="Phi">Sheet1!$B$14</definedName>
    <definedName name="phiL">Sheet1!$B$38</definedName>
    <definedName name="phiLL">Sheet1!$B$37</definedName>
    <definedName name="qbar">Sheet1!$B$20</definedName>
    <definedName name="R_1">#REF!</definedName>
    <definedName name="rho">'[1]Cobb-Dougles'!$B$29</definedName>
    <definedName name="rhoc">Sheet1!$B$31</definedName>
    <definedName name="sigma">'[1]Cobb-Dougles'!$B$30</definedName>
    <definedName name="sigma_c">Sheet1!$B$36</definedName>
    <definedName name="solver_adj" localSheetId="0" hidden="1">Sheet1!$H$3:$H$50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1000000</definedName>
    <definedName name="solver_lhs1" localSheetId="0" hidden="1">Sheet1!$H$50</definedName>
    <definedName name="solver_lhs2" localSheetId="0" hidden="1">Sheet1!$N$2:$N$50</definedName>
    <definedName name="solver_lhs3" localSheetId="0" hidden="1">Sheet1!$N$3:$N$50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Sheet1!$S$51</definedName>
    <definedName name="solver_pre" localSheetId="0" hidden="1">0.0001</definedName>
    <definedName name="solver_rbv" localSheetId="0" hidden="1">1</definedName>
    <definedName name="solver_rel1" localSheetId="0" hidden="1">2</definedName>
    <definedName name="solver_rel2" localSheetId="0" hidden="1">1</definedName>
    <definedName name="solver_rel3" localSheetId="0" hidden="1">3</definedName>
    <definedName name="solver_rhs1" localSheetId="0" hidden="1">1</definedName>
    <definedName name="solver_rhs2" localSheetId="0" hidden="1">0.6</definedName>
    <definedName name="solver_rhs3" localSheetId="0" hidden="1">0.01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1000</definedName>
    <definedName name="solver_tim" localSheetId="0" hidden="1">100000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  <definedName name="tauc">Sheet1!$B$42</definedName>
    <definedName name="tauk">Sheet1!$B$44</definedName>
    <definedName name="tauw">Sheet1!$B$43</definedName>
    <definedName name="ybar">'[1]Cobb-Dougles'!$B$23</definedName>
    <definedName name="yhat">Sheet1!$B$33</definedName>
    <definedName name="yhat1">Sheet1!$B$35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51" i="1" l="1"/>
  <c r="AD52" i="1"/>
  <c r="AD53" i="1"/>
  <c r="AD2" i="1"/>
  <c r="M2" i="1"/>
  <c r="B35" i="1"/>
  <c r="B33" i="1"/>
  <c r="B34" i="1" s="1"/>
  <c r="B17" i="1" s="1"/>
  <c r="B23" i="1"/>
  <c r="D20" i="1"/>
  <c r="D19" i="1"/>
  <c r="J3" i="1"/>
  <c r="V2" i="1"/>
  <c r="J2" i="1"/>
  <c r="F2" i="1"/>
  <c r="F3" i="1" s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O2" i="1" l="1"/>
  <c r="G7" i="1"/>
  <c r="G30" i="1"/>
  <c r="G9" i="1"/>
  <c r="G32" i="1"/>
  <c r="G17" i="1"/>
  <c r="G33" i="1"/>
  <c r="G18" i="1"/>
  <c r="G34" i="1"/>
  <c r="G19" i="1"/>
  <c r="G37" i="1"/>
  <c r="G38" i="1"/>
  <c r="G3" i="1"/>
  <c r="G4" i="1"/>
  <c r="G5" i="1"/>
  <c r="G8" i="1"/>
  <c r="G11" i="1"/>
  <c r="G12" i="1"/>
  <c r="G13" i="1"/>
  <c r="G14" i="1"/>
  <c r="G15" i="1"/>
  <c r="G16" i="1"/>
  <c r="G24" i="1"/>
  <c r="G26" i="1"/>
  <c r="G29" i="1"/>
  <c r="G20" i="1"/>
  <c r="G21" i="1"/>
  <c r="G22" i="1"/>
  <c r="G23" i="1"/>
  <c r="G25" i="1"/>
  <c r="G6" i="1"/>
  <c r="G10" i="1"/>
  <c r="G27" i="1"/>
  <c r="G28" i="1"/>
  <c r="G43" i="1"/>
  <c r="G40" i="1"/>
  <c r="G39" i="1"/>
  <c r="G31" i="1"/>
  <c r="G42" i="1"/>
  <c r="G41" i="1"/>
  <c r="G36" i="1"/>
  <c r="G45" i="1"/>
  <c r="G35" i="1"/>
  <c r="G50" i="1"/>
  <c r="G49" i="1"/>
  <c r="G48" i="1"/>
  <c r="G47" i="1"/>
  <c r="G46" i="1"/>
  <c r="G44" i="1"/>
  <c r="I3" i="1"/>
  <c r="Q3" i="1" s="1"/>
  <c r="Q2" i="1"/>
  <c r="B18" i="1"/>
  <c r="B47" i="1" a="1"/>
  <c r="B47" i="1" s="1"/>
  <c r="B54" i="1" s="1" a="1"/>
  <c r="B54" i="1" s="1"/>
  <c r="B48" i="1"/>
  <c r="G2" i="1"/>
  <c r="P2" i="1" s="1"/>
  <c r="L3" i="1"/>
  <c r="J4" i="1"/>
  <c r="I4" i="1"/>
  <c r="L2" i="1"/>
  <c r="Y2" i="1" l="1"/>
  <c r="Q4" i="1"/>
  <c r="K2" i="1"/>
  <c r="W2" i="1" s="1"/>
  <c r="B39" i="1"/>
  <c r="B24" i="1"/>
  <c r="B53" i="1" a="1"/>
  <c r="B53" i="1" s="1"/>
  <c r="I5" i="1"/>
  <c r="J5" i="1"/>
  <c r="L4" i="1"/>
  <c r="Z2" i="1" l="1"/>
  <c r="AA2" i="1" s="1"/>
  <c r="Q5" i="1"/>
  <c r="B46" i="1"/>
  <c r="B49" i="1" s="1"/>
  <c r="AB2" i="1" s="1"/>
  <c r="AC2" i="1" s="1"/>
  <c r="X2" i="1"/>
  <c r="J6" i="1"/>
  <c r="I6" i="1"/>
  <c r="L5" i="1"/>
  <c r="N3" i="1" l="1"/>
  <c r="M3" i="1" s="1"/>
  <c r="Q6" i="1"/>
  <c r="B51" i="1"/>
  <c r="J7" i="1"/>
  <c r="I7" i="1"/>
  <c r="L6" i="1"/>
  <c r="O3" i="1" l="1"/>
  <c r="Q7" i="1"/>
  <c r="P3" i="1"/>
  <c r="K3" i="1"/>
  <c r="AD3" i="1" s="1"/>
  <c r="J8" i="1"/>
  <c r="I8" i="1"/>
  <c r="L7" i="1"/>
  <c r="Q8" i="1" l="1"/>
  <c r="W3" i="1"/>
  <c r="I9" i="1"/>
  <c r="J9" i="1"/>
  <c r="L8" i="1"/>
  <c r="X3" i="1" l="1"/>
  <c r="Y3" i="1" s="1"/>
  <c r="R3" i="1" s="1"/>
  <c r="AB3" i="1"/>
  <c r="AC3" i="1" s="1"/>
  <c r="Z3" i="1"/>
  <c r="AA3" i="1" s="1"/>
  <c r="Q9" i="1"/>
  <c r="L9" i="1"/>
  <c r="J10" i="1"/>
  <c r="I10" i="1"/>
  <c r="N4" i="1" l="1"/>
  <c r="M4" i="1" s="1"/>
  <c r="P4" i="1" s="1"/>
  <c r="S3" i="1"/>
  <c r="Q10" i="1"/>
  <c r="J11" i="1"/>
  <c r="I11" i="1"/>
  <c r="L10" i="1"/>
  <c r="K4" i="1" l="1"/>
  <c r="AD4" i="1" s="1"/>
  <c r="O4" i="1"/>
  <c r="Q11" i="1"/>
  <c r="L11" i="1"/>
  <c r="J12" i="1"/>
  <c r="I12" i="1"/>
  <c r="W4" i="1" l="1"/>
  <c r="X4" i="1" s="1"/>
  <c r="Y4" i="1" s="1"/>
  <c r="Q12" i="1"/>
  <c r="I13" i="1"/>
  <c r="J13" i="1"/>
  <c r="L12" i="1"/>
  <c r="Z4" i="1" l="1"/>
  <c r="AA4" i="1" s="1"/>
  <c r="AB4" i="1"/>
  <c r="AC4" i="1" s="1"/>
  <c r="N5" i="1"/>
  <c r="M5" i="1" s="1"/>
  <c r="K5" i="1" s="1"/>
  <c r="R4" i="1"/>
  <c r="S4" i="1" s="1"/>
  <c r="Q13" i="1"/>
  <c r="L13" i="1"/>
  <c r="J14" i="1"/>
  <c r="I14" i="1"/>
  <c r="P5" i="1" l="1"/>
  <c r="AD5" i="1" s="1"/>
  <c r="O5" i="1"/>
  <c r="Q14" i="1"/>
  <c r="J15" i="1"/>
  <c r="I15" i="1"/>
  <c r="L14" i="1"/>
  <c r="W5" i="1" l="1"/>
  <c r="X5" i="1" s="1"/>
  <c r="Y5" i="1" s="1"/>
  <c r="R5" i="1" s="1"/>
  <c r="S5" i="1" s="1"/>
  <c r="Q15" i="1"/>
  <c r="J16" i="1"/>
  <c r="I16" i="1"/>
  <c r="L15" i="1"/>
  <c r="Z5" i="1" l="1"/>
  <c r="AA5" i="1" s="1"/>
  <c r="AB5" i="1"/>
  <c r="AC5" i="1" s="1"/>
  <c r="N6" i="1"/>
  <c r="M6" i="1" s="1"/>
  <c r="K6" i="1" s="1"/>
  <c r="Q16" i="1"/>
  <c r="I17" i="1"/>
  <c r="J17" i="1"/>
  <c r="L16" i="1"/>
  <c r="O6" i="1" l="1"/>
  <c r="P6" i="1"/>
  <c r="AD6" i="1" s="1"/>
  <c r="Q17" i="1"/>
  <c r="L17" i="1"/>
  <c r="J18" i="1"/>
  <c r="I18" i="1"/>
  <c r="W6" i="1" l="1"/>
  <c r="X6" i="1" s="1"/>
  <c r="Q18" i="1"/>
  <c r="L18" i="1"/>
  <c r="J19" i="1"/>
  <c r="I19" i="1"/>
  <c r="Y6" i="1" l="1"/>
  <c r="R6" i="1" s="1"/>
  <c r="S6" i="1" s="1"/>
  <c r="N7" i="1"/>
  <c r="M7" i="1" s="1"/>
  <c r="K7" i="1" s="1"/>
  <c r="AB6" i="1"/>
  <c r="AC6" i="1" s="1"/>
  <c r="Z6" i="1"/>
  <c r="AA6" i="1" s="1"/>
  <c r="Q19" i="1"/>
  <c r="I20" i="1"/>
  <c r="J20" i="1"/>
  <c r="L19" i="1"/>
  <c r="AD7" i="1" l="1"/>
  <c r="O7" i="1"/>
  <c r="P7" i="1"/>
  <c r="Q20" i="1"/>
  <c r="L20" i="1"/>
  <c r="I21" i="1"/>
  <c r="J21" i="1"/>
  <c r="W7" i="1" l="1"/>
  <c r="X7" i="1" s="1"/>
  <c r="Y7" i="1" s="1"/>
  <c r="R7" i="1" s="1"/>
  <c r="S7" i="1" s="1"/>
  <c r="Q21" i="1"/>
  <c r="L21" i="1"/>
  <c r="J22" i="1"/>
  <c r="I22" i="1"/>
  <c r="Z7" i="1" l="1"/>
  <c r="AA7" i="1" s="1"/>
  <c r="AB7" i="1"/>
  <c r="AC7" i="1" s="1"/>
  <c r="N8" i="1"/>
  <c r="M8" i="1" s="1"/>
  <c r="K8" i="1" s="1"/>
  <c r="Q22" i="1"/>
  <c r="I23" i="1"/>
  <c r="J23" i="1"/>
  <c r="L22" i="1"/>
  <c r="P8" i="1" l="1"/>
  <c r="AD8" i="1" s="1"/>
  <c r="O8" i="1"/>
  <c r="Q23" i="1"/>
  <c r="L23" i="1"/>
  <c r="J24" i="1"/>
  <c r="I24" i="1"/>
  <c r="W8" i="1" l="1"/>
  <c r="X8" i="1" s="1"/>
  <c r="Y8" i="1" s="1"/>
  <c r="R8" i="1" s="1"/>
  <c r="S8" i="1" s="1"/>
  <c r="Q24" i="1"/>
  <c r="L24" i="1"/>
  <c r="J25" i="1"/>
  <c r="I25" i="1"/>
  <c r="AB8" i="1" l="1"/>
  <c r="AC8" i="1" s="1"/>
  <c r="Z8" i="1"/>
  <c r="AA8" i="1" s="1"/>
  <c r="N9" i="1"/>
  <c r="M9" i="1" s="1"/>
  <c r="K9" i="1" s="1"/>
  <c r="Q25" i="1"/>
  <c r="J26" i="1"/>
  <c r="I26" i="1"/>
  <c r="L25" i="1"/>
  <c r="P9" i="1" l="1"/>
  <c r="AD9" i="1" s="1"/>
  <c r="O9" i="1"/>
  <c r="Q26" i="1"/>
  <c r="J27" i="1"/>
  <c r="I27" i="1"/>
  <c r="L26" i="1"/>
  <c r="W9" i="1" l="1"/>
  <c r="X9" i="1" s="1"/>
  <c r="Q27" i="1"/>
  <c r="I28" i="1"/>
  <c r="J28" i="1"/>
  <c r="L27" i="1"/>
  <c r="AB9" i="1" l="1"/>
  <c r="AC9" i="1" s="1"/>
  <c r="Z9" i="1"/>
  <c r="AA9" i="1" s="1"/>
  <c r="Y9" i="1"/>
  <c r="R9" i="1" s="1"/>
  <c r="S9" i="1" s="1"/>
  <c r="N10" i="1"/>
  <c r="M10" i="1" s="1"/>
  <c r="K10" i="1" s="1"/>
  <c r="Q28" i="1"/>
  <c r="L28" i="1"/>
  <c r="I29" i="1"/>
  <c r="J29" i="1"/>
  <c r="O10" i="1" l="1"/>
  <c r="P10" i="1"/>
  <c r="AD10" i="1" s="1"/>
  <c r="Q29" i="1"/>
  <c r="L29" i="1"/>
  <c r="J30" i="1"/>
  <c r="I30" i="1"/>
  <c r="W10" i="1" l="1"/>
  <c r="X10" i="1" s="1"/>
  <c r="Y10" i="1" s="1"/>
  <c r="R10" i="1" s="1"/>
  <c r="S10" i="1" s="1"/>
  <c r="Q30" i="1"/>
  <c r="L30" i="1"/>
  <c r="J31" i="1"/>
  <c r="I31" i="1"/>
  <c r="Z10" i="1" l="1"/>
  <c r="AA10" i="1" s="1"/>
  <c r="AB10" i="1"/>
  <c r="AC10" i="1" s="1"/>
  <c r="N11" i="1"/>
  <c r="M11" i="1" s="1"/>
  <c r="K11" i="1" s="1"/>
  <c r="Q31" i="1"/>
  <c r="J32" i="1"/>
  <c r="I32" i="1"/>
  <c r="L31" i="1"/>
  <c r="O11" i="1" l="1"/>
  <c r="P11" i="1"/>
  <c r="AD11" i="1" s="1"/>
  <c r="Q32" i="1"/>
  <c r="J33" i="1"/>
  <c r="I33" i="1"/>
  <c r="L32" i="1"/>
  <c r="W11" i="1" l="1"/>
  <c r="X11" i="1" s="1"/>
  <c r="Y11" i="1" s="1"/>
  <c r="R11" i="1" s="1"/>
  <c r="S11" i="1" s="1"/>
  <c r="Q33" i="1"/>
  <c r="I34" i="1"/>
  <c r="J34" i="1"/>
  <c r="L33" i="1"/>
  <c r="AB11" i="1" l="1"/>
  <c r="AC11" i="1" s="1"/>
  <c r="Z11" i="1"/>
  <c r="AA11" i="1" s="1"/>
  <c r="N12" i="1"/>
  <c r="O12" i="1" s="1"/>
  <c r="Q34" i="1"/>
  <c r="L34" i="1"/>
  <c r="I35" i="1"/>
  <c r="J35" i="1"/>
  <c r="M12" i="1" l="1"/>
  <c r="K12" i="1" s="1"/>
  <c r="Q35" i="1"/>
  <c r="L35" i="1"/>
  <c r="J36" i="1"/>
  <c r="I36" i="1"/>
  <c r="P12" i="1" l="1"/>
  <c r="AD12" i="1" s="1"/>
  <c r="Q36" i="1"/>
  <c r="J37" i="1"/>
  <c r="I37" i="1"/>
  <c r="L36" i="1"/>
  <c r="W12" i="1" l="1"/>
  <c r="X12" i="1" s="1"/>
  <c r="Y12" i="1" s="1"/>
  <c r="R12" i="1" s="1"/>
  <c r="S12" i="1" s="1"/>
  <c r="AB12" i="1"/>
  <c r="AC12" i="1" s="1"/>
  <c r="Z12" i="1"/>
  <c r="AA12" i="1" s="1"/>
  <c r="N13" i="1"/>
  <c r="M13" i="1" s="1"/>
  <c r="K13" i="1" s="1"/>
  <c r="Q37" i="1"/>
  <c r="I38" i="1"/>
  <c r="J38" i="1"/>
  <c r="L37" i="1"/>
  <c r="AD13" i="1" l="1"/>
  <c r="O13" i="1"/>
  <c r="P13" i="1"/>
  <c r="Q38" i="1"/>
  <c r="L38" i="1"/>
  <c r="I39" i="1"/>
  <c r="J39" i="1"/>
  <c r="W13" i="1" l="1"/>
  <c r="AB13" i="1" s="1"/>
  <c r="AC13" i="1" s="1"/>
  <c r="Q39" i="1"/>
  <c r="L39" i="1"/>
  <c r="J40" i="1"/>
  <c r="I40" i="1"/>
  <c r="X13" i="1" l="1"/>
  <c r="Z13" i="1"/>
  <c r="AA13" i="1" s="1"/>
  <c r="Q40" i="1"/>
  <c r="L40" i="1"/>
  <c r="J41" i="1"/>
  <c r="I41" i="1"/>
  <c r="Y13" i="1" l="1"/>
  <c r="R13" i="1" s="1"/>
  <c r="S13" i="1" s="1"/>
  <c r="N14" i="1"/>
  <c r="Q41" i="1"/>
  <c r="L41" i="1"/>
  <c r="I42" i="1"/>
  <c r="J42" i="1"/>
  <c r="M14" i="1" l="1"/>
  <c r="K14" i="1" s="1"/>
  <c r="O14" i="1"/>
  <c r="Q42" i="1"/>
  <c r="J43" i="1"/>
  <c r="I43" i="1"/>
  <c r="L42" i="1"/>
  <c r="P14" i="1" l="1"/>
  <c r="W14" i="1" s="1"/>
  <c r="Q43" i="1"/>
  <c r="J44" i="1"/>
  <c r="I44" i="1"/>
  <c r="L43" i="1"/>
  <c r="AD14" i="1" l="1"/>
  <c r="X14" i="1"/>
  <c r="Z14" i="1"/>
  <c r="AA14" i="1" s="1"/>
  <c r="AB14" i="1"/>
  <c r="AC14" i="1" s="1"/>
  <c r="Q44" i="1"/>
  <c r="J45" i="1"/>
  <c r="I45" i="1"/>
  <c r="L44" i="1"/>
  <c r="Y14" i="1" l="1"/>
  <c r="R14" i="1" s="1"/>
  <c r="S14" i="1" s="1"/>
  <c r="N15" i="1"/>
  <c r="Q45" i="1"/>
  <c r="I46" i="1"/>
  <c r="J46" i="1"/>
  <c r="L45" i="1"/>
  <c r="O15" i="1" l="1"/>
  <c r="M15" i="1"/>
  <c r="Q46" i="1"/>
  <c r="L46" i="1"/>
  <c r="J47" i="1"/>
  <c r="I47" i="1"/>
  <c r="P15" i="1" l="1"/>
  <c r="K15" i="1"/>
  <c r="AD15" i="1" s="1"/>
  <c r="Q47" i="1"/>
  <c r="J48" i="1"/>
  <c r="I48" i="1"/>
  <c r="L47" i="1"/>
  <c r="W15" i="1" l="1"/>
  <c r="X15" i="1" s="1"/>
  <c r="Y15" i="1" s="1"/>
  <c r="R15" i="1" s="1"/>
  <c r="S15" i="1" s="1"/>
  <c r="Q48" i="1"/>
  <c r="J49" i="1"/>
  <c r="I49" i="1"/>
  <c r="L48" i="1"/>
  <c r="AB15" i="1" l="1"/>
  <c r="AC15" i="1" s="1"/>
  <c r="Z15" i="1"/>
  <c r="AA15" i="1" s="1"/>
  <c r="N16" i="1"/>
  <c r="Q49" i="1"/>
  <c r="I50" i="1"/>
  <c r="J50" i="1"/>
  <c r="L49" i="1"/>
  <c r="M16" i="1" l="1"/>
  <c r="K16" i="1" s="1"/>
  <c r="O16" i="1"/>
  <c r="Q50" i="1"/>
  <c r="L50" i="1"/>
  <c r="P16" i="1" l="1"/>
  <c r="W16" i="1" s="1"/>
  <c r="AD16" i="1" l="1"/>
  <c r="X16" i="1"/>
  <c r="Z16" i="1"/>
  <c r="AA16" i="1" s="1"/>
  <c r="AB16" i="1"/>
  <c r="AC16" i="1" s="1"/>
  <c r="Y16" i="1" l="1"/>
  <c r="R16" i="1" s="1"/>
  <c r="S16" i="1" s="1"/>
  <c r="N17" i="1"/>
  <c r="M17" i="1" l="1"/>
  <c r="K17" i="1" s="1"/>
  <c r="O17" i="1"/>
  <c r="P17" i="1" l="1"/>
  <c r="W17" i="1" s="1"/>
  <c r="AD17" i="1" l="1"/>
  <c r="X17" i="1"/>
  <c r="Y17" i="1" s="1"/>
  <c r="R17" i="1" s="1"/>
  <c r="S17" i="1" s="1"/>
  <c r="Z17" i="1"/>
  <c r="AA17" i="1" s="1"/>
  <c r="AB17" i="1"/>
  <c r="AC17" i="1" s="1"/>
  <c r="N18" i="1" l="1"/>
  <c r="M18" i="1" l="1"/>
  <c r="K18" i="1" s="1"/>
  <c r="O18" i="1"/>
  <c r="P18" i="1" l="1"/>
  <c r="W18" i="1" s="1"/>
  <c r="AD18" i="1" l="1"/>
  <c r="X18" i="1"/>
  <c r="Y18" i="1" s="1"/>
  <c r="R18" i="1" s="1"/>
  <c r="S18" i="1" s="1"/>
  <c r="AB18" i="1"/>
  <c r="AC18" i="1" s="1"/>
  <c r="Z18" i="1"/>
  <c r="AA18" i="1" s="1"/>
  <c r="N19" i="1" l="1"/>
  <c r="M19" i="1" s="1"/>
  <c r="K19" i="1" s="1"/>
  <c r="O19" i="1" l="1"/>
  <c r="P19" i="1"/>
  <c r="AD19" i="1" s="1"/>
  <c r="W19" i="1" l="1"/>
  <c r="X19" i="1" s="1"/>
  <c r="Y19" i="1" s="1"/>
  <c r="R19" i="1" s="1"/>
  <c r="S19" i="1" s="1"/>
  <c r="N20" i="1" l="1"/>
  <c r="M20" i="1" s="1"/>
  <c r="K20" i="1" s="1"/>
  <c r="Z19" i="1"/>
  <c r="AA19" i="1" s="1"/>
  <c r="AB19" i="1"/>
  <c r="AC19" i="1" s="1"/>
  <c r="P20" i="1" l="1"/>
  <c r="AD20" i="1" s="1"/>
  <c r="O20" i="1"/>
  <c r="W20" i="1" l="1"/>
  <c r="AB20" i="1" s="1"/>
  <c r="AC20" i="1" s="1"/>
  <c r="X20" i="1" l="1"/>
  <c r="Y20" i="1" s="1"/>
  <c r="R20" i="1" s="1"/>
  <c r="S20" i="1" s="1"/>
  <c r="Z20" i="1"/>
  <c r="AA20" i="1" s="1"/>
  <c r="N21" i="1" l="1"/>
  <c r="M21" i="1" s="1"/>
  <c r="K21" i="1" s="1"/>
  <c r="P21" i="1" l="1"/>
  <c r="AD21" i="1" s="1"/>
  <c r="O21" i="1"/>
  <c r="W21" i="1" l="1"/>
  <c r="X21" i="1" s="1"/>
  <c r="AB21" i="1" l="1"/>
  <c r="AC21" i="1" s="1"/>
  <c r="Z21" i="1"/>
  <c r="AA21" i="1" s="1"/>
  <c r="Y21" i="1"/>
  <c r="R21" i="1" s="1"/>
  <c r="S21" i="1" s="1"/>
  <c r="N22" i="1"/>
  <c r="M22" i="1" l="1"/>
  <c r="K22" i="1" s="1"/>
  <c r="O22" i="1"/>
  <c r="P22" i="1" l="1"/>
  <c r="W22" i="1" s="1"/>
  <c r="X22" i="1" s="1"/>
  <c r="AD22" i="1" l="1"/>
  <c r="Z22" i="1"/>
  <c r="AA22" i="1" s="1"/>
  <c r="AB22" i="1"/>
  <c r="AC22" i="1" s="1"/>
  <c r="Y22" i="1"/>
  <c r="R22" i="1" s="1"/>
  <c r="S22" i="1" s="1"/>
  <c r="N23" i="1"/>
  <c r="M23" i="1" s="1"/>
  <c r="O23" i="1" l="1"/>
  <c r="P23" i="1"/>
  <c r="K23" i="1"/>
  <c r="AD23" i="1" l="1"/>
  <c r="W23" i="1"/>
  <c r="X23" i="1" l="1"/>
  <c r="AB23" i="1"/>
  <c r="AC23" i="1" s="1"/>
  <c r="Z23" i="1"/>
  <c r="AA23" i="1" s="1"/>
  <c r="Y23" i="1" l="1"/>
  <c r="R23" i="1" s="1"/>
  <c r="S23" i="1" s="1"/>
  <c r="N24" i="1"/>
  <c r="M24" i="1" l="1"/>
  <c r="K24" i="1" s="1"/>
  <c r="O24" i="1"/>
  <c r="P24" i="1" l="1"/>
  <c r="W24" i="1" s="1"/>
  <c r="X24" i="1" s="1"/>
  <c r="AD24" i="1" l="1"/>
  <c r="Z24" i="1"/>
  <c r="AA24" i="1" s="1"/>
  <c r="AB24" i="1"/>
  <c r="AC24" i="1" s="1"/>
  <c r="Y24" i="1"/>
  <c r="R24" i="1" s="1"/>
  <c r="S24" i="1" s="1"/>
  <c r="N25" i="1"/>
  <c r="M25" i="1" s="1"/>
  <c r="O25" i="1" l="1"/>
  <c r="K25" i="1"/>
  <c r="P25" i="1"/>
  <c r="AD25" i="1" l="1"/>
  <c r="W25" i="1"/>
  <c r="Z25" i="1" s="1"/>
  <c r="AA25" i="1" s="1"/>
  <c r="AB25" i="1" l="1"/>
  <c r="AC25" i="1" s="1"/>
  <c r="X25" i="1"/>
  <c r="Y25" i="1" l="1"/>
  <c r="R25" i="1" s="1"/>
  <c r="S25" i="1" s="1"/>
  <c r="N26" i="1"/>
  <c r="M26" i="1" l="1"/>
  <c r="K26" i="1" s="1"/>
  <c r="O26" i="1"/>
  <c r="P26" i="1" l="1"/>
  <c r="W26" i="1" s="1"/>
  <c r="AD26" i="1" l="1"/>
  <c r="X26" i="1"/>
  <c r="AB26" i="1"/>
  <c r="AC26" i="1" s="1"/>
  <c r="Z26" i="1"/>
  <c r="AA26" i="1" s="1"/>
  <c r="Y26" i="1" l="1"/>
  <c r="R26" i="1" s="1"/>
  <c r="S26" i="1" s="1"/>
  <c r="N27" i="1"/>
  <c r="O27" i="1" l="1"/>
  <c r="M27" i="1"/>
  <c r="K27" i="1" s="1"/>
  <c r="P27" i="1" l="1"/>
  <c r="W27" i="1" s="1"/>
  <c r="AD27" i="1" l="1"/>
  <c r="Z27" i="1"/>
  <c r="AA27" i="1" s="1"/>
  <c r="AB27" i="1"/>
  <c r="AC27" i="1" s="1"/>
  <c r="X27" i="1"/>
  <c r="Y27" i="1" s="1"/>
  <c r="R27" i="1" s="1"/>
  <c r="S27" i="1" s="1"/>
  <c r="N28" i="1" l="1"/>
  <c r="O28" i="1" l="1"/>
  <c r="M28" i="1"/>
  <c r="K28" i="1" s="1"/>
  <c r="P28" i="1" l="1"/>
  <c r="W28" i="1" s="1"/>
  <c r="AD28" i="1" l="1"/>
  <c r="X28" i="1"/>
  <c r="Y28" i="1" s="1"/>
  <c r="R28" i="1" s="1"/>
  <c r="S28" i="1" s="1"/>
  <c r="AB28" i="1"/>
  <c r="AC28" i="1" s="1"/>
  <c r="Z28" i="1"/>
  <c r="AA28" i="1" s="1"/>
  <c r="N29" i="1" l="1"/>
  <c r="O29" i="1" s="1"/>
  <c r="M29" i="1" l="1"/>
  <c r="K29" i="1" s="1"/>
  <c r="P29" i="1" l="1"/>
  <c r="AD29" i="1" s="1"/>
  <c r="W29" i="1" l="1"/>
  <c r="X29" i="1" s="1"/>
  <c r="AB29" i="1"/>
  <c r="AC29" i="1" s="1"/>
  <c r="Z29" i="1"/>
  <c r="AA29" i="1" s="1"/>
  <c r="Y29" i="1"/>
  <c r="R29" i="1" s="1"/>
  <c r="S29" i="1" s="1"/>
  <c r="N30" i="1"/>
  <c r="O30" i="1" s="1"/>
  <c r="M30" i="1" l="1"/>
  <c r="K30" i="1" s="1"/>
  <c r="P30" i="1" l="1"/>
  <c r="AD30" i="1" s="1"/>
  <c r="W30" i="1" l="1"/>
  <c r="X30" i="1" s="1"/>
  <c r="Z30" i="1"/>
  <c r="AA30" i="1" s="1"/>
  <c r="AB30" i="1"/>
  <c r="AC30" i="1" s="1"/>
  <c r="Y30" i="1" l="1"/>
  <c r="R30" i="1" s="1"/>
  <c r="S30" i="1" s="1"/>
  <c r="N31" i="1"/>
  <c r="M31" i="1" l="1"/>
  <c r="K31" i="1" s="1"/>
  <c r="O31" i="1"/>
  <c r="P31" i="1" l="1"/>
  <c r="W31" i="1" s="1"/>
  <c r="X31" i="1" s="1"/>
  <c r="AD31" i="1" l="1"/>
  <c r="AB31" i="1"/>
  <c r="AC31" i="1" s="1"/>
  <c r="Z31" i="1"/>
  <c r="AA31" i="1" s="1"/>
  <c r="Y31" i="1"/>
  <c r="R31" i="1" s="1"/>
  <c r="S31" i="1" s="1"/>
  <c r="N32" i="1"/>
  <c r="M32" i="1" s="1"/>
  <c r="O32" i="1" l="1"/>
  <c r="K32" i="1"/>
  <c r="P32" i="1"/>
  <c r="AD32" i="1" l="1"/>
  <c r="W32" i="1"/>
  <c r="AB32" i="1" s="1"/>
  <c r="AC32" i="1" s="1"/>
  <c r="Z32" i="1" l="1"/>
  <c r="AA32" i="1" s="1"/>
  <c r="X32" i="1"/>
  <c r="N33" i="1" s="1"/>
  <c r="Y32" i="1" l="1"/>
  <c r="R32" i="1" s="1"/>
  <c r="S32" i="1" s="1"/>
  <c r="M33" i="1"/>
  <c r="K33" i="1" s="1"/>
  <c r="O33" i="1"/>
  <c r="P33" i="1" l="1"/>
  <c r="W33" i="1" s="1"/>
  <c r="AD33" i="1" l="1"/>
  <c r="Z33" i="1"/>
  <c r="AA33" i="1" s="1"/>
  <c r="AB33" i="1"/>
  <c r="AC33" i="1" s="1"/>
  <c r="X33" i="1"/>
  <c r="Y33" i="1" l="1"/>
  <c r="R33" i="1" s="1"/>
  <c r="S33" i="1" s="1"/>
  <c r="N34" i="1"/>
  <c r="M34" i="1" l="1"/>
  <c r="K34" i="1" s="1"/>
  <c r="O34" i="1"/>
  <c r="P34" i="1" l="1"/>
  <c r="W34" i="1" s="1"/>
  <c r="AD34" i="1" l="1"/>
  <c r="AB34" i="1"/>
  <c r="AC34" i="1" s="1"/>
  <c r="Z34" i="1"/>
  <c r="AA34" i="1" s="1"/>
  <c r="X34" i="1"/>
  <c r="Y34" i="1" l="1"/>
  <c r="R34" i="1" s="1"/>
  <c r="S34" i="1" s="1"/>
  <c r="N35" i="1"/>
  <c r="M35" i="1" l="1"/>
  <c r="K35" i="1" s="1"/>
  <c r="O35" i="1"/>
  <c r="P35" i="1" l="1"/>
  <c r="W35" i="1" s="1"/>
  <c r="AD35" i="1" l="1"/>
  <c r="Z35" i="1"/>
  <c r="AA35" i="1" s="1"/>
  <c r="AB35" i="1"/>
  <c r="AC35" i="1" s="1"/>
  <c r="X35" i="1"/>
  <c r="Y35" i="1" l="1"/>
  <c r="R35" i="1" s="1"/>
  <c r="S35" i="1" s="1"/>
  <c r="N36" i="1"/>
  <c r="M36" i="1" l="1"/>
  <c r="K36" i="1" s="1"/>
  <c r="O36" i="1"/>
  <c r="P36" i="1" l="1"/>
  <c r="W36" i="1" s="1"/>
  <c r="AD36" i="1" l="1"/>
  <c r="X36" i="1"/>
  <c r="Z36" i="1"/>
  <c r="AA36" i="1" s="1"/>
  <c r="AB36" i="1"/>
  <c r="AC36" i="1" s="1"/>
  <c r="Y36" i="1" l="1"/>
  <c r="R36" i="1" s="1"/>
  <c r="S36" i="1" s="1"/>
  <c r="N37" i="1"/>
  <c r="M37" i="1" l="1"/>
  <c r="K37" i="1" s="1"/>
  <c r="O37" i="1"/>
  <c r="P37" i="1" l="1"/>
  <c r="W37" i="1" s="1"/>
  <c r="Z37" i="1" s="1"/>
  <c r="AA37" i="1" s="1"/>
  <c r="AD37" i="1" l="1"/>
  <c r="AB37" i="1"/>
  <c r="AC37" i="1" s="1"/>
  <c r="X37" i="1"/>
  <c r="Y37" i="1" l="1"/>
  <c r="R37" i="1" s="1"/>
  <c r="S37" i="1" s="1"/>
  <c r="N38" i="1"/>
  <c r="M38" i="1" l="1"/>
  <c r="K38" i="1" s="1"/>
  <c r="O38" i="1"/>
  <c r="P38" i="1" l="1"/>
  <c r="W38" i="1" s="1"/>
  <c r="AD38" i="1" l="1"/>
  <c r="X38" i="1"/>
  <c r="N39" i="1" s="1"/>
  <c r="AB38" i="1"/>
  <c r="AC38" i="1" s="1"/>
  <c r="Z38" i="1"/>
  <c r="AA38" i="1" s="1"/>
  <c r="Y38" i="1" l="1"/>
  <c r="R38" i="1" s="1"/>
  <c r="S38" i="1" s="1"/>
  <c r="M39" i="1"/>
  <c r="K39" i="1" s="1"/>
  <c r="O39" i="1"/>
  <c r="P39" i="1" l="1"/>
  <c r="AD39" i="1" s="1"/>
  <c r="W39" i="1" l="1"/>
  <c r="X39" i="1" l="1"/>
  <c r="AB39" i="1"/>
  <c r="AC39" i="1" s="1"/>
  <c r="Z39" i="1"/>
  <c r="AA39" i="1" s="1"/>
  <c r="Y39" i="1" l="1"/>
  <c r="R39" i="1" s="1"/>
  <c r="S39" i="1" s="1"/>
  <c r="N40" i="1"/>
  <c r="M40" i="1" l="1"/>
  <c r="K40" i="1" s="1"/>
  <c r="O40" i="1"/>
  <c r="P40" i="1" l="1"/>
  <c r="W40" i="1" s="1"/>
  <c r="AD40" i="1" l="1"/>
  <c r="X40" i="1"/>
  <c r="AB40" i="1"/>
  <c r="AC40" i="1" s="1"/>
  <c r="Z40" i="1"/>
  <c r="AA40" i="1" s="1"/>
  <c r="Y40" i="1" l="1"/>
  <c r="R40" i="1" s="1"/>
  <c r="S40" i="1" s="1"/>
  <c r="N41" i="1"/>
  <c r="O41" i="1" l="1"/>
  <c r="M41" i="1"/>
  <c r="K41" i="1" s="1"/>
  <c r="P41" i="1" l="1"/>
  <c r="W41" i="1" s="1"/>
  <c r="AD41" i="1" l="1"/>
  <c r="X41" i="1"/>
  <c r="AB41" i="1"/>
  <c r="AC41" i="1" s="1"/>
  <c r="Z41" i="1"/>
  <c r="AA41" i="1" s="1"/>
  <c r="Y41" i="1" l="1"/>
  <c r="R41" i="1" s="1"/>
  <c r="S41" i="1" s="1"/>
  <c r="N42" i="1"/>
  <c r="M42" i="1" l="1"/>
  <c r="K42" i="1" s="1"/>
  <c r="O42" i="1"/>
  <c r="P42" i="1" l="1"/>
  <c r="W42" i="1" s="1"/>
  <c r="AD42" i="1" l="1"/>
  <c r="Z42" i="1"/>
  <c r="AA42" i="1" s="1"/>
  <c r="AB42" i="1"/>
  <c r="AC42" i="1" s="1"/>
  <c r="X42" i="1"/>
  <c r="Y42" i="1" l="1"/>
  <c r="R42" i="1" s="1"/>
  <c r="S42" i="1" s="1"/>
  <c r="N43" i="1"/>
  <c r="M43" i="1" l="1"/>
  <c r="K43" i="1" s="1"/>
  <c r="O43" i="1"/>
  <c r="AD43" i="1" l="1"/>
  <c r="P43" i="1"/>
  <c r="W43" i="1" s="1"/>
  <c r="X43" i="1" l="1"/>
  <c r="Z43" i="1"/>
  <c r="AA43" i="1" s="1"/>
  <c r="AB43" i="1"/>
  <c r="AC43" i="1" s="1"/>
  <c r="Y43" i="1" l="1"/>
  <c r="R43" i="1" s="1"/>
  <c r="S43" i="1" s="1"/>
  <c r="N44" i="1"/>
  <c r="M44" i="1" l="1"/>
  <c r="K44" i="1" s="1"/>
  <c r="O44" i="1"/>
  <c r="P44" i="1" l="1"/>
  <c r="W44" i="1" s="1"/>
  <c r="AD44" i="1" l="1"/>
  <c r="X44" i="1"/>
  <c r="Z44" i="1"/>
  <c r="AA44" i="1" s="1"/>
  <c r="AB44" i="1"/>
  <c r="AC44" i="1" s="1"/>
  <c r="Y44" i="1" l="1"/>
  <c r="R44" i="1" s="1"/>
  <c r="S44" i="1" s="1"/>
  <c r="N45" i="1"/>
  <c r="M45" i="1" l="1"/>
  <c r="K45" i="1" s="1"/>
  <c r="O45" i="1"/>
  <c r="P45" i="1" l="1"/>
  <c r="W45" i="1" s="1"/>
  <c r="AD45" i="1" l="1"/>
  <c r="X45" i="1"/>
  <c r="Y45" i="1" s="1"/>
  <c r="R45" i="1" s="1"/>
  <c r="S45" i="1" s="1"/>
  <c r="Z45" i="1"/>
  <c r="AA45" i="1" s="1"/>
  <c r="AB45" i="1"/>
  <c r="AC45" i="1" s="1"/>
  <c r="N46" i="1" l="1"/>
  <c r="M46" i="1" l="1"/>
  <c r="K46" i="1" s="1"/>
  <c r="O46" i="1"/>
  <c r="P46" i="1" l="1"/>
  <c r="W46" i="1" s="1"/>
  <c r="Z46" i="1" s="1"/>
  <c r="AA46" i="1" s="1"/>
  <c r="AA51" i="1" s="1"/>
  <c r="AD46" i="1" l="1"/>
  <c r="X46" i="1"/>
  <c r="Y46" i="1" s="1"/>
  <c r="R46" i="1" s="1"/>
  <c r="S46" i="1" s="1"/>
  <c r="AB46" i="1"/>
  <c r="AC46" i="1" s="1"/>
  <c r="N47" i="1" l="1"/>
  <c r="M47" i="1" l="1"/>
  <c r="O47" i="1"/>
  <c r="K47" i="1" l="1"/>
  <c r="AD47" i="1" s="1"/>
  <c r="P47" i="1"/>
  <c r="W47" i="1" l="1"/>
  <c r="X47" i="1" s="1"/>
  <c r="Z47" i="1" l="1"/>
  <c r="AA47" i="1" s="1"/>
  <c r="AB47" i="1"/>
  <c r="AC47" i="1" s="1"/>
  <c r="Y47" i="1"/>
  <c r="R47" i="1" s="1"/>
  <c r="S47" i="1" s="1"/>
  <c r="N48" i="1"/>
  <c r="O48" i="1" l="1"/>
  <c r="M48" i="1"/>
  <c r="K48" i="1" s="1"/>
  <c r="P48" i="1" l="1"/>
  <c r="W48" i="1" s="1"/>
  <c r="AD48" i="1" l="1"/>
  <c r="Z48" i="1"/>
  <c r="AA48" i="1" s="1"/>
  <c r="AB48" i="1"/>
  <c r="AC48" i="1" s="1"/>
  <c r="X48" i="1"/>
  <c r="Y48" i="1" l="1"/>
  <c r="R48" i="1" s="1"/>
  <c r="S48" i="1" s="1"/>
  <c r="N49" i="1"/>
  <c r="M49" i="1" l="1"/>
  <c r="K49" i="1" s="1"/>
  <c r="O49" i="1"/>
  <c r="P49" i="1" l="1"/>
  <c r="W49" i="1" s="1"/>
  <c r="Z49" i="1" s="1"/>
  <c r="AA49" i="1" s="1"/>
  <c r="AD49" i="1" l="1"/>
  <c r="AB49" i="1"/>
  <c r="AC49" i="1" s="1"/>
  <c r="AC51" i="1" s="1"/>
  <c r="X49" i="1"/>
  <c r="Y49" i="1" s="1"/>
  <c r="R49" i="1" s="1"/>
  <c r="S49" i="1" s="1"/>
  <c r="N50" i="1" l="1"/>
  <c r="M50" i="1" s="1"/>
  <c r="K50" i="1" s="1"/>
  <c r="AD50" i="1" l="1"/>
  <c r="P50" i="1"/>
  <c r="O50" i="1"/>
  <c r="W50" i="1" l="1"/>
  <c r="Z50" i="1" s="1"/>
  <c r="AA50" i="1" s="1"/>
  <c r="AB50" i="1" l="1"/>
  <c r="AC50" i="1" s="1"/>
  <c r="X50" i="1"/>
  <c r="Y50" i="1" s="1"/>
  <c r="R50" i="1" s="1"/>
  <c r="S50" i="1" s="1"/>
  <c r="S5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<sst xmlns="http://schemas.openxmlformats.org/spreadsheetml/2006/main" count="67" uniqueCount="66">
  <si>
    <t>Date</t>
  </si>
  <si>
    <t>TFP</t>
  </si>
  <si>
    <t>q</t>
  </si>
  <si>
    <t>k</t>
  </si>
  <si>
    <t>i</t>
  </si>
  <si>
    <t>Marg Prod K</t>
  </si>
  <si>
    <t>AdjCosts</t>
  </si>
  <si>
    <t xml:space="preserve">yhat </t>
  </si>
  <si>
    <t>L</t>
  </si>
  <si>
    <t>Y</t>
  </si>
  <si>
    <t>W</t>
  </si>
  <si>
    <t>C_k</t>
  </si>
  <si>
    <t>Euler</t>
  </si>
  <si>
    <t>EulerSQ</t>
  </si>
  <si>
    <t>epsilon</t>
  </si>
  <si>
    <t>z</t>
  </si>
  <si>
    <t>Z</t>
  </si>
  <si>
    <t xml:space="preserve"> </t>
  </si>
  <si>
    <t>Parameters</t>
  </si>
  <si>
    <t>Initial</t>
  </si>
  <si>
    <t>alpha</t>
  </si>
  <si>
    <t>Delta</t>
  </si>
  <si>
    <t>Phi</t>
  </si>
  <si>
    <t>Exogenous variables</t>
  </si>
  <si>
    <t>Interest rate</t>
  </si>
  <si>
    <t>Beta</t>
  </si>
  <si>
    <t>Steady state</t>
  </si>
  <si>
    <t>Initial SS</t>
  </si>
  <si>
    <t>qbar</t>
  </si>
  <si>
    <t>kbar</t>
  </si>
  <si>
    <t>lbar</t>
  </si>
  <si>
    <t>ybar</t>
  </si>
  <si>
    <t>rho</t>
  </si>
  <si>
    <t>sigma</t>
  </si>
  <si>
    <t>rhoc1</t>
  </si>
  <si>
    <t>yhat</t>
  </si>
  <si>
    <t>Ac</t>
  </si>
  <si>
    <t>DSGE Model</t>
  </si>
  <si>
    <t>sigma_c</t>
  </si>
  <si>
    <t>phiL</t>
  </si>
  <si>
    <t>Cbar</t>
  </si>
  <si>
    <t>tauc</t>
  </si>
  <si>
    <t>tauw</t>
  </si>
  <si>
    <t>tauk</t>
  </si>
  <si>
    <t>lambdabar</t>
  </si>
  <si>
    <t xml:space="preserve">mpk </t>
  </si>
  <si>
    <t>rhoc</t>
  </si>
  <si>
    <t>mpl</t>
  </si>
  <si>
    <t>gamma</t>
  </si>
  <si>
    <t>LL</t>
  </si>
  <si>
    <t xml:space="preserve">junk1 </t>
  </si>
  <si>
    <t>C</t>
  </si>
  <si>
    <t>lambda</t>
  </si>
  <si>
    <t>cbar</t>
  </si>
  <si>
    <t>junk</t>
  </si>
  <si>
    <t>yhat1</t>
  </si>
  <si>
    <t>Beta1</t>
  </si>
  <si>
    <t>Rev</t>
  </si>
  <si>
    <t>Dis Rev</t>
  </si>
  <si>
    <t>Utility</t>
  </si>
  <si>
    <t>Dis Utility</t>
  </si>
  <si>
    <t>Discounted Utility</t>
  </si>
  <si>
    <t>Discounted Revenue</t>
  </si>
  <si>
    <t>Euler Error</t>
  </si>
  <si>
    <t>MarG Cost</t>
  </si>
  <si>
    <t>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</si>
</sst>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Aptos Narrow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i/>
      <sz val="11"/>
      <color theme="0"/>
      <name val="Times New Roman"/>
      <family val="1"/>
    </font>
    <font>
      <sz val="11"/>
      <color theme="0"/>
      <name val="Times New Roman"/>
      <family val="1"/>
    </font>
    <font>
      <sz val="11"/>
      <name val="Calibri"/>
      <family val="2"/>
    </font>
    <font>
      <b/>
      <i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/>
    <xf numFmtId="0" fontId="2" fillId="0" borderId="0" xfId="0" applyFont="1"/>
    <xf numFmtId="0" fontId="3" fillId="3" borderId="3" xfId="0" applyFont="1" applyFill="1" applyBorder="1"/>
    <xf numFmtId="0" fontId="4" fillId="3" borderId="4" xfId="0" applyFont="1" applyFill="1" applyBorder="1"/>
    <xf numFmtId="0" fontId="3" fillId="3" borderId="4" xfId="0" applyFont="1" applyFill="1" applyBorder="1"/>
    <xf numFmtId="0" fontId="4" fillId="3" borderId="5" xfId="0" applyFont="1" applyFill="1" applyBorder="1"/>
    <xf numFmtId="0" fontId="2" fillId="4" borderId="6" xfId="0" applyFont="1" applyFill="1" applyBorder="1"/>
    <xf numFmtId="0" fontId="2" fillId="4" borderId="0" xfId="0" applyFont="1" applyFill="1"/>
    <xf numFmtId="0" fontId="2" fillId="4" borderId="7" xfId="0" applyFont="1" applyFill="1" applyBorder="1"/>
    <xf numFmtId="0" fontId="2" fillId="4" borderId="8" xfId="0" applyFont="1" applyFill="1" applyBorder="1"/>
    <xf numFmtId="0" fontId="2" fillId="4" borderId="9" xfId="0" applyFont="1" applyFill="1" applyBorder="1"/>
    <xf numFmtId="0" fontId="2" fillId="4" borderId="10" xfId="0" applyFont="1" applyFill="1" applyBorder="1"/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2" fillId="5" borderId="6" xfId="0" applyFont="1" applyFill="1" applyBorder="1"/>
    <xf numFmtId="0" fontId="2" fillId="5" borderId="0" xfId="0" applyFont="1" applyFill="1"/>
    <xf numFmtId="0" fontId="2" fillId="5" borderId="9" xfId="0" applyFont="1" applyFill="1" applyBorder="1"/>
    <xf numFmtId="0" fontId="2" fillId="5" borderId="7" xfId="0" applyFont="1" applyFill="1" applyBorder="1"/>
    <xf numFmtId="0" fontId="2" fillId="5" borderId="8" xfId="0" applyFont="1" applyFill="1" applyBorder="1"/>
    <xf numFmtId="0" fontId="2" fillId="5" borderId="10" xfId="0" applyFont="1" applyFill="1" applyBorder="1"/>
    <xf numFmtId="2" fontId="2" fillId="6" borderId="9" xfId="0" applyNumberFormat="1" applyFont="1" applyFill="1" applyBorder="1" applyAlignment="1">
      <alignment horizontal="right"/>
    </xf>
    <xf numFmtId="0" fontId="3" fillId="3" borderId="5" xfId="0" applyFont="1" applyFill="1" applyBorder="1"/>
    <xf numFmtId="2" fontId="2" fillId="4" borderId="0" xfId="0" applyNumberFormat="1" applyFont="1" applyFill="1" applyAlignment="1">
      <alignment horizontal="right"/>
    </xf>
    <xf numFmtId="2" fontId="2" fillId="4" borderId="9" xfId="0" applyNumberFormat="1" applyFont="1" applyFill="1" applyBorder="1"/>
    <xf numFmtId="2" fontId="2" fillId="6" borderId="10" xfId="0" applyNumberFormat="1" applyFont="1" applyFill="1" applyBorder="1" applyAlignment="1">
      <alignment horizontal="right"/>
    </xf>
    <xf numFmtId="2" fontId="2" fillId="4" borderId="8" xfId="0" applyNumberFormat="1" applyFont="1" applyFill="1" applyBorder="1" applyAlignment="1">
      <alignment horizontal="right"/>
    </xf>
    <xf numFmtId="2" fontId="2" fillId="4" borderId="10" xfId="0" applyNumberFormat="1" applyFont="1" applyFill="1" applyBorder="1" applyAlignment="1">
      <alignment horizontal="right"/>
    </xf>
    <xf numFmtId="164" fontId="2" fillId="4" borderId="0" xfId="0" applyNumberFormat="1" applyFont="1" applyFill="1"/>
    <xf numFmtId="164" fontId="2" fillId="4" borderId="9" xfId="0" applyNumberFormat="1" applyFont="1" applyFill="1" applyBorder="1"/>
    <xf numFmtId="0" fontId="5" fillId="4" borderId="7" xfId="0" applyFont="1" applyFill="1" applyBorder="1"/>
    <xf numFmtId="164" fontId="2" fillId="4" borderId="8" xfId="0" applyNumberFormat="1" applyFont="1" applyFill="1" applyBorder="1"/>
    <xf numFmtId="164" fontId="2" fillId="4" borderId="10" xfId="0" applyNumberFormat="1" applyFont="1" applyFill="1" applyBorder="1"/>
    <xf numFmtId="0" fontId="3" fillId="3" borderId="3" xfId="0" applyFont="1" applyFill="1" applyBorder="1" applyProtection="1">
      <protection locked="0"/>
    </xf>
    <xf numFmtId="0" fontId="4" fillId="3" borderId="5" xfId="0" applyFont="1" applyFill="1" applyBorder="1" applyProtection="1">
      <protection locked="0"/>
    </xf>
    <xf numFmtId="2" fontId="2" fillId="4" borderId="9" xfId="0" applyNumberFormat="1" applyFont="1" applyFill="1" applyBorder="1" applyProtection="1">
      <protection locked="0"/>
    </xf>
    <xf numFmtId="2" fontId="2" fillId="4" borderId="10" xfId="0" applyNumberFormat="1" applyFont="1" applyFill="1" applyBorder="1" applyProtection="1">
      <protection locked="0"/>
    </xf>
    <xf numFmtId="0" fontId="6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postlePaul1906\Dropbox\ComputMacro\EXCEL-ICM\ICM-7b.xlsx" TargetMode="External"/><Relationship Id="rId1" Type="http://schemas.openxmlformats.org/officeDocument/2006/relationships/externalLinkPath" Target="ICM-7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bb-Dougles"/>
      <sheetName val="CES"/>
      <sheetName val="Sheet1"/>
    </sheetNames>
    <sheetDataSet>
      <sheetData sheetId="0">
        <row r="23">
          <cell r="B23">
            <v>1</v>
          </cell>
        </row>
        <row r="29">
          <cell r="B29">
            <v>0.95</v>
          </cell>
        </row>
        <row r="30">
          <cell r="B30">
            <v>0.05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03246-20A0-4BA5-832F-0CE6502C9F05}">
  <dimension ref="A1:AE54"/>
  <sheetViews>
    <sheetView tabSelected="1" topLeftCell="A27" workbookViewId="0">
      <selection activeCell="A5" sqref="A5"/>
    </sheetView>
  </sheetViews>
  <sheetFormatPr defaultColWidth="11.3984375" defaultRowHeight="14.25" x14ac:dyDescent="0.45"/>
  <cols>
    <col min="1" max="1" width="32.265625" style="3" customWidth="1"/>
    <col min="2" max="2" width="18.265625" style="3" customWidth="1"/>
    <col min="3" max="3" width="13.73046875" style="3" bestFit="1" customWidth="1"/>
    <col min="4" max="4" width="11.3984375" style="3" hidden="1" customWidth="1"/>
    <col min="5" max="6" width="11.3984375" style="3"/>
    <col min="16" max="16" width="12.3984375" bestFit="1" customWidth="1"/>
    <col min="19" max="19" width="12.3984375" bestFit="1" customWidth="1"/>
  </cols>
  <sheetData>
    <row r="1" spans="1:31" ht="14.65" thickBot="1" x14ac:dyDescent="0.5">
      <c r="A1" s="1"/>
      <c r="B1" s="2"/>
      <c r="C1" s="3" t="s">
        <v>37</v>
      </c>
      <c r="F1" s="3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51</v>
      </c>
      <c r="X1" t="s">
        <v>52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64</v>
      </c>
      <c r="AE1" t="s">
        <v>65</v>
      </c>
    </row>
    <row r="2" spans="1:31" ht="14.65" thickBot="1" x14ac:dyDescent="0.5">
      <c r="A2" s="3" t="s">
        <v>17</v>
      </c>
      <c r="F2" s="3">
        <f>1</f>
        <v>1</v>
      </c>
      <c r="G2">
        <f t="shared" ref="G2:G50" si="0">Ac *V2</f>
        <v>1.3863127604892389</v>
      </c>
      <c r="H2">
        <v>1</v>
      </c>
      <c r="I2">
        <v>3.71</v>
      </c>
      <c r="J2">
        <f>Delta*I2</f>
        <v>0.1484</v>
      </c>
      <c r="K2">
        <f t="shared" ref="K2:K33" si="1">G2*(alpha*I2^(rhoc-1))*M2</f>
        <v>8.0088585194104417E-2</v>
      </c>
      <c r="L2">
        <f t="shared" ref="L2:L33" si="2">(Phi/2)*((J2-Delta*I2)/I2)^2*I2</f>
        <v>0</v>
      </c>
      <c r="M2">
        <f t="shared" ref="M2:M33" si="3">(alpha* I2^rhoc + (1-alpha)*N2^rhoc)^(1/rhoc-1)</f>
        <v>0.69815629325111683</v>
      </c>
      <c r="N2">
        <v>0.33</v>
      </c>
      <c r="O2">
        <f>Ac*(alpha* kbar^rhoc + (1-alpha)*lbar^rhoc)^(1/rhoc)</f>
        <v>0.99999999999999989</v>
      </c>
      <c r="P2">
        <f t="shared" ref="P2:P33" si="4">G2*(1-alpha)*N2^(rhoc-1)*M2</f>
        <v>2.1299131785753715</v>
      </c>
      <c r="Q2">
        <f t="shared" ref="Q2:Q33" si="5">(Phi/2)*((J2-Delta*I2)/I2)^2 - Phi *((J2-Delta*I2)/I2)* (J2/I2)</f>
        <v>0</v>
      </c>
      <c r="T2">
        <v>0</v>
      </c>
      <c r="U2">
        <v>0</v>
      </c>
      <c r="V2">
        <f>EXP(U2)</f>
        <v>1</v>
      </c>
      <c r="W2">
        <f t="shared" ref="W2:W34" si="6" xml:space="preserve"> (O2 - J2 - tauw * P2*N2 - tauk * K2 * I2 *H2)/(1+tauc)</f>
        <v>0.57612750705935156</v>
      </c>
      <c r="X2">
        <f t="shared" ref="X2:X33" si="7">W2^(-sigma_c) /(1+tauc)</f>
        <v>2.8156521496119491</v>
      </c>
      <c r="Y2">
        <f>Beta</f>
        <v>0.97649491953750844</v>
      </c>
      <c r="Z2">
        <f t="shared" ref="Z2:Z33" si="8" xml:space="preserve"> tauc * W2 + tauw * N2*P2 + tauk * K2 *I2*H2</f>
        <v>0.27547249294064829</v>
      </c>
      <c r="AA2">
        <f t="shared" ref="AA2:AA33" si="9">Beta^(F2-1) * Z2</f>
        <v>0.27547249294064829</v>
      </c>
      <c r="AB2">
        <f t="shared" ref="AB2:AB33" si="10">W2^(1-sigma_c)/(1-sigma_c)-gamma *N2^(1+1/Phi)/(1+1/Phi)</f>
        <v>-13.603259393632285</v>
      </c>
      <c r="AC2">
        <f t="shared" ref="AC2:AC33" si="11">Beta^(F2-1)*AB2</f>
        <v>-13.603259393632285</v>
      </c>
      <c r="AD2">
        <f t="shared" ref="AD2:AD33" si="12">(((alpha^(1/(1-rhoc)))*(K2^(rhoc/(rhoc-1))))+(((1-alpha)^(1/(1-rhoc)))*(P2^(rhoc/(rhoc-1)))))^((rhoc-1)/rhoc)/G2</f>
        <v>1.0000000000000004</v>
      </c>
      <c r="AE2">
        <v>0</v>
      </c>
    </row>
    <row r="3" spans="1:31" ht="14.65" thickBot="1" x14ac:dyDescent="0.5">
      <c r="A3" s="4"/>
      <c r="B3" s="5"/>
      <c r="C3" s="6"/>
      <c r="D3" s="5"/>
      <c r="E3" s="5"/>
      <c r="F3" s="7">
        <f>F2+1</f>
        <v>2</v>
      </c>
      <c r="G3">
        <f t="shared" si="0"/>
        <v>1.4556283985137008</v>
      </c>
      <c r="H3">
        <v>1.056877254835511</v>
      </c>
      <c r="I3">
        <f t="shared" ref="I3:I34" si="13">(1-Delta)*I2+J2</f>
        <v>3.71</v>
      </c>
      <c r="J3">
        <f t="shared" ref="J3:J34" si="14">Delta*I2+ (H3-1)*(I2/Phi)</f>
        <v>0.16246764102931638</v>
      </c>
      <c r="K3">
        <f t="shared" si="1"/>
        <v>8.4093014453809636E-2</v>
      </c>
      <c r="L3">
        <f t="shared" si="2"/>
        <v>4.0006440187945853E-4</v>
      </c>
      <c r="M3">
        <f t="shared" si="3"/>
        <v>0.69815629325111683</v>
      </c>
      <c r="N3">
        <f t="shared" ref="N3:N34" si="15">(P2 *(1-tauw)*X2/gamma)^phiLL</f>
        <v>0.33000000000000018</v>
      </c>
      <c r="O3">
        <f t="shared" ref="O3:O50" si="16">G3*(alpha* I3^rhoc + (1-alpha)*N3^rhoc)^(1/rhoc)</f>
        <v>1.0499999999999998</v>
      </c>
      <c r="P3">
        <f t="shared" si="4"/>
        <v>2.2364088375041393</v>
      </c>
      <c r="Q3">
        <f t="shared" si="5"/>
        <v>-2.3829242640078935E-3</v>
      </c>
      <c r="R3">
        <f>Y3*((1-Delta)*H3 + (K3*(1-tauk))- Q3)-H2</f>
        <v>-8.6740916205821916E-3</v>
      </c>
      <c r="S3">
        <f>R3^2</f>
        <v>7.5239865442254186E-5</v>
      </c>
      <c r="T3">
        <v>0</v>
      </c>
      <c r="U3">
        <v>0</v>
      </c>
      <c r="V3">
        <v>1.05</v>
      </c>
      <c r="W3">
        <f t="shared" si="6"/>
        <v>0.59540433843984764</v>
      </c>
      <c r="X3">
        <f t="shared" si="7"/>
        <v>2.6362842355543794</v>
      </c>
      <c r="Y3">
        <f t="shared" ref="Y3:Y50" si="17">Beta * (X3/X2)</f>
        <v>0.91428842260591958</v>
      </c>
      <c r="Z3">
        <f t="shared" si="8"/>
        <v>0.29212802053083564</v>
      </c>
      <c r="AA3">
        <f t="shared" si="9"/>
        <v>0.28526152790290998</v>
      </c>
      <c r="AB3">
        <f t="shared" si="10"/>
        <v>-13.547063440365228</v>
      </c>
      <c r="AC3">
        <f t="shared" si="11"/>
        <v>-13.228638624168966</v>
      </c>
      <c r="AD3">
        <f t="shared" si="12"/>
        <v>0.99999999999999722</v>
      </c>
      <c r="AE3">
        <v>0</v>
      </c>
    </row>
    <row r="4" spans="1:31" ht="14.65" thickBot="1" x14ac:dyDescent="0.5">
      <c r="A4" s="8"/>
      <c r="B4" s="9"/>
      <c r="C4" s="9"/>
      <c r="D4" s="9"/>
      <c r="E4" s="9"/>
      <c r="F4" s="7">
        <f t="shared" ref="F4:F50" si="18">F3+1</f>
        <v>3</v>
      </c>
      <c r="G4">
        <f t="shared" si="0"/>
        <v>1.4556283985137008</v>
      </c>
      <c r="H4">
        <v>1.046142246883734</v>
      </c>
      <c r="I4">
        <f t="shared" si="13"/>
        <v>3.7240676410293161</v>
      </c>
      <c r="J4">
        <f t="shared" si="14"/>
        <v>0.15981251572924354</v>
      </c>
      <c r="K4">
        <f t="shared" si="1"/>
        <v>8.3296864837056755E-2</v>
      </c>
      <c r="L4">
        <f t="shared" si="2"/>
        <v>2.3707620999601707E-4</v>
      </c>
      <c r="M4">
        <f t="shared" si="3"/>
        <v>0.69443149264194082</v>
      </c>
      <c r="N4">
        <f t="shared" si="15"/>
        <v>0.32720143944921076</v>
      </c>
      <c r="O4">
        <f t="shared" si="16"/>
        <v>1.0449060755581665</v>
      </c>
      <c r="P4">
        <f t="shared" si="4"/>
        <v>2.245414683554086</v>
      </c>
      <c r="Q4">
        <f t="shared" si="5"/>
        <v>-1.8117185059973093E-3</v>
      </c>
      <c r="R4">
        <f t="shared" ref="R4:R50" si="19">Y4*((1-Delta)*H4 + (K4*(1-tauk))- Q4)-H3</f>
        <v>-7.4756273670120166E-3</v>
      </c>
      <c r="S4">
        <f t="shared" ref="S4:S50" si="20">R4^2</f>
        <v>5.5885004530419013E-5</v>
      </c>
      <c r="T4">
        <v>0</v>
      </c>
      <c r="U4">
        <v>0</v>
      </c>
      <c r="V4">
        <v>1.05</v>
      </c>
      <c r="W4">
        <f t="shared" si="6"/>
        <v>0.59487336891359877</v>
      </c>
      <c r="X4">
        <f t="shared" si="7"/>
        <v>2.6409925024647993</v>
      </c>
      <c r="Y4">
        <f t="shared" si="17"/>
        <v>0.97823888881663479</v>
      </c>
      <c r="Z4">
        <f t="shared" si="8"/>
        <v>0.29022019091532419</v>
      </c>
      <c r="AA4">
        <f t="shared" si="9"/>
        <v>0.27673723644392073</v>
      </c>
      <c r="AB4">
        <f t="shared" si="10"/>
        <v>-13.441241029730833</v>
      </c>
      <c r="AC4">
        <f t="shared" si="11"/>
        <v>-12.816792261120185</v>
      </c>
      <c r="AD4">
        <f t="shared" si="12"/>
        <v>0.99999999999999944</v>
      </c>
      <c r="AE4">
        <v>0</v>
      </c>
    </row>
    <row r="5" spans="1:31" ht="14.65" thickBot="1" x14ac:dyDescent="0.5">
      <c r="A5" s="10"/>
      <c r="B5" s="11"/>
      <c r="C5" s="11"/>
      <c r="D5" s="11"/>
      <c r="E5" s="11"/>
      <c r="F5" s="7">
        <f t="shared" si="18"/>
        <v>4</v>
      </c>
      <c r="G5">
        <f t="shared" si="0"/>
        <v>1.4556283985137008</v>
      </c>
      <c r="H5">
        <v>1.0448827919212453</v>
      </c>
      <c r="I5">
        <f t="shared" si="13"/>
        <v>3.7349174511173868</v>
      </c>
      <c r="J5">
        <f t="shared" si="14"/>
        <v>0.16010580917670342</v>
      </c>
      <c r="K5">
        <f t="shared" si="1"/>
        <v>8.3296375322665345E-2</v>
      </c>
      <c r="L5">
        <f t="shared" si="2"/>
        <v>2.3029637750772639E-4</v>
      </c>
      <c r="M5">
        <f t="shared" si="3"/>
        <v>0.69665321770975197</v>
      </c>
      <c r="N5">
        <f t="shared" si="15"/>
        <v>0.32815222453624981</v>
      </c>
      <c r="O5">
        <f t="shared" si="16"/>
        <v>1.0479447375109758</v>
      </c>
      <c r="P5">
        <f t="shared" si="4"/>
        <v>2.2454202550198872</v>
      </c>
      <c r="Q5">
        <f t="shared" si="5"/>
        <v>-1.7820375266182316E-3</v>
      </c>
      <c r="R5">
        <f t="shared" si="19"/>
        <v>-6.6942772147970953E-3</v>
      </c>
      <c r="S5">
        <f t="shared" si="20"/>
        <v>4.4813347428551558E-5</v>
      </c>
      <c r="T5">
        <v>0</v>
      </c>
      <c r="U5">
        <v>0</v>
      </c>
      <c r="V5">
        <v>1.05</v>
      </c>
      <c r="W5">
        <f t="shared" si="6"/>
        <v>0.59683677129019952</v>
      </c>
      <c r="X5">
        <f t="shared" si="7"/>
        <v>2.623645039428018</v>
      </c>
      <c r="Y5">
        <f t="shared" si="17"/>
        <v>0.97008077428473993</v>
      </c>
      <c r="Z5">
        <f t="shared" si="8"/>
        <v>0.29100215704407301</v>
      </c>
      <c r="AA5">
        <f t="shared" si="9"/>
        <v>0.27096061696052215</v>
      </c>
      <c r="AB5">
        <f t="shared" si="10"/>
        <v>-13.47216563496616</v>
      </c>
      <c r="AC5">
        <f t="shared" si="11"/>
        <v>-12.544327331882661</v>
      </c>
      <c r="AD5">
        <f t="shared" si="12"/>
        <v>0.99999999999999944</v>
      </c>
      <c r="AE5">
        <v>0</v>
      </c>
    </row>
    <row r="6" spans="1:31" ht="14.65" thickBot="1" x14ac:dyDescent="0.5">
      <c r="F6" s="7">
        <f t="shared" si="18"/>
        <v>5</v>
      </c>
      <c r="G6">
        <f t="shared" si="0"/>
        <v>1.4556283985137008</v>
      </c>
      <c r="H6">
        <v>1.0385863279784293</v>
      </c>
      <c r="I6">
        <f t="shared" si="13"/>
        <v>3.7456265622493947</v>
      </c>
      <c r="J6">
        <f t="shared" si="14"/>
        <v>0.15900448136077378</v>
      </c>
      <c r="K6">
        <f t="shared" si="1"/>
        <v>8.2900614888921656E-2</v>
      </c>
      <c r="L6">
        <f t="shared" si="2"/>
        <v>1.6872023159249428E-4</v>
      </c>
      <c r="M6">
        <f t="shared" si="3"/>
        <v>0.69553039146488183</v>
      </c>
      <c r="N6">
        <f t="shared" si="15"/>
        <v>0.32707311429011204</v>
      </c>
      <c r="O6">
        <f t="shared" si="16"/>
        <v>1.0464091540065397</v>
      </c>
      <c r="P6">
        <f t="shared" si="4"/>
        <v>2.2499385510453567</v>
      </c>
      <c r="Q6">
        <f t="shared" si="5"/>
        <v>-1.5154664939855623E-3</v>
      </c>
      <c r="R6">
        <f t="shared" si="19"/>
        <v>-6.0638028100215013E-3</v>
      </c>
      <c r="S6">
        <f t="shared" si="20"/>
        <v>3.6769704518824654E-5</v>
      </c>
      <c r="T6">
        <v>0</v>
      </c>
      <c r="U6">
        <v>0</v>
      </c>
      <c r="V6">
        <v>1.05</v>
      </c>
      <c r="W6">
        <f t="shared" si="6"/>
        <v>0.59713252022629215</v>
      </c>
      <c r="X6">
        <f t="shared" si="7"/>
        <v>2.6210467951581475</v>
      </c>
      <c r="Y6">
        <f t="shared" si="17"/>
        <v>0.97552787853496536</v>
      </c>
      <c r="Z6">
        <f t="shared" si="8"/>
        <v>0.29027215241947368</v>
      </c>
      <c r="AA6">
        <f t="shared" si="9"/>
        <v>0.26392791428293783</v>
      </c>
      <c r="AB6">
        <f t="shared" si="10"/>
        <v>-13.429961476600628</v>
      </c>
      <c r="AC6">
        <f t="shared" si="11"/>
        <v>-12.211098074255409</v>
      </c>
      <c r="AD6">
        <f t="shared" si="12"/>
        <v>0.99999999999999944</v>
      </c>
      <c r="AE6">
        <v>0</v>
      </c>
    </row>
    <row r="7" spans="1:31" ht="14.65" thickBot="1" x14ac:dyDescent="0.5">
      <c r="A7" s="4"/>
      <c r="B7" s="7"/>
      <c r="F7" s="7">
        <f t="shared" si="18"/>
        <v>6</v>
      </c>
      <c r="G7">
        <f t="shared" si="0"/>
        <v>1.4556283985137008</v>
      </c>
      <c r="H7">
        <v>1.0358119566175097</v>
      </c>
      <c r="I7">
        <f t="shared" si="13"/>
        <v>3.7548059811201928</v>
      </c>
      <c r="J7">
        <f t="shared" si="14"/>
        <v>0.15876761022015362</v>
      </c>
      <c r="K7">
        <f t="shared" si="1"/>
        <v>8.2776419147043853E-2</v>
      </c>
      <c r="L7">
        <f t="shared" si="2"/>
        <v>1.4688572672175677E-4</v>
      </c>
      <c r="M7">
        <f t="shared" si="3"/>
        <v>0.69636081047677123</v>
      </c>
      <c r="N7">
        <f t="shared" si="15"/>
        <v>0.3272398653462999</v>
      </c>
      <c r="O7">
        <f t="shared" si="16"/>
        <v>1.0475448614120182</v>
      </c>
      <c r="P7">
        <f t="shared" si="4"/>
        <v>2.2513622138407237</v>
      </c>
      <c r="Q7">
        <f t="shared" si="5"/>
        <v>-1.4094225743058178E-3</v>
      </c>
      <c r="R7">
        <f t="shared" si="19"/>
        <v>-5.6608477881177066E-3</v>
      </c>
      <c r="S7">
        <f t="shared" si="20"/>
        <v>3.2045197680237131E-5</v>
      </c>
      <c r="T7">
        <v>0</v>
      </c>
      <c r="U7">
        <v>0</v>
      </c>
      <c r="V7">
        <v>1.05</v>
      </c>
      <c r="W7">
        <f t="shared" si="6"/>
        <v>0.59832277291546454</v>
      </c>
      <c r="X7">
        <f t="shared" si="7"/>
        <v>2.6106289902677817</v>
      </c>
      <c r="Y7">
        <f t="shared" si="17"/>
        <v>0.97261367118781561</v>
      </c>
      <c r="Z7">
        <f t="shared" si="8"/>
        <v>0.29045447827639997</v>
      </c>
      <c r="AA7">
        <f t="shared" si="9"/>
        <v>0.25788614928820114</v>
      </c>
      <c r="AB7">
        <f t="shared" si="10"/>
        <v>-13.433022860898255</v>
      </c>
      <c r="AC7">
        <f t="shared" si="11"/>
        <v>-11.926793346256693</v>
      </c>
      <c r="AD7">
        <f t="shared" si="12"/>
        <v>0.99999999999999944</v>
      </c>
      <c r="AE7">
        <v>0</v>
      </c>
    </row>
    <row r="8" spans="1:31" ht="14.65" thickBot="1" x14ac:dyDescent="0.5">
      <c r="A8" s="8"/>
      <c r="B8" s="12"/>
      <c r="F8" s="7">
        <f t="shared" si="18"/>
        <v>7</v>
      </c>
      <c r="G8">
        <f t="shared" si="0"/>
        <v>1.4556283985137008</v>
      </c>
      <c r="H8">
        <v>1.0314229729449089</v>
      </c>
      <c r="I8">
        <f t="shared" si="13"/>
        <v>3.7633813520955384</v>
      </c>
      <c r="J8">
        <f t="shared" si="14"/>
        <v>0.15805805036201584</v>
      </c>
      <c r="K8">
        <f t="shared" si="1"/>
        <v>8.2523440798799572E-2</v>
      </c>
      <c r="L8">
        <f t="shared" si="2"/>
        <v>1.1278247913615372E-4</v>
      </c>
      <c r="M8">
        <f t="shared" si="3"/>
        <v>0.69597688315823192</v>
      </c>
      <c r="N8">
        <f t="shared" si="15"/>
        <v>0.32669219129874905</v>
      </c>
      <c r="O8">
        <f t="shared" si="16"/>
        <v>1.0470198055337567</v>
      </c>
      <c r="P8">
        <f t="shared" si="4"/>
        <v>2.2542706772177876</v>
      </c>
      <c r="Q8">
        <f t="shared" si="5"/>
        <v>-1.2293360181201444E-3</v>
      </c>
      <c r="R8">
        <f t="shared" si="19"/>
        <v>-5.1143810137963541E-3</v>
      </c>
      <c r="S8">
        <f t="shared" si="20"/>
        <v>2.6156893154280622E-5</v>
      </c>
      <c r="T8">
        <v>0</v>
      </c>
      <c r="U8">
        <v>0</v>
      </c>
      <c r="V8">
        <v>1.05</v>
      </c>
      <c r="W8">
        <f t="shared" si="6"/>
        <v>0.59886296625349289</v>
      </c>
      <c r="X8">
        <f t="shared" si="7"/>
        <v>2.6059213745843408</v>
      </c>
      <c r="Y8">
        <f t="shared" si="17"/>
        <v>0.97473405546407932</v>
      </c>
      <c r="Z8">
        <f t="shared" si="8"/>
        <v>0.29009878891824803</v>
      </c>
      <c r="AA8">
        <f t="shared" si="9"/>
        <v>0.25151613133532852</v>
      </c>
      <c r="AB8">
        <f t="shared" si="10"/>
        <v>-13.410519580196461</v>
      </c>
      <c r="AC8">
        <f t="shared" si="11"/>
        <v>-11.626942727286645</v>
      </c>
      <c r="AD8">
        <f t="shared" si="12"/>
        <v>0.99999999999999944</v>
      </c>
      <c r="AE8">
        <v>0</v>
      </c>
    </row>
    <row r="9" spans="1:31" ht="14.65" thickBot="1" x14ac:dyDescent="0.5">
      <c r="A9" s="10"/>
      <c r="B9" s="13"/>
      <c r="F9" s="7">
        <f t="shared" si="18"/>
        <v>8</v>
      </c>
      <c r="G9">
        <f t="shared" si="0"/>
        <v>1.4556283985137008</v>
      </c>
      <c r="H9">
        <v>1.0285388435363478</v>
      </c>
      <c r="I9">
        <f t="shared" si="13"/>
        <v>3.7709041483737327</v>
      </c>
      <c r="J9">
        <f t="shared" si="14"/>
        <v>0.15769542418882579</v>
      </c>
      <c r="K9">
        <f t="shared" si="1"/>
        <v>8.2379651980381455E-2</v>
      </c>
      <c r="L9">
        <f t="shared" si="2"/>
        <v>9.3577207100975097E-5</v>
      </c>
      <c r="M9">
        <f t="shared" si="3"/>
        <v>0.69629204163767033</v>
      </c>
      <c r="N9">
        <f t="shared" si="15"/>
        <v>0.32660826784861163</v>
      </c>
      <c r="O9">
        <f t="shared" si="16"/>
        <v>1.0474508156421156</v>
      </c>
      <c r="P9">
        <f t="shared" si="4"/>
        <v>2.2559289423415092</v>
      </c>
      <c r="Q9">
        <f t="shared" si="5"/>
        <v>-1.1162129807097125E-3</v>
      </c>
      <c r="R9">
        <f t="shared" si="19"/>
        <v>-4.5753438919557965E-3</v>
      </c>
      <c r="S9">
        <f t="shared" si="20"/>
        <v>2.0933771729657217E-5</v>
      </c>
      <c r="T9">
        <v>0</v>
      </c>
      <c r="U9">
        <v>0</v>
      </c>
      <c r="V9">
        <v>1.05</v>
      </c>
      <c r="W9">
        <f t="shared" si="6"/>
        <v>0.5996746559808136</v>
      </c>
      <c r="X9">
        <f t="shared" si="7"/>
        <v>2.5988716582940579</v>
      </c>
      <c r="Y9">
        <f t="shared" si="17"/>
        <v>0.97385323886026998</v>
      </c>
      <c r="Z9">
        <f t="shared" si="8"/>
        <v>0.29008073547247626</v>
      </c>
      <c r="AA9">
        <f t="shared" si="9"/>
        <v>0.24558893997339404</v>
      </c>
      <c r="AB9">
        <f t="shared" si="10"/>
        <v>-13.405042290538525</v>
      </c>
      <c r="AC9">
        <f t="shared" si="11"/>
        <v>-11.349013305105334</v>
      </c>
      <c r="AD9">
        <f t="shared" si="12"/>
        <v>0.99999999999999944</v>
      </c>
      <c r="AE9">
        <v>0</v>
      </c>
    </row>
    <row r="10" spans="1:31" ht="14.65" thickBot="1" x14ac:dyDescent="0.5">
      <c r="F10" s="7">
        <f t="shared" si="18"/>
        <v>9</v>
      </c>
      <c r="G10">
        <f t="shared" si="0"/>
        <v>1.4556283985137008</v>
      </c>
      <c r="H10">
        <v>1.0252111708990113</v>
      </c>
      <c r="I10">
        <f t="shared" si="13"/>
        <v>3.7777634066276091</v>
      </c>
      <c r="J10">
        <f t="shared" si="14"/>
        <v>0.15717409319684536</v>
      </c>
      <c r="K10">
        <f t="shared" si="1"/>
        <v>8.2201094399212471E-2</v>
      </c>
      <c r="L10">
        <f t="shared" si="2"/>
        <v>7.2993035905772195E-5</v>
      </c>
      <c r="M10">
        <f t="shared" si="3"/>
        <v>0.69617314530888008</v>
      </c>
      <c r="N10">
        <f t="shared" si="15"/>
        <v>0.32628613075304924</v>
      </c>
      <c r="O10">
        <f t="shared" si="16"/>
        <v>1.0472882153435439</v>
      </c>
      <c r="P10">
        <f t="shared" si="4"/>
        <v>2.2579933975038329</v>
      </c>
      <c r="Q10">
        <f t="shared" si="5"/>
        <v>-9.8236093569005955E-4</v>
      </c>
      <c r="R10">
        <f t="shared" si="19"/>
        <v>-4.2158570541230844E-3</v>
      </c>
      <c r="S10">
        <f t="shared" si="20"/>
        <v>1.7773450700799372E-5</v>
      </c>
      <c r="T10">
        <v>0</v>
      </c>
      <c r="U10">
        <v>0</v>
      </c>
      <c r="V10">
        <v>1.05</v>
      </c>
      <c r="W10">
        <f t="shared" si="6"/>
        <v>0.6002365289287207</v>
      </c>
      <c r="X10">
        <f t="shared" si="7"/>
        <v>2.5940084013727507</v>
      </c>
      <c r="Y10">
        <f t="shared" si="17"/>
        <v>0.97466760895797055</v>
      </c>
      <c r="Z10">
        <f t="shared" si="8"/>
        <v>0.28987759321797779</v>
      </c>
      <c r="AA10">
        <f t="shared" si="9"/>
        <v>0.23964840984915983</v>
      </c>
      <c r="AB10">
        <f t="shared" si="10"/>
        <v>-13.391133132310337</v>
      </c>
      <c r="AC10">
        <f t="shared" si="11"/>
        <v>-11.070754816235116</v>
      </c>
      <c r="AD10">
        <f t="shared" si="12"/>
        <v>1.0000000000000016</v>
      </c>
      <c r="AE10">
        <v>0</v>
      </c>
    </row>
    <row r="11" spans="1:31" ht="14.65" thickBot="1" x14ac:dyDescent="0.5">
      <c r="A11" s="4" t="s">
        <v>18</v>
      </c>
      <c r="B11" s="14" t="s">
        <v>19</v>
      </c>
      <c r="C11" s="15"/>
      <c r="F11" s="7">
        <f t="shared" si="18"/>
        <v>10</v>
      </c>
      <c r="G11">
        <f t="shared" si="0"/>
        <v>1.4556283985137008</v>
      </c>
      <c r="H11">
        <v>1.0224887401790277</v>
      </c>
      <c r="I11">
        <f t="shared" si="13"/>
        <v>3.78382696355935</v>
      </c>
      <c r="J11">
        <f t="shared" si="14"/>
        <v>0.15677434557907016</v>
      </c>
      <c r="K11">
        <f t="shared" si="1"/>
        <v>8.2068700604956024E-2</v>
      </c>
      <c r="L11">
        <f t="shared" si="2"/>
        <v>5.8254783912320617E-5</v>
      </c>
      <c r="M11">
        <f t="shared" si="3"/>
        <v>0.69627914527064805</v>
      </c>
      <c r="N11">
        <f t="shared" si="15"/>
        <v>0.32612982121272355</v>
      </c>
      <c r="O11">
        <f t="shared" si="16"/>
        <v>1.0474331789443441</v>
      </c>
      <c r="P11">
        <f t="shared" si="4"/>
        <v>2.2595278591539087</v>
      </c>
      <c r="Q11">
        <f t="shared" si="5"/>
        <v>-8.7504398002794101E-4</v>
      </c>
      <c r="R11">
        <f t="shared" si="19"/>
        <v>-3.8837973625649447E-3</v>
      </c>
      <c r="S11">
        <f t="shared" si="20"/>
        <v>1.5083881953466421E-5</v>
      </c>
      <c r="T11">
        <v>0</v>
      </c>
      <c r="U11">
        <v>0</v>
      </c>
      <c r="V11">
        <v>1.05</v>
      </c>
      <c r="W11">
        <f t="shared" si="6"/>
        <v>0.60086964871103477</v>
      </c>
      <c r="X11">
        <f t="shared" si="7"/>
        <v>2.5885448110406282</v>
      </c>
      <c r="Y11">
        <f t="shared" si="17"/>
        <v>0.97443819211945981</v>
      </c>
      <c r="Z11">
        <f t="shared" si="8"/>
        <v>0.28978918465423914</v>
      </c>
      <c r="AA11">
        <f t="shared" si="9"/>
        <v>0.2339440832909275</v>
      </c>
      <c r="AB11">
        <f t="shared" si="10"/>
        <v>-13.383386334509966</v>
      </c>
      <c r="AC11">
        <f t="shared" si="11"/>
        <v>-10.804281916493737</v>
      </c>
      <c r="AD11">
        <f t="shared" si="12"/>
        <v>1.0000000000000016</v>
      </c>
      <c r="AE11">
        <v>0</v>
      </c>
    </row>
    <row r="12" spans="1:31" ht="14.65" thickBot="1" x14ac:dyDescent="0.5">
      <c r="A12" s="16" t="s">
        <v>20</v>
      </c>
      <c r="B12" s="17">
        <v>0.35</v>
      </c>
      <c r="C12" s="18"/>
      <c r="F12" s="7">
        <f t="shared" si="18"/>
        <v>11</v>
      </c>
      <c r="G12">
        <f t="shared" si="0"/>
        <v>1.4556283985137008</v>
      </c>
      <c r="H12">
        <v>1.0197079027084797</v>
      </c>
      <c r="I12">
        <f t="shared" si="13"/>
        <v>3.789248230596046</v>
      </c>
      <c r="J12">
        <f t="shared" si="14"/>
        <v>0.15632449811994398</v>
      </c>
      <c r="K12">
        <f t="shared" si="1"/>
        <v>8.19324959905363E-2</v>
      </c>
      <c r="L12">
        <f t="shared" si="2"/>
        <v>4.474355600126362E-5</v>
      </c>
      <c r="M12">
        <f t="shared" si="3"/>
        <v>0.69621917990656668</v>
      </c>
      <c r="N12">
        <f t="shared" si="15"/>
        <v>0.32589686546038776</v>
      </c>
      <c r="O12">
        <f t="shared" si="16"/>
        <v>1.0473511716602886</v>
      </c>
      <c r="P12">
        <f t="shared" si="4"/>
        <v>2.2611098304331478</v>
      </c>
      <c r="Q12">
        <f t="shared" si="5"/>
        <v>-7.6465956235513403E-4</v>
      </c>
      <c r="R12">
        <f t="shared" si="19"/>
        <v>-3.5953580565579735E-3</v>
      </c>
      <c r="S12">
        <f t="shared" si="20"/>
        <v>1.2926599554856328E-5</v>
      </c>
      <c r="T12">
        <v>0</v>
      </c>
      <c r="U12">
        <v>0</v>
      </c>
      <c r="V12">
        <v>1.05</v>
      </c>
      <c r="W12">
        <f t="shared" si="6"/>
        <v>0.60139093055266468</v>
      </c>
      <c r="X12">
        <f t="shared" si="7"/>
        <v>2.5840592874692967</v>
      </c>
      <c r="Y12">
        <f t="shared" si="17"/>
        <v>0.97480281401158164</v>
      </c>
      <c r="Z12">
        <f t="shared" si="8"/>
        <v>0.28963574298767991</v>
      </c>
      <c r="AA12">
        <f t="shared" si="9"/>
        <v>0.22832424839682591</v>
      </c>
      <c r="AB12">
        <f t="shared" si="10"/>
        <v>-13.373014894195727</v>
      </c>
      <c r="AC12">
        <f t="shared" si="11"/>
        <v>-10.542150437029029</v>
      </c>
      <c r="AD12">
        <f t="shared" si="12"/>
        <v>1.0000000000000016</v>
      </c>
      <c r="AE12">
        <v>0</v>
      </c>
    </row>
    <row r="13" spans="1:31" ht="14.65" thickBot="1" x14ac:dyDescent="0.5">
      <c r="A13" s="16" t="s">
        <v>21</v>
      </c>
      <c r="B13" s="17">
        <v>0.04</v>
      </c>
      <c r="C13" s="18"/>
      <c r="F13" s="7">
        <f t="shared" si="18"/>
        <v>12</v>
      </c>
      <c r="G13">
        <f t="shared" si="0"/>
        <v>1.4556283985137008</v>
      </c>
      <c r="H13">
        <v>1.0173679221952872</v>
      </c>
      <c r="I13">
        <f t="shared" si="13"/>
        <v>3.7940027994921479</v>
      </c>
      <c r="J13">
        <f t="shared" si="14"/>
        <v>0.15595735378701664</v>
      </c>
      <c r="K13">
        <f t="shared" si="1"/>
        <v>8.1820258586190658E-2</v>
      </c>
      <c r="L13">
        <f t="shared" si="2"/>
        <v>3.4825037803536241E-5</v>
      </c>
      <c r="M13">
        <f t="shared" si="3"/>
        <v>0.69622513046844992</v>
      </c>
      <c r="N13">
        <f t="shared" si="15"/>
        <v>0.32572834695856662</v>
      </c>
      <c r="O13">
        <f t="shared" si="16"/>
        <v>1.0473593095436646</v>
      </c>
      <c r="P13">
        <f t="shared" si="4"/>
        <v>2.2624159864914235</v>
      </c>
      <c r="Q13">
        <f t="shared" si="5"/>
        <v>-6.7294892943772387E-4</v>
      </c>
      <c r="R13">
        <f t="shared" si="19"/>
        <v>-3.0505265461493458E-3</v>
      </c>
      <c r="S13">
        <f t="shared" si="20"/>
        <v>9.3057122087618569E-6</v>
      </c>
      <c r="T13">
        <v>0</v>
      </c>
      <c r="U13">
        <v>0</v>
      </c>
      <c r="V13">
        <v>1.05</v>
      </c>
      <c r="W13">
        <f t="shared" si="6"/>
        <v>0.6018739728471183</v>
      </c>
      <c r="X13">
        <f t="shared" si="7"/>
        <v>2.579913206730045</v>
      </c>
      <c r="Y13">
        <f t="shared" si="17"/>
        <v>0.97492814945699824</v>
      </c>
      <c r="Z13">
        <f t="shared" si="8"/>
        <v>0.28952798290952958</v>
      </c>
      <c r="AA13">
        <f t="shared" si="9"/>
        <v>0.22287451639379779</v>
      </c>
      <c r="AB13">
        <f t="shared" si="10"/>
        <v>-13.365221563180922</v>
      </c>
      <c r="AC13">
        <f t="shared" si="11"/>
        <v>-10.288357147573878</v>
      </c>
      <c r="AD13">
        <f t="shared" si="12"/>
        <v>1.0000000000000042</v>
      </c>
      <c r="AE13">
        <v>0</v>
      </c>
    </row>
    <row r="14" spans="1:31" ht="14.65" thickBot="1" x14ac:dyDescent="0.5">
      <c r="A14" s="19" t="s">
        <v>22</v>
      </c>
      <c r="B14" s="20">
        <v>15</v>
      </c>
      <c r="C14" s="21"/>
      <c r="F14" s="7">
        <f t="shared" si="18"/>
        <v>13</v>
      </c>
      <c r="G14">
        <f t="shared" si="0"/>
        <v>1.4556283985137008</v>
      </c>
      <c r="H14">
        <v>1.0153309684676839</v>
      </c>
      <c r="I14">
        <f t="shared" si="13"/>
        <v>3.7982000412994785</v>
      </c>
      <c r="J14">
        <f t="shared" si="14"/>
        <v>0.15563782779870716</v>
      </c>
      <c r="K14">
        <f t="shared" si="1"/>
        <v>8.1717743382875158E-2</v>
      </c>
      <c r="L14">
        <f t="shared" si="2"/>
        <v>2.7176313561617028E-5</v>
      </c>
      <c r="M14">
        <f t="shared" si="3"/>
        <v>0.69619903755024948</v>
      </c>
      <c r="N14">
        <f t="shared" si="15"/>
        <v>0.32556092044420265</v>
      </c>
      <c r="O14">
        <f t="shared" si="16"/>
        <v>1.0473236252824702</v>
      </c>
      <c r="P14">
        <f t="shared" si="4"/>
        <v>2.2636110255040189</v>
      </c>
      <c r="Q14">
        <f t="shared" si="5"/>
        <v>-5.9319466513079811E-4</v>
      </c>
      <c r="R14">
        <f t="shared" si="19"/>
        <v>-2.4591672215719118E-3</v>
      </c>
      <c r="S14">
        <f t="shared" si="20"/>
        <v>6.0475034236537167E-6</v>
      </c>
      <c r="T14">
        <v>0</v>
      </c>
      <c r="U14">
        <v>0</v>
      </c>
      <c r="V14">
        <v>1.05</v>
      </c>
      <c r="W14">
        <f t="shared" si="6"/>
        <v>0.60226375864298765</v>
      </c>
      <c r="X14">
        <f t="shared" si="7"/>
        <v>2.5765748417993333</v>
      </c>
      <c r="Y14">
        <f t="shared" si="17"/>
        <v>0.97523135129579464</v>
      </c>
      <c r="Z14">
        <f t="shared" si="8"/>
        <v>0.2894220388407755</v>
      </c>
      <c r="AA14">
        <f t="shared" si="9"/>
        <v>0.21755619565701084</v>
      </c>
      <c r="AB14">
        <f t="shared" si="10"/>
        <v>-13.357729508089591</v>
      </c>
      <c r="AC14">
        <f t="shared" si="11"/>
        <v>-10.04089676803819</v>
      </c>
      <c r="AD14">
        <f t="shared" si="12"/>
        <v>0.99999999999999944</v>
      </c>
      <c r="AE14">
        <v>0</v>
      </c>
    </row>
    <row r="15" spans="1:31" ht="14.65" thickBot="1" x14ac:dyDescent="0.5">
      <c r="F15" s="7">
        <f t="shared" si="18"/>
        <v>14</v>
      </c>
      <c r="G15">
        <f t="shared" si="0"/>
        <v>1.4556283985137008</v>
      </c>
      <c r="H15">
        <v>1.0137132483983129</v>
      </c>
      <c r="I15">
        <f t="shared" si="13"/>
        <v>3.8019098674462066</v>
      </c>
      <c r="J15">
        <f t="shared" si="14"/>
        <v>0.15540037902750062</v>
      </c>
      <c r="K15">
        <f t="shared" si="1"/>
        <v>8.1631789981609804E-2</v>
      </c>
      <c r="L15">
        <f t="shared" si="2"/>
        <v>2.1796029250417521E-5</v>
      </c>
      <c r="M15">
        <f t="shared" si="3"/>
        <v>0.69621400268519429</v>
      </c>
      <c r="N15">
        <f t="shared" si="15"/>
        <v>0.32543613291213519</v>
      </c>
      <c r="O15">
        <f t="shared" si="16"/>
        <v>1.0473440913785985</v>
      </c>
      <c r="P15">
        <f t="shared" si="4"/>
        <v>2.2646144942645314</v>
      </c>
      <c r="Q15">
        <f t="shared" si="5"/>
        <v>-5.3030889666938225E-4</v>
      </c>
      <c r="R15">
        <f t="shared" si="19"/>
        <v>-1.8600941291078144E-3</v>
      </c>
      <c r="S15">
        <f t="shared" si="20"/>
        <v>3.4599501691413582E-6</v>
      </c>
      <c r="T15">
        <v>0</v>
      </c>
      <c r="U15">
        <v>0</v>
      </c>
      <c r="V15">
        <v>1.05</v>
      </c>
      <c r="W15">
        <f t="shared" si="6"/>
        <v>0.60259282726407526</v>
      </c>
      <c r="X15">
        <f t="shared" si="7"/>
        <v>2.5737615377365053</v>
      </c>
      <c r="Y15">
        <f t="shared" si="17"/>
        <v>0.97542870671888637</v>
      </c>
      <c r="Z15">
        <f t="shared" si="8"/>
        <v>0.28935088508702261</v>
      </c>
      <c r="AA15">
        <f t="shared" si="9"/>
        <v>0.21239029125990846</v>
      </c>
      <c r="AB15">
        <f t="shared" si="10"/>
        <v>-13.352040351291535</v>
      </c>
      <c r="AC15">
        <f t="shared" si="11"/>
        <v>-9.8007087079480542</v>
      </c>
      <c r="AD15">
        <f t="shared" si="12"/>
        <v>0.99999999999999944</v>
      </c>
      <c r="AE15">
        <v>0</v>
      </c>
    </row>
    <row r="16" spans="1:31" ht="14.65" thickBot="1" x14ac:dyDescent="0.5">
      <c r="A16" s="4" t="s">
        <v>23</v>
      </c>
      <c r="B16" s="14" t="s">
        <v>19</v>
      </c>
      <c r="C16" s="15"/>
      <c r="F16" s="7">
        <f t="shared" si="18"/>
        <v>15</v>
      </c>
      <c r="G16">
        <f t="shared" si="0"/>
        <v>1.4556283985137008</v>
      </c>
      <c r="H16">
        <v>1.0124085699984131</v>
      </c>
      <c r="I16">
        <f t="shared" si="13"/>
        <v>3.805233851775859</v>
      </c>
      <c r="J16">
        <f t="shared" si="14"/>
        <v>0.15522147901237252</v>
      </c>
      <c r="K16">
        <f t="shared" si="1"/>
        <v>8.1556092160851898E-2</v>
      </c>
      <c r="L16">
        <f t="shared" si="2"/>
        <v>1.7882402926426869E-5</v>
      </c>
      <c r="M16">
        <f t="shared" si="3"/>
        <v>0.69623737090021987</v>
      </c>
      <c r="N16">
        <f t="shared" si="15"/>
        <v>0.32533050245194162</v>
      </c>
      <c r="O16">
        <f t="shared" si="16"/>
        <v>1.0473760493221711</v>
      </c>
      <c r="P16">
        <f t="shared" si="4"/>
        <v>2.2654993646715367</v>
      </c>
      <c r="Q16">
        <f t="shared" si="5"/>
        <v>-4.7964394274415951E-4</v>
      </c>
      <c r="R16">
        <f t="shared" si="19"/>
        <v>-1.3552900162694392E-3</v>
      </c>
      <c r="S16">
        <f t="shared" si="20"/>
        <v>1.8368110281996168E-6</v>
      </c>
      <c r="T16">
        <v>0</v>
      </c>
      <c r="U16">
        <v>0</v>
      </c>
      <c r="V16">
        <v>1.05</v>
      </c>
      <c r="W16">
        <f t="shared" si="6"/>
        <v>0.60285736727600236</v>
      </c>
      <c r="X16">
        <f t="shared" si="7"/>
        <v>2.5715032472684181</v>
      </c>
      <c r="Y16">
        <f t="shared" si="17"/>
        <v>0.97563811554203561</v>
      </c>
      <c r="Z16">
        <f t="shared" si="8"/>
        <v>0.28929720303379619</v>
      </c>
      <c r="AA16">
        <f t="shared" si="9"/>
        <v>0.20735956268790076</v>
      </c>
      <c r="AB16">
        <f t="shared" si="10"/>
        <v>-13.347263998793387</v>
      </c>
      <c r="AC16">
        <f t="shared" si="11"/>
        <v>-9.5669187148913881</v>
      </c>
      <c r="AD16">
        <f t="shared" si="12"/>
        <v>0.99999999999999944</v>
      </c>
      <c r="AE16">
        <v>0</v>
      </c>
    </row>
    <row r="17" spans="1:31" ht="14.65" thickBot="1" x14ac:dyDescent="0.5">
      <c r="A17" s="10" t="s">
        <v>24</v>
      </c>
      <c r="B17" s="11">
        <f>Ac* alpha*kbar^(rhoc-1)*yhat1*(1-tauk)- Delta</f>
        <v>2.4070868155283538E-2</v>
      </c>
      <c r="C17" s="13"/>
      <c r="F17" s="7">
        <f t="shared" si="18"/>
        <v>16</v>
      </c>
      <c r="G17">
        <f t="shared" si="0"/>
        <v>1.4556283985137008</v>
      </c>
      <c r="H17">
        <v>1.0112928388516051</v>
      </c>
      <c r="I17">
        <f t="shared" si="13"/>
        <v>3.8082459767171972</v>
      </c>
      <c r="J17">
        <f t="shared" si="14"/>
        <v>0.15507414691641952</v>
      </c>
      <c r="K17">
        <f t="shared" si="1"/>
        <v>8.1490788154001195E-2</v>
      </c>
      <c r="L17">
        <f t="shared" si="2"/>
        <v>1.4832075466958576E-5</v>
      </c>
      <c r="M17">
        <f t="shared" si="3"/>
        <v>0.69628565062369041</v>
      </c>
      <c r="N17">
        <f t="shared" si="15"/>
        <v>0.32525126944349808</v>
      </c>
      <c r="O17">
        <f t="shared" si="16"/>
        <v>1.0474420754803355</v>
      </c>
      <c r="P17">
        <f t="shared" si="4"/>
        <v>2.2662635894228087</v>
      </c>
      <c r="Q17">
        <f t="shared" si="5"/>
        <v>-4.3626824376983203E-4</v>
      </c>
      <c r="R17">
        <f t="shared" si="19"/>
        <v>-1.1349278656858086E-3</v>
      </c>
      <c r="S17">
        <f t="shared" si="20"/>
        <v>1.2880612603101448E-6</v>
      </c>
      <c r="T17">
        <v>0</v>
      </c>
      <c r="U17">
        <v>0</v>
      </c>
      <c r="V17">
        <v>1.05</v>
      </c>
      <c r="W17">
        <f t="shared" si="6"/>
        <v>0.6031059261033157</v>
      </c>
      <c r="X17">
        <f t="shared" si="7"/>
        <v>2.5693840901088905</v>
      </c>
      <c r="Y17">
        <f t="shared" si="17"/>
        <v>0.97569019716269578</v>
      </c>
      <c r="Z17">
        <f t="shared" si="8"/>
        <v>0.28926200246060019</v>
      </c>
      <c r="AA17">
        <f t="shared" si="9"/>
        <v>0.2024609218166189</v>
      </c>
      <c r="AB17">
        <f t="shared" si="10"/>
        <v>-13.343543925299855</v>
      </c>
      <c r="AC17">
        <f t="shared" si="11"/>
        <v>-9.3394437583786214</v>
      </c>
      <c r="AD17">
        <f t="shared" si="12"/>
        <v>0.99999999999999944</v>
      </c>
      <c r="AE17">
        <v>0</v>
      </c>
    </row>
    <row r="18" spans="1:31" ht="14.65" thickBot="1" x14ac:dyDescent="0.5">
      <c r="A18" s="3" t="s">
        <v>25</v>
      </c>
      <c r="B18" s="3">
        <f>1/(1+Interest)</f>
        <v>0.97649491953750844</v>
      </c>
      <c r="D18" s="22"/>
      <c r="F18" s="7">
        <f t="shared" si="18"/>
        <v>17</v>
      </c>
      <c r="G18">
        <f t="shared" si="0"/>
        <v>1.4556283985137008</v>
      </c>
      <c r="H18">
        <v>1.010308597574231</v>
      </c>
      <c r="I18">
        <f t="shared" si="13"/>
        <v>3.8109902845649284</v>
      </c>
      <c r="J18">
        <f t="shared" si="14"/>
        <v>0.15494701741786535</v>
      </c>
      <c r="K18">
        <f t="shared" si="1"/>
        <v>8.1430003265975687E-2</v>
      </c>
      <c r="L18">
        <f t="shared" si="2"/>
        <v>1.2372935686486109E-5</v>
      </c>
      <c r="M18">
        <f t="shared" si="3"/>
        <v>0.69631782660137143</v>
      </c>
      <c r="N18">
        <f t="shared" si="15"/>
        <v>0.32517205476513461</v>
      </c>
      <c r="O18">
        <f t="shared" si="16"/>
        <v>1.0474860783221185</v>
      </c>
      <c r="P18">
        <f t="shared" si="4"/>
        <v>2.2669756401294356</v>
      </c>
      <c r="Q18">
        <f t="shared" si="5"/>
        <v>-3.9801113190729811E-4</v>
      </c>
      <c r="R18">
        <f t="shared" si="19"/>
        <v>-8.8429525820599153E-4</v>
      </c>
      <c r="S18">
        <f t="shared" si="20"/>
        <v>7.8197810368560124E-7</v>
      </c>
      <c r="T18">
        <v>0</v>
      </c>
      <c r="U18">
        <v>0</v>
      </c>
      <c r="V18">
        <v>1.05</v>
      </c>
      <c r="W18">
        <f t="shared" si="6"/>
        <v>0.60331231554645237</v>
      </c>
      <c r="X18">
        <f t="shared" si="7"/>
        <v>2.5676264497200596</v>
      </c>
      <c r="Y18">
        <f t="shared" si="17"/>
        <v>0.97582692796837156</v>
      </c>
      <c r="Z18">
        <f t="shared" si="8"/>
        <v>0.28922674535780074</v>
      </c>
      <c r="AA18">
        <f t="shared" si="9"/>
        <v>0.19767796436716706</v>
      </c>
      <c r="AB18">
        <f t="shared" si="10"/>
        <v>-13.339941013217897</v>
      </c>
      <c r="AC18">
        <f t="shared" si="11"/>
        <v>-9.1174568970402969</v>
      </c>
      <c r="AD18">
        <f t="shared" si="12"/>
        <v>0.99999999999999944</v>
      </c>
      <c r="AE18">
        <v>0</v>
      </c>
    </row>
    <row r="19" spans="1:31" ht="14.65" thickBot="1" x14ac:dyDescent="0.5">
      <c r="A19" s="4" t="s">
        <v>26</v>
      </c>
      <c r="B19" s="6" t="s">
        <v>27</v>
      </c>
      <c r="C19" s="23"/>
      <c r="D19" s="22" t="e">
        <f>_PK1</f>
        <v>#NAME?</v>
      </c>
      <c r="F19" s="7">
        <f t="shared" si="18"/>
        <v>18</v>
      </c>
      <c r="G19">
        <f t="shared" si="0"/>
        <v>1.4556283985137008</v>
      </c>
      <c r="H19">
        <v>1.0093806958434051</v>
      </c>
      <c r="I19">
        <f t="shared" si="13"/>
        <v>3.8134976906001965</v>
      </c>
      <c r="J19">
        <f t="shared" si="14"/>
        <v>0.15482292743070883</v>
      </c>
      <c r="K19">
        <f t="shared" si="1"/>
        <v>8.1376892926593516E-2</v>
      </c>
      <c r="L19">
        <f t="shared" si="2"/>
        <v>1.0250785225272799E-5</v>
      </c>
      <c r="M19">
        <f t="shared" si="3"/>
        <v>0.69636731103723604</v>
      </c>
      <c r="N19">
        <f t="shared" si="15"/>
        <v>0.32511187777502565</v>
      </c>
      <c r="O19">
        <f t="shared" si="16"/>
        <v>1.0475537512990363</v>
      </c>
      <c r="P19">
        <f t="shared" si="4"/>
        <v>2.2675983513755344</v>
      </c>
      <c r="Q19">
        <f t="shared" si="5"/>
        <v>-3.6188894847046324E-4</v>
      </c>
      <c r="R19">
        <f t="shared" si="19"/>
        <v>-8.8228971459902716E-4</v>
      </c>
      <c r="S19">
        <f t="shared" si="20"/>
        <v>7.7843514048723275E-7</v>
      </c>
      <c r="T19">
        <v>0</v>
      </c>
      <c r="U19">
        <v>0</v>
      </c>
      <c r="V19">
        <v>1.05</v>
      </c>
      <c r="W19">
        <f t="shared" si="6"/>
        <v>0.60352961899489055</v>
      </c>
      <c r="X19">
        <f t="shared" si="7"/>
        <v>2.5657778125782249</v>
      </c>
      <c r="Y19">
        <f t="shared" si="17"/>
        <v>0.97579186369491633</v>
      </c>
      <c r="Z19">
        <f t="shared" si="8"/>
        <v>0.28920120487343687</v>
      </c>
      <c r="AA19">
        <f t="shared" si="9"/>
        <v>0.19301448204867261</v>
      </c>
      <c r="AB19">
        <f t="shared" si="10"/>
        <v>-13.337038127152908</v>
      </c>
      <c r="AC19">
        <f t="shared" si="11"/>
        <v>-8.9012129368630486</v>
      </c>
      <c r="AD19">
        <f t="shared" si="12"/>
        <v>0.99999999999999944</v>
      </c>
      <c r="AE19">
        <v>0</v>
      </c>
    </row>
    <row r="20" spans="1:31" ht="14.65" thickBot="1" x14ac:dyDescent="0.5">
      <c r="A20" s="8" t="s">
        <v>28</v>
      </c>
      <c r="B20" s="24">
        <v>1</v>
      </c>
      <c r="C20" s="25"/>
      <c r="D20" s="26" t="e">
        <f>((R_1)/Alpha1)^(1/(Alpha1-1))</f>
        <v>#REF!</v>
      </c>
      <c r="F20" s="7">
        <f t="shared" si="18"/>
        <v>19</v>
      </c>
      <c r="G20">
        <f t="shared" si="0"/>
        <v>1.4556283985137008</v>
      </c>
      <c r="H20">
        <v>1.0084680185566501</v>
      </c>
      <c r="I20">
        <f t="shared" si="13"/>
        <v>3.8157807104068975</v>
      </c>
      <c r="J20">
        <f t="shared" si="14"/>
        <v>0.15469275890465753</v>
      </c>
      <c r="K20">
        <f t="shared" si="1"/>
        <v>8.1325170781893524E-2</v>
      </c>
      <c r="L20">
        <f t="shared" si="2"/>
        <v>8.3532865429138433E-6</v>
      </c>
      <c r="M20">
        <f t="shared" si="3"/>
        <v>0.69638301311327166</v>
      </c>
      <c r="N20">
        <f t="shared" si="15"/>
        <v>0.32503945287895453</v>
      </c>
      <c r="O20">
        <f t="shared" si="16"/>
        <v>1.0475752247520345</v>
      </c>
      <c r="P20">
        <f t="shared" si="4"/>
        <v>2.2682052910250707</v>
      </c>
      <c r="Q20">
        <f t="shared" si="5"/>
        <v>-3.2634778413120468E-4</v>
      </c>
      <c r="R20">
        <f t="shared" si="19"/>
        <v>-7.8998889268167005E-4</v>
      </c>
      <c r="S20">
        <f t="shared" si="20"/>
        <v>6.2408245056041125E-7</v>
      </c>
      <c r="T20">
        <v>0</v>
      </c>
      <c r="U20">
        <v>0</v>
      </c>
      <c r="V20">
        <v>1.05</v>
      </c>
      <c r="W20">
        <f t="shared" si="6"/>
        <v>0.60371874122980684</v>
      </c>
      <c r="X20">
        <f t="shared" si="7"/>
        <v>2.5641705421838088</v>
      </c>
      <c r="Y20">
        <f t="shared" si="17"/>
        <v>0.97588321755506235</v>
      </c>
      <c r="Z20">
        <f t="shared" si="8"/>
        <v>0.28916372461757001</v>
      </c>
      <c r="AA20">
        <f t="shared" si="9"/>
        <v>0.18845323455637514</v>
      </c>
      <c r="AB20">
        <f t="shared" si="10"/>
        <v>-13.333743662838108</v>
      </c>
      <c r="AC20">
        <f t="shared" si="11"/>
        <v>-8.6898421485290616</v>
      </c>
      <c r="AD20">
        <f t="shared" si="12"/>
        <v>1.0000000000000016</v>
      </c>
      <c r="AE20">
        <v>0</v>
      </c>
    </row>
    <row r="21" spans="1:31" ht="14.65" thickBot="1" x14ac:dyDescent="0.5">
      <c r="A21" s="10" t="s">
        <v>29</v>
      </c>
      <c r="B21" s="27">
        <v>3.71</v>
      </c>
      <c r="C21" s="28"/>
      <c r="F21" s="7">
        <f t="shared" si="18"/>
        <v>20</v>
      </c>
      <c r="G21">
        <f t="shared" si="0"/>
        <v>1.4556283985137008</v>
      </c>
      <c r="H21">
        <v>1.0077654153406033</v>
      </c>
      <c r="I21">
        <f t="shared" si="13"/>
        <v>3.817842240895279</v>
      </c>
      <c r="J21">
        <f t="shared" si="14"/>
        <v>0.15460663655394069</v>
      </c>
      <c r="K21">
        <f t="shared" si="1"/>
        <v>8.1279877152709012E-2</v>
      </c>
      <c r="L21">
        <f t="shared" si="2"/>
        <v>7.0391489657567542E-6</v>
      </c>
      <c r="M21">
        <f t="shared" si="3"/>
        <v>0.6964088009565963</v>
      </c>
      <c r="N21">
        <f t="shared" si="15"/>
        <v>0.32498111340235264</v>
      </c>
      <c r="O21">
        <f t="shared" si="16"/>
        <v>1.0476104909512727</v>
      </c>
      <c r="P21">
        <f t="shared" si="4"/>
        <v>2.2687372041526888</v>
      </c>
      <c r="Q21">
        <f t="shared" si="5"/>
        <v>-2.9933329554640895E-4</v>
      </c>
      <c r="R21">
        <f t="shared" si="19"/>
        <v>-4.5219314502542574E-4</v>
      </c>
      <c r="S21">
        <f t="shared" si="20"/>
        <v>2.0447864040798571E-7</v>
      </c>
      <c r="T21">
        <v>0</v>
      </c>
      <c r="U21">
        <v>0</v>
      </c>
      <c r="V21">
        <v>1.05</v>
      </c>
      <c r="W21">
        <f t="shared" si="6"/>
        <v>0.6038644635958873</v>
      </c>
      <c r="X21">
        <f t="shared" si="7"/>
        <v>2.5629331389710246</v>
      </c>
      <c r="Y21">
        <f t="shared" si="17"/>
        <v>0.97602368802976558</v>
      </c>
      <c r="Z21">
        <f t="shared" si="8"/>
        <v>0.28913939080144468</v>
      </c>
      <c r="AA21">
        <f t="shared" si="9"/>
        <v>0.1840081400882857</v>
      </c>
      <c r="AB21">
        <f t="shared" si="10"/>
        <v>-13.331108333364392</v>
      </c>
      <c r="AC21">
        <f t="shared" si="11"/>
        <v>-8.4839095874776653</v>
      </c>
      <c r="AD21">
        <f t="shared" si="12"/>
        <v>0.99999999999999944</v>
      </c>
      <c r="AE21">
        <v>0</v>
      </c>
    </row>
    <row r="22" spans="1:31" ht="14.65" thickBot="1" x14ac:dyDescent="0.5">
      <c r="A22" s="3" t="s">
        <v>30</v>
      </c>
      <c r="B22" s="3">
        <v>0.33</v>
      </c>
      <c r="F22" s="7">
        <f t="shared" si="18"/>
        <v>21</v>
      </c>
      <c r="G22">
        <f t="shared" si="0"/>
        <v>1.4556283985137008</v>
      </c>
      <c r="H22">
        <v>1.0071920104876388</v>
      </c>
      <c r="I22">
        <f t="shared" si="13"/>
        <v>3.819735187813408</v>
      </c>
      <c r="J22">
        <f t="shared" si="14"/>
        <v>0.1545442203982558</v>
      </c>
      <c r="K22">
        <f t="shared" si="1"/>
        <v>8.1240885808302521E-2</v>
      </c>
      <c r="L22">
        <f t="shared" si="2"/>
        <v>6.0462992442085609E-6</v>
      </c>
      <c r="M22">
        <f t="shared" si="3"/>
        <v>0.69645436859054777</v>
      </c>
      <c r="N22">
        <f t="shared" si="15"/>
        <v>0.32494078411448762</v>
      </c>
      <c r="O22">
        <f t="shared" si="16"/>
        <v>1.0476728067391128</v>
      </c>
      <c r="P22">
        <f t="shared" si="4"/>
        <v>2.269195412134581</v>
      </c>
      <c r="Q22">
        <f t="shared" si="5"/>
        <v>-2.7722707952486879E-4</v>
      </c>
      <c r="R22">
        <f t="shared" si="19"/>
        <v>-3.0464543297625823E-4</v>
      </c>
      <c r="S22">
        <f t="shared" si="20"/>
        <v>9.2808839833291842E-8</v>
      </c>
      <c r="T22">
        <v>0</v>
      </c>
      <c r="U22">
        <v>0</v>
      </c>
      <c r="V22">
        <v>1.05</v>
      </c>
      <c r="W22">
        <f t="shared" si="6"/>
        <v>0.60399995807523388</v>
      </c>
      <c r="X22">
        <f t="shared" si="7"/>
        <v>2.5617833894186459</v>
      </c>
      <c r="Y22">
        <f t="shared" si="17"/>
        <v>0.97605685715516743</v>
      </c>
      <c r="Z22">
        <f t="shared" si="8"/>
        <v>0.28912862826562302</v>
      </c>
      <c r="AA22">
        <f t="shared" si="9"/>
        <v>0.17967632567090028</v>
      </c>
      <c r="AB22">
        <f t="shared" si="10"/>
        <v>-13.329191411755176</v>
      </c>
      <c r="AC22">
        <f t="shared" si="11"/>
        <v>-8.2833033566916594</v>
      </c>
      <c r="AD22">
        <f t="shared" si="12"/>
        <v>1.0000000000000016</v>
      </c>
      <c r="AE22">
        <v>0</v>
      </c>
    </row>
    <row r="23" spans="1:31" ht="14.65" thickBot="1" x14ac:dyDescent="0.5">
      <c r="A23" s="4" t="s">
        <v>31</v>
      </c>
      <c r="B23" s="14">
        <f>1</f>
        <v>1</v>
      </c>
      <c r="C23" s="15"/>
      <c r="F23" s="7">
        <f t="shared" si="18"/>
        <v>22</v>
      </c>
      <c r="G23">
        <f t="shared" si="0"/>
        <v>1.4556283985137008</v>
      </c>
      <c r="H23">
        <v>1.0066831834905527</v>
      </c>
      <c r="I23">
        <f t="shared" si="13"/>
        <v>3.8214900006991273</v>
      </c>
      <c r="J23">
        <f t="shared" si="14"/>
        <v>0.15449127358890152</v>
      </c>
      <c r="K23">
        <f t="shared" si="1"/>
        <v>8.1204245807442094E-2</v>
      </c>
      <c r="L23">
        <f t="shared" si="2"/>
        <v>5.2251058009544478E-6</v>
      </c>
      <c r="M23">
        <f t="shared" si="3"/>
        <v>0.69649206549410636</v>
      </c>
      <c r="N23">
        <f t="shared" si="15"/>
        <v>0.32490069508809993</v>
      </c>
      <c r="O23">
        <f t="shared" si="16"/>
        <v>1.0477243586691745</v>
      </c>
      <c r="P23">
        <f t="shared" si="4"/>
        <v>2.2696262471884423</v>
      </c>
      <c r="Q23">
        <f t="shared" si="5"/>
        <v>-2.5755117563640236E-4</v>
      </c>
      <c r="R23">
        <f t="shared" si="19"/>
        <v>-1.882343794097352E-4</v>
      </c>
      <c r="S23">
        <f t="shared" si="20"/>
        <v>3.5432181591768144E-8</v>
      </c>
      <c r="T23">
        <v>0</v>
      </c>
      <c r="U23">
        <v>0</v>
      </c>
      <c r="V23">
        <v>1.05</v>
      </c>
      <c r="W23">
        <f t="shared" si="6"/>
        <v>0.60411520500875038</v>
      </c>
      <c r="X23">
        <f t="shared" si="7"/>
        <v>2.5608060608683934</v>
      </c>
      <c r="Y23">
        <f t="shared" si="17"/>
        <v>0.9761223836049302</v>
      </c>
      <c r="Z23">
        <f t="shared" si="8"/>
        <v>0.28911788007152261</v>
      </c>
      <c r="AA23">
        <f t="shared" si="9"/>
        <v>0.17544649681151775</v>
      </c>
      <c r="AB23">
        <f t="shared" si="10"/>
        <v>-13.327339354042733</v>
      </c>
      <c r="AC23">
        <f t="shared" si="11"/>
        <v>-8.0874797536099674</v>
      </c>
      <c r="AD23">
        <f t="shared" si="12"/>
        <v>0.99999999999999944</v>
      </c>
      <c r="AE23">
        <v>0</v>
      </c>
    </row>
    <row r="24" spans="1:31" ht="14.65" thickBot="1" x14ac:dyDescent="0.5">
      <c r="A24" s="8" t="s">
        <v>53</v>
      </c>
      <c r="B24" s="29">
        <f>(ybar - Delta*kbar - tauw * lbar *mpl - tauk * mpk *kbar)/(1+tauc)</f>
        <v>0.57612750705935167</v>
      </c>
      <c r="C24" s="30"/>
      <c r="F24" s="7">
        <f t="shared" si="18"/>
        <v>23</v>
      </c>
      <c r="G24">
        <f t="shared" si="0"/>
        <v>1.4556283985137008</v>
      </c>
      <c r="H24">
        <v>1.0062468821866222</v>
      </c>
      <c r="I24">
        <f t="shared" si="13"/>
        <v>3.8231216742600633</v>
      </c>
      <c r="J24">
        <f t="shared" si="14"/>
        <v>0.15445109321541323</v>
      </c>
      <c r="K24">
        <f t="shared" si="1"/>
        <v>8.1171388116367468E-2</v>
      </c>
      <c r="L24">
        <f t="shared" si="2"/>
        <v>4.5696293816170906E-6</v>
      </c>
      <c r="M24">
        <f t="shared" si="3"/>
        <v>0.69653724011935303</v>
      </c>
      <c r="N24">
        <f t="shared" si="15"/>
        <v>0.32486954972654325</v>
      </c>
      <c r="O24">
        <f t="shared" si="16"/>
        <v>1.0477861363301038</v>
      </c>
      <c r="P24">
        <f t="shared" si="4"/>
        <v>2.2700128211874402</v>
      </c>
      <c r="Q24">
        <f t="shared" si="5"/>
        <v>-2.4072092253411056E-4</v>
      </c>
      <c r="R24">
        <f t="shared" si="19"/>
        <v>-1.0104154996670722E-4</v>
      </c>
      <c r="S24">
        <f t="shared" si="20"/>
        <v>1.0209394819674593E-8</v>
      </c>
      <c r="T24">
        <v>0</v>
      </c>
      <c r="U24">
        <v>0</v>
      </c>
      <c r="V24">
        <v>1.05</v>
      </c>
      <c r="W24">
        <f t="shared" si="6"/>
        <v>0.60422167952009975</v>
      </c>
      <c r="X24">
        <f t="shared" si="7"/>
        <v>2.5599036220469058</v>
      </c>
      <c r="Y24">
        <f t="shared" si="17"/>
        <v>0.9761507986226754</v>
      </c>
      <c r="Z24">
        <f t="shared" si="8"/>
        <v>0.28911336359459067</v>
      </c>
      <c r="AA24">
        <f t="shared" si="9"/>
        <v>0.17131993645788729</v>
      </c>
      <c r="AB24">
        <f t="shared" si="10"/>
        <v>-13.325854175422084</v>
      </c>
      <c r="AC24">
        <f t="shared" si="11"/>
        <v>-7.8965028188102</v>
      </c>
      <c r="AD24">
        <f t="shared" si="12"/>
        <v>0.99999999999999944</v>
      </c>
      <c r="AE24">
        <v>0</v>
      </c>
    </row>
    <row r="25" spans="1:31" ht="14.65" thickBot="1" x14ac:dyDescent="0.5">
      <c r="A25" s="31"/>
      <c r="B25" s="32"/>
      <c r="C25" s="33"/>
      <c r="F25" s="7">
        <f t="shared" si="18"/>
        <v>24</v>
      </c>
      <c r="G25">
        <f t="shared" si="0"/>
        <v>1.4556283985137008</v>
      </c>
      <c r="H25">
        <v>1.0058056387221124</v>
      </c>
      <c r="I25">
        <f t="shared" si="13"/>
        <v>3.8246479005050737</v>
      </c>
      <c r="J25">
        <f t="shared" si="14"/>
        <v>0.15440457785249795</v>
      </c>
      <c r="K25">
        <f t="shared" si="1"/>
        <v>8.1140587372952877E-2</v>
      </c>
      <c r="L25">
        <f t="shared" si="2"/>
        <v>3.9466405407112575E-6</v>
      </c>
      <c r="M25">
        <f t="shared" si="3"/>
        <v>0.69657869753171286</v>
      </c>
      <c r="N25">
        <f t="shared" si="15"/>
        <v>0.3248399626283166</v>
      </c>
      <c r="O25">
        <f t="shared" si="16"/>
        <v>1.0478428302699119</v>
      </c>
      <c r="P25">
        <f t="shared" si="4"/>
        <v>2.2703753785739096</v>
      </c>
      <c r="Q25">
        <f t="shared" si="5"/>
        <v>-2.2358757254616358E-4</v>
      </c>
      <c r="R25">
        <f t="shared" si="19"/>
        <v>-1.276329004684662E-4</v>
      </c>
      <c r="S25">
        <f t="shared" si="20"/>
        <v>1.6290157281993401E-8</v>
      </c>
      <c r="T25">
        <v>0</v>
      </c>
      <c r="U25">
        <v>0</v>
      </c>
      <c r="V25">
        <v>1.05</v>
      </c>
      <c r="W25">
        <f t="shared" si="6"/>
        <v>0.60433076269523345</v>
      </c>
      <c r="X25">
        <f t="shared" si="7"/>
        <v>2.558979567769359</v>
      </c>
      <c r="Y25">
        <f t="shared" si="17"/>
        <v>0.97614243192835393</v>
      </c>
      <c r="Z25">
        <f t="shared" si="8"/>
        <v>0.28910748972218037</v>
      </c>
      <c r="AA25">
        <f t="shared" si="9"/>
        <v>0.16728964869911156</v>
      </c>
      <c r="AB25">
        <f t="shared" si="10"/>
        <v>-13.324421676116433</v>
      </c>
      <c r="AC25">
        <f t="shared" si="11"/>
        <v>-7.710065980851458</v>
      </c>
      <c r="AD25">
        <f t="shared" si="12"/>
        <v>0.99999999999999944</v>
      </c>
      <c r="AE25">
        <v>0</v>
      </c>
    </row>
    <row r="26" spans="1:31" ht="14.65" thickBot="1" x14ac:dyDescent="0.5">
      <c r="F26" s="7">
        <f t="shared" si="18"/>
        <v>25</v>
      </c>
      <c r="G26">
        <f t="shared" si="0"/>
        <v>1.4556283985137008</v>
      </c>
      <c r="H26">
        <v>1.0053593587505172</v>
      </c>
      <c r="I26">
        <f t="shared" si="13"/>
        <v>3.8260665623373686</v>
      </c>
      <c r="J26">
        <f t="shared" si="14"/>
        <v>0.15435242669975088</v>
      </c>
      <c r="K26">
        <f t="shared" si="1"/>
        <v>8.1110971142037053E-2</v>
      </c>
      <c r="L26">
        <f t="shared" si="2"/>
        <v>3.362753067752008E-6</v>
      </c>
      <c r="M26">
        <f t="shared" si="3"/>
        <v>0.69660856571558527</v>
      </c>
      <c r="N26">
        <f t="shared" si="15"/>
        <v>0.32480726357669848</v>
      </c>
      <c r="O26">
        <f t="shared" si="16"/>
        <v>1.0478836754901248</v>
      </c>
      <c r="P26">
        <f t="shared" si="4"/>
        <v>2.2707241606704542</v>
      </c>
      <c r="Q26">
        <f t="shared" si="5"/>
        <v>-2.0627484231202105E-4</v>
      </c>
      <c r="R26">
        <f t="shared" si="19"/>
        <v>-1.254426899257588E-4</v>
      </c>
      <c r="S26">
        <f t="shared" si="20"/>
        <v>1.5735868455810068E-8</v>
      </c>
      <c r="T26">
        <v>0</v>
      </c>
      <c r="U26">
        <v>0</v>
      </c>
      <c r="V26">
        <v>1.05</v>
      </c>
      <c r="W26">
        <f t="shared" si="6"/>
        <v>0.60443410119623475</v>
      </c>
      <c r="X26">
        <f t="shared" si="7"/>
        <v>2.5581046386192536</v>
      </c>
      <c r="Y26">
        <f t="shared" si="17"/>
        <v>0.9761610505684889</v>
      </c>
      <c r="Z26">
        <f t="shared" si="8"/>
        <v>0.28909714759413913</v>
      </c>
      <c r="AA26">
        <f t="shared" si="9"/>
        <v>0.16335164832285523</v>
      </c>
      <c r="AB26">
        <f t="shared" si="10"/>
        <v>-13.322885768048684</v>
      </c>
      <c r="AC26">
        <f t="shared" si="11"/>
        <v>-7.5279724090642741</v>
      </c>
      <c r="AD26">
        <f t="shared" si="12"/>
        <v>1.0000000000000016</v>
      </c>
      <c r="AE26">
        <v>0</v>
      </c>
    </row>
    <row r="27" spans="1:31" ht="14.65" thickBot="1" x14ac:dyDescent="0.5">
      <c r="A27" s="34"/>
      <c r="B27" s="35"/>
      <c r="F27" s="7">
        <f t="shared" si="18"/>
        <v>26</v>
      </c>
      <c r="G27">
        <f t="shared" si="0"/>
        <v>1.4556283985137008</v>
      </c>
      <c r="H27">
        <v>1.0049520940521519</v>
      </c>
      <c r="I27">
        <f t="shared" si="13"/>
        <v>3.8273763265436247</v>
      </c>
      <c r="J27">
        <f t="shared" si="14"/>
        <v>0.15430579859126062</v>
      </c>
      <c r="K27">
        <f t="shared" si="1"/>
        <v>8.1083567543988391E-2</v>
      </c>
      <c r="L27">
        <f t="shared" si="2"/>
        <v>2.8725384156943766E-6</v>
      </c>
      <c r="M27">
        <f t="shared" si="3"/>
        <v>0.69663544454902593</v>
      </c>
      <c r="N27">
        <f t="shared" si="15"/>
        <v>0.32477667586262593</v>
      </c>
      <c r="O27">
        <f t="shared" si="16"/>
        <v>1.0479204325896003</v>
      </c>
      <c r="P27">
        <f t="shared" si="4"/>
        <v>2.2710470317518148</v>
      </c>
      <c r="Q27">
        <f t="shared" si="5"/>
        <v>-1.9055347420819264E-4</v>
      </c>
      <c r="R27">
        <f t="shared" si="19"/>
        <v>-6.3213846363208148E-5</v>
      </c>
      <c r="S27">
        <f t="shared" si="20"/>
        <v>3.995990372031284E-9</v>
      </c>
      <c r="T27">
        <v>0</v>
      </c>
      <c r="U27">
        <v>0</v>
      </c>
      <c r="V27">
        <v>1.05</v>
      </c>
      <c r="W27">
        <f t="shared" si="6"/>
        <v>0.60452712922363327</v>
      </c>
      <c r="X27">
        <f t="shared" si="7"/>
        <v>2.5573173882001763</v>
      </c>
      <c r="Y27">
        <f t="shared" si="17"/>
        <v>0.9761944056245796</v>
      </c>
      <c r="Z27">
        <f t="shared" si="8"/>
        <v>0.28908750477470635</v>
      </c>
      <c r="AA27">
        <f t="shared" si="9"/>
        <v>0.15950673416954875</v>
      </c>
      <c r="AB27">
        <f t="shared" si="10"/>
        <v>-13.32145908164089</v>
      </c>
      <c r="AC27">
        <f t="shared" si="11"/>
        <v>-7.3502396243026036</v>
      </c>
      <c r="AD27">
        <f t="shared" si="12"/>
        <v>0.99999999999999944</v>
      </c>
      <c r="AE27">
        <v>0</v>
      </c>
    </row>
    <row r="28" spans="1:31" ht="14.65" thickBot="1" x14ac:dyDescent="0.5">
      <c r="A28" s="8"/>
      <c r="B28" s="36"/>
      <c r="F28" s="7">
        <f t="shared" si="18"/>
        <v>27</v>
      </c>
      <c r="G28">
        <f t="shared" si="0"/>
        <v>1.4556283985137008</v>
      </c>
      <c r="H28">
        <v>1.0045567849534351</v>
      </c>
      <c r="I28">
        <f t="shared" si="13"/>
        <v>3.8285870720731401</v>
      </c>
      <c r="J28">
        <f t="shared" si="14"/>
        <v>0.15425775511880685</v>
      </c>
      <c r="K28">
        <f t="shared" si="1"/>
        <v>8.105851674945827E-2</v>
      </c>
      <c r="L28">
        <f t="shared" si="2"/>
        <v>2.4322339918407068E-6</v>
      </c>
      <c r="M28">
        <f t="shared" si="3"/>
        <v>0.69666255742344285</v>
      </c>
      <c r="N28">
        <f t="shared" si="15"/>
        <v>0.32474978280109651</v>
      </c>
      <c r="O28">
        <f t="shared" si="16"/>
        <v>1.0479575096120586</v>
      </c>
      <c r="P28">
        <f t="shared" si="4"/>
        <v>2.271342305270875</v>
      </c>
      <c r="Q28">
        <f t="shared" si="5"/>
        <v>-1.7525932227453351E-4</v>
      </c>
      <c r="R28">
        <f t="shared" si="19"/>
        <v>-6.3834307725274542E-5</v>
      </c>
      <c r="S28">
        <f t="shared" si="20"/>
        <v>4.0748188427650452E-9</v>
      </c>
      <c r="T28">
        <v>0</v>
      </c>
      <c r="U28">
        <v>0</v>
      </c>
      <c r="V28">
        <v>1.05</v>
      </c>
      <c r="W28">
        <f t="shared" si="6"/>
        <v>0.60462105271163913</v>
      </c>
      <c r="X28">
        <f t="shared" si="7"/>
        <v>2.5565229285567139</v>
      </c>
      <c r="Y28">
        <f t="shared" si="17"/>
        <v>0.97619156031850873</v>
      </c>
      <c r="Z28">
        <f t="shared" si="8"/>
        <v>0.28907870178161249</v>
      </c>
      <c r="AA28">
        <f t="shared" si="9"/>
        <v>0.15575277258214315</v>
      </c>
      <c r="AB28">
        <f t="shared" si="10"/>
        <v>-13.320171605683623</v>
      </c>
      <c r="AC28">
        <f t="shared" si="11"/>
        <v>-7.1767779710816626</v>
      </c>
      <c r="AD28">
        <f t="shared" si="12"/>
        <v>0.99999999999999944</v>
      </c>
      <c r="AE28">
        <v>0</v>
      </c>
    </row>
    <row r="29" spans="1:31" ht="14.65" thickBot="1" x14ac:dyDescent="0.5">
      <c r="A29" s="10" t="s">
        <v>32</v>
      </c>
      <c r="B29" s="37">
        <v>0.9</v>
      </c>
      <c r="F29" s="7">
        <f t="shared" si="18"/>
        <v>28</v>
      </c>
      <c r="G29">
        <f t="shared" si="0"/>
        <v>1.4556283985137008</v>
      </c>
      <c r="H29">
        <v>1.0041927702423095</v>
      </c>
      <c r="I29">
        <f t="shared" si="13"/>
        <v>3.8297013443090213</v>
      </c>
      <c r="J29">
        <f t="shared" si="14"/>
        <v>0.15421364194598422</v>
      </c>
      <c r="K29">
        <f t="shared" si="1"/>
        <v>8.1034586924529264E-2</v>
      </c>
      <c r="L29">
        <f t="shared" si="2"/>
        <v>2.0598821043300111E-6</v>
      </c>
      <c r="M29">
        <f t="shared" si="3"/>
        <v>0.6966798608172462</v>
      </c>
      <c r="N29">
        <f t="shared" si="15"/>
        <v>0.32472044272631667</v>
      </c>
      <c r="O29">
        <f t="shared" si="16"/>
        <v>1.047981172040894</v>
      </c>
      <c r="P29">
        <f t="shared" si="4"/>
        <v>2.2716244760179873</v>
      </c>
      <c r="Q29">
        <f t="shared" si="5"/>
        <v>-1.6121695421389138E-4</v>
      </c>
      <c r="R29">
        <f t="shared" si="19"/>
        <v>8.0138373488303216E-6</v>
      </c>
      <c r="S29">
        <f t="shared" si="20"/>
        <v>6.4221589053507799E-11</v>
      </c>
      <c r="T29">
        <v>0</v>
      </c>
      <c r="U29">
        <v>0</v>
      </c>
      <c r="V29">
        <v>1.05</v>
      </c>
      <c r="W29">
        <f t="shared" si="6"/>
        <v>0.60469992055977229</v>
      </c>
      <c r="X29">
        <f t="shared" si="7"/>
        <v>2.5558561042142065</v>
      </c>
      <c r="Y29">
        <f t="shared" si="17"/>
        <v>0.97624021789747661</v>
      </c>
      <c r="Z29">
        <f t="shared" si="8"/>
        <v>0.28906760953513755</v>
      </c>
      <c r="AA29">
        <f t="shared" si="9"/>
        <v>0.15208595521222307</v>
      </c>
      <c r="AB29">
        <f t="shared" si="10"/>
        <v>-13.318831622017097</v>
      </c>
      <c r="AC29">
        <f t="shared" si="11"/>
        <v>-7.0073822273021227</v>
      </c>
      <c r="AD29">
        <f t="shared" si="12"/>
        <v>0.99999999999999944</v>
      </c>
      <c r="AE29">
        <v>0</v>
      </c>
    </row>
    <row r="30" spans="1:31" ht="14.65" thickBot="1" x14ac:dyDescent="0.5">
      <c r="A30" s="3" t="s">
        <v>33</v>
      </c>
      <c r="B30" s="3">
        <v>0.01</v>
      </c>
      <c r="F30" s="7">
        <f t="shared" si="18"/>
        <v>29</v>
      </c>
      <c r="G30">
        <f t="shared" si="0"/>
        <v>1.4556283985137008</v>
      </c>
      <c r="H30">
        <v>1.0038827975738192</v>
      </c>
      <c r="I30">
        <f t="shared" si="13"/>
        <v>3.8307269324826447</v>
      </c>
      <c r="J30">
        <f t="shared" si="14"/>
        <v>0.15417938411156987</v>
      </c>
      <c r="K30">
        <f t="shared" si="1"/>
        <v>8.1013503083628841E-2</v>
      </c>
      <c r="L30">
        <f t="shared" si="2"/>
        <v>1.7681037829487659E-6</v>
      </c>
      <c r="M30">
        <f t="shared" si="3"/>
        <v>0.69670377253189042</v>
      </c>
      <c r="N30">
        <f t="shared" si="15"/>
        <v>0.32469825802579666</v>
      </c>
      <c r="O30">
        <f t="shared" si="16"/>
        <v>1.0480138712749891</v>
      </c>
      <c r="P30">
        <f t="shared" si="4"/>
        <v>2.2718731772782088</v>
      </c>
      <c r="Q30">
        <f t="shared" si="5"/>
        <v>-1.4930643745225607E-4</v>
      </c>
      <c r="R30">
        <f t="shared" si="19"/>
        <v>7.2869833618316449E-5</v>
      </c>
      <c r="S30">
        <f t="shared" si="20"/>
        <v>5.3100126515611222E-9</v>
      </c>
      <c r="T30">
        <v>0</v>
      </c>
      <c r="U30">
        <v>0</v>
      </c>
      <c r="V30">
        <v>1.05</v>
      </c>
      <c r="W30">
        <f t="shared" si="6"/>
        <v>0.60477294560789807</v>
      </c>
      <c r="X30">
        <f t="shared" si="7"/>
        <v>2.5552389130912072</v>
      </c>
      <c r="Y30">
        <f t="shared" si="17"/>
        <v>0.9762591144016094</v>
      </c>
      <c r="Z30">
        <f t="shared" si="8"/>
        <v>0.28906154155552111</v>
      </c>
      <c r="AA30">
        <f t="shared" si="9"/>
        <v>0.14850804511699733</v>
      </c>
      <c r="AB30">
        <f t="shared" si="10"/>
        <v>-13.317781857669035</v>
      </c>
      <c r="AC30">
        <f t="shared" si="11"/>
        <v>-6.8421338180581133</v>
      </c>
      <c r="AD30">
        <f t="shared" si="12"/>
        <v>0.99999999999999722</v>
      </c>
      <c r="AE30">
        <v>0</v>
      </c>
    </row>
    <row r="31" spans="1:31" ht="14.65" thickBot="1" x14ac:dyDescent="0.5">
      <c r="A31" s="3" t="s">
        <v>46</v>
      </c>
      <c r="B31" s="3">
        <v>-0.1</v>
      </c>
      <c r="F31" s="7">
        <f t="shared" si="18"/>
        <v>30</v>
      </c>
      <c r="G31">
        <f t="shared" si="0"/>
        <v>1.4556283985137008</v>
      </c>
      <c r="H31">
        <v>1.0036014453172915</v>
      </c>
      <c r="I31">
        <f t="shared" si="13"/>
        <v>3.8316772392949083</v>
      </c>
      <c r="J31">
        <f t="shared" si="14"/>
        <v>0.1541488208708266</v>
      </c>
      <c r="K31">
        <f t="shared" si="1"/>
        <v>8.0993805596394866E-2</v>
      </c>
      <c r="L31">
        <f t="shared" si="2"/>
        <v>1.5217554255026515E-6</v>
      </c>
      <c r="M31">
        <f t="shared" si="3"/>
        <v>0.69672445139069317</v>
      </c>
      <c r="N31">
        <f t="shared" si="15"/>
        <v>0.32467682302359402</v>
      </c>
      <c r="O31">
        <f t="shared" si="16"/>
        <v>1.0480421495012782</v>
      </c>
      <c r="P31">
        <f t="shared" si="4"/>
        <v>2.2721056008980578</v>
      </c>
      <c r="Q31">
        <f t="shared" si="5"/>
        <v>-1.3846691715122022E-4</v>
      </c>
      <c r="R31">
        <f t="shared" si="19"/>
        <v>1.2060803215319105E-4</v>
      </c>
      <c r="S31">
        <f t="shared" si="20"/>
        <v>1.4546297419865165E-8</v>
      </c>
      <c r="T31">
        <v>0</v>
      </c>
      <c r="U31">
        <v>0</v>
      </c>
      <c r="V31">
        <v>1.05</v>
      </c>
      <c r="W31">
        <f t="shared" si="6"/>
        <v>0.60483772083225829</v>
      </c>
      <c r="X31">
        <f t="shared" si="7"/>
        <v>2.5546916346884423</v>
      </c>
      <c r="Y31">
        <f t="shared" si="17"/>
        <v>0.97628577487509172</v>
      </c>
      <c r="Z31">
        <f t="shared" si="8"/>
        <v>0.28905560779819323</v>
      </c>
      <c r="AA31">
        <f t="shared" si="9"/>
        <v>0.14501437470016557</v>
      </c>
      <c r="AB31">
        <f t="shared" si="10"/>
        <v>-13.316783423200329</v>
      </c>
      <c r="AC31">
        <f t="shared" si="11"/>
        <v>-6.6808080142183517</v>
      </c>
      <c r="AD31">
        <f t="shared" si="12"/>
        <v>0.99999999999999944</v>
      </c>
      <c r="AE31">
        <v>0</v>
      </c>
    </row>
    <row r="32" spans="1:31" ht="14.65" thickBot="1" x14ac:dyDescent="0.5">
      <c r="A32" s="38" t="s">
        <v>34</v>
      </c>
      <c r="B32" s="39"/>
      <c r="C32" s="39"/>
      <c r="F32" s="7">
        <f t="shared" si="18"/>
        <v>31</v>
      </c>
      <c r="G32">
        <f t="shared" si="0"/>
        <v>1.4556283985137008</v>
      </c>
      <c r="H32">
        <v>1.0033558149299988</v>
      </c>
      <c r="I32">
        <f t="shared" si="13"/>
        <v>3.8325589705939382</v>
      </c>
      <c r="J32">
        <f t="shared" si="14"/>
        <v>0.15412431621756717</v>
      </c>
      <c r="K32">
        <f t="shared" si="1"/>
        <v>8.0975869517802945E-2</v>
      </c>
      <c r="L32">
        <f t="shared" si="2"/>
        <v>1.322120473074471E-6</v>
      </c>
      <c r="M32">
        <f t="shared" si="3"/>
        <v>0.69674648513170023</v>
      </c>
      <c r="N32">
        <f t="shared" si="15"/>
        <v>0.3246586574919027</v>
      </c>
      <c r="O32">
        <f t="shared" si="16"/>
        <v>1.048072280437607</v>
      </c>
      <c r="P32">
        <f t="shared" si="4"/>
        <v>2.2723173040100026</v>
      </c>
      <c r="Q32">
        <f t="shared" si="5"/>
        <v>-1.2902516583644975E-4</v>
      </c>
      <c r="R32">
        <f t="shared" si="19"/>
        <v>1.6972437634987791E-4</v>
      </c>
      <c r="S32">
        <f t="shared" si="20"/>
        <v>2.8806363927354997E-8</v>
      </c>
      <c r="T32">
        <v>0</v>
      </c>
      <c r="U32">
        <v>0</v>
      </c>
      <c r="V32">
        <v>1.05</v>
      </c>
      <c r="W32">
        <f t="shared" si="6"/>
        <v>0.60489611395080312</v>
      </c>
      <c r="X32">
        <f t="shared" si="7"/>
        <v>2.5541984286395949</v>
      </c>
      <c r="Y32">
        <f t="shared" si="17"/>
        <v>0.97630639846731537</v>
      </c>
      <c r="Z32">
        <f t="shared" si="8"/>
        <v>0.28905185026923663</v>
      </c>
      <c r="AA32">
        <f t="shared" si="9"/>
        <v>0.14160395937423012</v>
      </c>
      <c r="AB32">
        <f t="shared" si="10"/>
        <v>-13.315927751839451</v>
      </c>
      <c r="AC32">
        <f t="shared" si="11"/>
        <v>-6.5233558984152173</v>
      </c>
      <c r="AD32">
        <f t="shared" si="12"/>
        <v>0.99999999999999944</v>
      </c>
      <c r="AE32">
        <v>0</v>
      </c>
    </row>
    <row r="33" spans="1:31" ht="14.65" thickBot="1" x14ac:dyDescent="0.5">
      <c r="A33" s="3" t="s">
        <v>35</v>
      </c>
      <c r="B33" s="3">
        <f>( alpha*kbar^(rhoc)+(1-alpha)*lbar^(rhoc))^(1/rhoc)</f>
        <v>0.72133794660239103</v>
      </c>
      <c r="F33" s="7">
        <f t="shared" si="18"/>
        <v>32</v>
      </c>
      <c r="G33">
        <f t="shared" si="0"/>
        <v>1.4556283985137008</v>
      </c>
      <c r="H33">
        <v>1.0030995644329734</v>
      </c>
      <c r="I33">
        <f t="shared" si="13"/>
        <v>3.8333809279877475</v>
      </c>
      <c r="J33">
        <f t="shared" si="14"/>
        <v>0.15409430972192595</v>
      </c>
      <c r="K33">
        <f t="shared" si="1"/>
        <v>8.095929397842401E-2</v>
      </c>
      <c r="L33">
        <f t="shared" si="2"/>
        <v>1.1273166427288289E-6</v>
      </c>
      <c r="M33">
        <f t="shared" si="3"/>
        <v>0.69676820317943866</v>
      </c>
      <c r="N33">
        <f t="shared" si="15"/>
        <v>0.32464244005115633</v>
      </c>
      <c r="O33">
        <f t="shared" si="16"/>
        <v>1.0481019795815512</v>
      </c>
      <c r="P33">
        <f t="shared" si="4"/>
        <v>2.2725130022588971</v>
      </c>
      <c r="Q33">
        <f t="shared" si="5"/>
        <v>-1.1910396766439177E-4</v>
      </c>
      <c r="R33">
        <f t="shared" si="19"/>
        <v>1.344171967661012E-4</v>
      </c>
      <c r="S33">
        <f t="shared" si="20"/>
        <v>1.8067982786456768E-8</v>
      </c>
      <c r="T33">
        <v>0</v>
      </c>
      <c r="U33">
        <v>0</v>
      </c>
      <c r="V33">
        <v>1.05</v>
      </c>
      <c r="W33">
        <f t="shared" si="6"/>
        <v>0.60495997853209971</v>
      </c>
      <c r="X33">
        <f t="shared" si="7"/>
        <v>2.5536591724617157</v>
      </c>
      <c r="Y33">
        <f t="shared" si="17"/>
        <v>0.97628875665207093</v>
      </c>
      <c r="Z33">
        <f t="shared" si="8"/>
        <v>0.28904769132752545</v>
      </c>
      <c r="AA33">
        <f t="shared" si="9"/>
        <v>0.13827355737629488</v>
      </c>
      <c r="AB33">
        <f t="shared" si="10"/>
        <v>-13.315131810113684</v>
      </c>
      <c r="AC33">
        <f t="shared" si="11"/>
        <v>-6.3696431335009809</v>
      </c>
      <c r="AD33">
        <f t="shared" si="12"/>
        <v>0.99999999999999944</v>
      </c>
      <c r="AE33">
        <v>0</v>
      </c>
    </row>
    <row r="34" spans="1:31" ht="14.65" thickBot="1" x14ac:dyDescent="0.5">
      <c r="A34" s="3" t="s">
        <v>36</v>
      </c>
      <c r="B34" s="3">
        <f>1/yhat</f>
        <v>1.3863127604892389</v>
      </c>
      <c r="F34" s="7">
        <f t="shared" si="18"/>
        <v>33</v>
      </c>
      <c r="G34">
        <f t="shared" si="0"/>
        <v>1.4556283985137008</v>
      </c>
      <c r="H34">
        <v>1.00279977552197</v>
      </c>
      <c r="I34">
        <f t="shared" si="13"/>
        <v>3.8341400005901636</v>
      </c>
      <c r="J34">
        <f t="shared" si="14"/>
        <v>0.15405074419208103</v>
      </c>
      <c r="K34">
        <f t="shared" ref="K34:K50" si="21">G34*(alpha*I34^(rhoc-1))*M34</f>
        <v>8.094296527137991E-2</v>
      </c>
      <c r="L34">
        <f t="shared" ref="L34:L50" si="22">(Phi/2)*((J34-Delta*I34)/I34)^2*I34</f>
        <v>9.1824215767225965E-7</v>
      </c>
      <c r="M34">
        <f t="shared" ref="M34:M50" si="23">(alpha* I34^rhoc + (1-alpha)*N34^rhoc)^(1/rhoc-1)</f>
        <v>0.69677941140634025</v>
      </c>
      <c r="N34">
        <f t="shared" si="15"/>
        <v>0.32462214588433641</v>
      </c>
      <c r="O34">
        <f t="shared" si="16"/>
        <v>1.0481173066511433</v>
      </c>
      <c r="P34">
        <f t="shared" ref="P34:P50" si="24">G34*(1-alpha)*N34^(rhoc-1)*M34</f>
        <v>2.272705836898246</v>
      </c>
      <c r="Q34">
        <f t="shared" ref="Q34:Q50" si="25">(Phi/2)*((J34-Delta*I34)/I34)^2 - Phi *((J34-Delta*I34)/I34)* (J34/I34)</f>
        <v>-1.074568855542429E-4</v>
      </c>
      <c r="R34">
        <f t="shared" si="19"/>
        <v>6.9239622882077967E-5</v>
      </c>
      <c r="S34">
        <f t="shared" si="20"/>
        <v>4.7941253768523747E-9</v>
      </c>
      <c r="T34">
        <v>0</v>
      </c>
      <c r="U34">
        <v>0</v>
      </c>
      <c r="V34">
        <v>1.05</v>
      </c>
      <c r="W34">
        <f t="shared" si="6"/>
        <v>0.60502877443461234</v>
      </c>
      <c r="X34">
        <f t="shared" ref="X34:X50" si="26">W34^(-sigma_c) /(1+tauc)</f>
        <v>2.553078468512346</v>
      </c>
      <c r="Y34">
        <f t="shared" si="17"/>
        <v>0.97627286388402501</v>
      </c>
      <c r="Z34">
        <f t="shared" ref="Z34:Z50" si="27" xml:space="preserve"> tauc * W34 + tauw * N34*P34 + tauk * K34 *I34*H34</f>
        <v>0.2890377880244499</v>
      </c>
      <c r="AA34">
        <f t="shared" ref="AA34:AA50" si="28">Beta^(F34-1) * Z34</f>
        <v>0.13501880013455309</v>
      </c>
      <c r="AB34">
        <f t="shared" ref="AB34:AB50" si="29">W34^(1-sigma_c)/(1-sigma_c)-gamma *N34^(1+1/Phi)/(1+1/Phi)</f>
        <v>-13.314166224984266</v>
      </c>
      <c r="AC34">
        <f t="shared" ref="AC34:AC50" si="30">Beta^(F34-1)*AB34</f>
        <v>-6.2194731034175437</v>
      </c>
      <c r="AD34">
        <f t="shared" ref="AD34:AD53" si="31">(((alpha^(1/(1-rhoc)))*(K34^(rhoc/(rhoc-1))))+(((1-alpha)^(1/(1-rhoc)))*(P34^(rhoc/(rhoc-1)))))^((rhoc-1)/rhoc)/G34</f>
        <v>0.99999999999999944</v>
      </c>
      <c r="AE34">
        <v>0</v>
      </c>
    </row>
    <row r="35" spans="1:31" ht="14.65" thickBot="1" x14ac:dyDescent="0.5">
      <c r="A35" s="3" t="s">
        <v>55</v>
      </c>
      <c r="B35" s="3">
        <f>( alpha*kbar^(rhoc)+(1-alpha)*lbar^(rhoc))^(1/rhoc-1)</f>
        <v>0.69815629325111683</v>
      </c>
      <c r="F35" s="7">
        <f t="shared" si="18"/>
        <v>34</v>
      </c>
      <c r="G35">
        <f t="shared" si="0"/>
        <v>1.4556283985137008</v>
      </c>
      <c r="H35">
        <v>1.002424810909665</v>
      </c>
      <c r="I35">
        <f t="shared" ref="I35:I50" si="32">(1-Delta)*I34+J34</f>
        <v>3.8348251447586379</v>
      </c>
      <c r="J35">
        <f t="shared" ref="J35:J50" si="33">Delta*I34+ (H35-1)*(I34/Phi)</f>
        <v>0.1539854043237808</v>
      </c>
      <c r="K35">
        <f t="shared" si="21"/>
        <v>8.0927300436563612E-2</v>
      </c>
      <c r="L35">
        <f t="shared" si="22"/>
        <v>6.8634685253368329E-7</v>
      </c>
      <c r="M35">
        <f t="shared" si="23"/>
        <v>0.69678150149743456</v>
      </c>
      <c r="N35">
        <f t="shared" ref="N35:N50" si="34">(P34 *(1-tauw)*X34/gamma)^phiLL</f>
        <v>0.32459900521704244</v>
      </c>
      <c r="O35">
        <f t="shared" si="16"/>
        <v>1.0481201648145395</v>
      </c>
      <c r="P35">
        <f t="shared" si="24"/>
        <v>2.2728908787309892</v>
      </c>
      <c r="Q35">
        <f t="shared" si="25"/>
        <v>-9.2866155162368443E-5</v>
      </c>
      <c r="R35">
        <f t="shared" si="19"/>
        <v>-6.1251032875020428E-5</v>
      </c>
      <c r="S35">
        <f t="shared" si="20"/>
        <v>3.7516890282568334E-9</v>
      </c>
      <c r="T35">
        <v>0</v>
      </c>
      <c r="U35">
        <v>0</v>
      </c>
      <c r="V35">
        <v>1.05</v>
      </c>
      <c r="W35">
        <f t="shared" ref="W35:W50" si="35" xml:space="preserve"> (O35 - J35 - tauw * P35*N35 - tauk * K35 * I35 *H35)/(1+tauc)</f>
        <v>0.60511338080526367</v>
      </c>
      <c r="X35">
        <f t="shared" si="26"/>
        <v>2.5523645804737223</v>
      </c>
      <c r="Y35">
        <f t="shared" si="17"/>
        <v>0.97622187346727118</v>
      </c>
      <c r="Z35">
        <f t="shared" si="27"/>
        <v>0.28902137968549507</v>
      </c>
      <c r="AA35">
        <f t="shared" si="28"/>
        <v>0.13183768767639653</v>
      </c>
      <c r="AB35">
        <f t="shared" si="29"/>
        <v>-13.313048434962306</v>
      </c>
      <c r="AC35">
        <f t="shared" si="30"/>
        <v>-6.0727740055051207</v>
      </c>
      <c r="AD35">
        <f t="shared" si="31"/>
        <v>0.99999999999999944</v>
      </c>
      <c r="AE35">
        <v>0</v>
      </c>
    </row>
    <row r="36" spans="1:31" ht="14.65" thickBot="1" x14ac:dyDescent="0.5">
      <c r="A36" s="3" t="s">
        <v>38</v>
      </c>
      <c r="B36" s="3">
        <v>2</v>
      </c>
      <c r="F36" s="7">
        <f t="shared" si="18"/>
        <v>35</v>
      </c>
      <c r="G36">
        <f t="shared" si="0"/>
        <v>1.4556283985137008</v>
      </c>
      <c r="H36">
        <v>1.0019649456570745</v>
      </c>
      <c r="I36">
        <f t="shared" si="32"/>
        <v>3.8354175432920727</v>
      </c>
      <c r="J36">
        <f t="shared" si="33"/>
        <v>0.15389535399126775</v>
      </c>
      <c r="K36">
        <f t="shared" si="21"/>
        <v>8.0911411698346952E-2</v>
      </c>
      <c r="L36">
        <f t="shared" si="22"/>
        <v>4.4801116766221311E-7</v>
      </c>
      <c r="M36">
        <f t="shared" si="23"/>
        <v>0.69676307926786518</v>
      </c>
      <c r="N36">
        <f t="shared" si="34"/>
        <v>0.32456683227143107</v>
      </c>
      <c r="O36">
        <f t="shared" si="16"/>
        <v>1.048094972707615</v>
      </c>
      <c r="P36">
        <f t="shared" si="24"/>
        <v>2.2730786126977494</v>
      </c>
      <c r="Q36">
        <f t="shared" si="25"/>
        <v>-7.4995580969175135E-5</v>
      </c>
      <c r="R36">
        <f t="shared" si="19"/>
        <v>-1.7346610971791243E-4</v>
      </c>
      <c r="S36">
        <f t="shared" si="20"/>
        <v>3.0090491220666834E-8</v>
      </c>
      <c r="T36">
        <v>0</v>
      </c>
      <c r="U36">
        <v>0</v>
      </c>
      <c r="V36">
        <v>1.05</v>
      </c>
      <c r="W36">
        <f t="shared" si="35"/>
        <v>0.60520595513129205</v>
      </c>
      <c r="X36">
        <f t="shared" si="26"/>
        <v>2.5515838037564373</v>
      </c>
      <c r="Y36">
        <f t="shared" si="17"/>
        <v>0.97619620653092831</v>
      </c>
      <c r="Z36">
        <f t="shared" si="27"/>
        <v>0.28899366358505518</v>
      </c>
      <c r="AA36">
        <f t="shared" si="28"/>
        <v>0.12872648663320876</v>
      </c>
      <c r="AB36">
        <f t="shared" si="29"/>
        <v>-13.31156286684366</v>
      </c>
      <c r="AC36">
        <f t="shared" si="30"/>
        <v>-5.9293712470673068</v>
      </c>
      <c r="AD36">
        <f t="shared" si="31"/>
        <v>0.99999999999999944</v>
      </c>
      <c r="AE36">
        <v>0</v>
      </c>
    </row>
    <row r="37" spans="1:31" ht="14.65" thickBot="1" x14ac:dyDescent="0.5">
      <c r="A37" s="40" t="s">
        <v>39</v>
      </c>
      <c r="B37" s="40">
        <v>0.5</v>
      </c>
      <c r="F37" s="7">
        <f t="shared" si="18"/>
        <v>36</v>
      </c>
      <c r="G37">
        <f t="shared" si="0"/>
        <v>1.4556283985137008</v>
      </c>
      <c r="H37">
        <v>1.0014598135387491</v>
      </c>
      <c r="I37">
        <f t="shared" si="32"/>
        <v>3.8358961955516575</v>
      </c>
      <c r="J37">
        <f t="shared" si="33"/>
        <v>0.15378996802877984</v>
      </c>
      <c r="K37">
        <f t="shared" si="21"/>
        <v>8.0896598278865445E-2</v>
      </c>
      <c r="L37">
        <f t="shared" si="22"/>
        <v>2.4518609422017706E-7</v>
      </c>
      <c r="M37">
        <f t="shared" si="23"/>
        <v>0.69673114767253552</v>
      </c>
      <c r="N37">
        <f t="shared" si="34"/>
        <v>0.3245305872399481</v>
      </c>
      <c r="O37">
        <f t="shared" si="16"/>
        <v>1.0480513066137114</v>
      </c>
      <c r="P37">
        <f t="shared" si="24"/>
        <v>2.273253684088882</v>
      </c>
      <c r="Q37">
        <f t="shared" si="25"/>
        <v>-5.5454396907045982E-5</v>
      </c>
      <c r="R37">
        <f t="shared" si="19"/>
        <v>-2.300605912335385E-4</v>
      </c>
      <c r="S37">
        <f t="shared" si="20"/>
        <v>5.292787563872529E-8</v>
      </c>
      <c r="T37">
        <v>0</v>
      </c>
      <c r="U37">
        <v>0</v>
      </c>
      <c r="V37">
        <v>1.05</v>
      </c>
      <c r="W37">
        <f t="shared" si="35"/>
        <v>0.60530229942411518</v>
      </c>
      <c r="X37">
        <f t="shared" si="26"/>
        <v>2.5507716113253083</v>
      </c>
      <c r="Y37">
        <f t="shared" si="17"/>
        <v>0.97618409228522818</v>
      </c>
      <c r="Z37">
        <f t="shared" si="27"/>
        <v>0.28895903916081633</v>
      </c>
      <c r="AA37">
        <f t="shared" si="28"/>
        <v>0.12568569995853357</v>
      </c>
      <c r="AB37">
        <f t="shared" si="29"/>
        <v>-13.309911064544542</v>
      </c>
      <c r="AC37">
        <f t="shared" si="30"/>
        <v>-5.7892824304489059</v>
      </c>
      <c r="AD37">
        <f t="shared" si="31"/>
        <v>0.99999999999999944</v>
      </c>
      <c r="AE37">
        <v>0</v>
      </c>
    </row>
    <row r="38" spans="1:31" ht="14.65" thickBot="1" x14ac:dyDescent="0.5">
      <c r="F38" s="7">
        <f t="shared" si="18"/>
        <v>37</v>
      </c>
      <c r="G38">
        <f t="shared" si="0"/>
        <v>1.4556283985137008</v>
      </c>
      <c r="H38">
        <v>1.0009863797080942</v>
      </c>
      <c r="I38">
        <f t="shared" si="32"/>
        <v>3.8362503157583712</v>
      </c>
      <c r="J38">
        <f t="shared" si="33"/>
        <v>0.15368809116670948</v>
      </c>
      <c r="K38">
        <f t="shared" si="21"/>
        <v>8.0883258206633057E-2</v>
      </c>
      <c r="L38">
        <f t="shared" si="22"/>
        <v>1.108140465628477E-7</v>
      </c>
      <c r="M38">
        <f t="shared" si="23"/>
        <v>0.6966869959408557</v>
      </c>
      <c r="N38">
        <f t="shared" si="34"/>
        <v>0.32449142796688557</v>
      </c>
      <c r="O38">
        <f t="shared" si="16"/>
        <v>1.047990929322463</v>
      </c>
      <c r="P38">
        <f t="shared" si="24"/>
        <v>2.2734113782598406</v>
      </c>
      <c r="Q38">
        <f t="shared" si="25"/>
        <v>-3.7265017687743668E-5</v>
      </c>
      <c r="R38">
        <f t="shared" si="19"/>
        <v>-1.4035289990288469E-4</v>
      </c>
      <c r="S38">
        <f t="shared" si="20"/>
        <v>1.9698936511149168E-8</v>
      </c>
      <c r="T38">
        <v>0</v>
      </c>
      <c r="U38">
        <v>0</v>
      </c>
      <c r="V38">
        <v>1.05</v>
      </c>
      <c r="W38">
        <f t="shared" si="35"/>
        <v>0.60538160245391881</v>
      </c>
      <c r="X38">
        <f t="shared" si="26"/>
        <v>2.5501033694526574</v>
      </c>
      <c r="Y38">
        <f t="shared" si="17"/>
        <v>0.97623910094882393</v>
      </c>
      <c r="Z38">
        <f t="shared" si="27"/>
        <v>0.2889212357018347</v>
      </c>
      <c r="AA38">
        <f t="shared" si="28"/>
        <v>0.12271539095962171</v>
      </c>
      <c r="AB38">
        <f t="shared" si="29"/>
        <v>-13.308194189870152</v>
      </c>
      <c r="AC38">
        <f t="shared" si="30"/>
        <v>-5.6524756617815859</v>
      </c>
      <c r="AD38">
        <f t="shared" si="31"/>
        <v>1.0000000000000016</v>
      </c>
      <c r="AE38">
        <v>0</v>
      </c>
    </row>
    <row r="39" spans="1:31" ht="14.65" thickBot="1" x14ac:dyDescent="0.5">
      <c r="A39" s="3" t="s">
        <v>40</v>
      </c>
      <c r="B39" s="40">
        <f xml:space="preserve"> (ybar - Delta*kbar -tauw * mpl *lbar - tauk * kbar * mpk)/(1+tauc)</f>
        <v>0.57612750705935178</v>
      </c>
      <c r="F39" s="7">
        <f t="shared" si="18"/>
        <v>38</v>
      </c>
      <c r="G39">
        <f t="shared" si="0"/>
        <v>1.4556283985137008</v>
      </c>
      <c r="H39">
        <v>1.000583757230991</v>
      </c>
      <c r="I39">
        <f t="shared" si="32"/>
        <v>3.8364883942947459</v>
      </c>
      <c r="J39">
        <f t="shared" si="33"/>
        <v>0.1535993085544492</v>
      </c>
      <c r="K39">
        <f t="shared" si="21"/>
        <v>8.0873339610401107E-2</v>
      </c>
      <c r="L39">
        <f t="shared" si="22"/>
        <v>3.8192017213048054E-8</v>
      </c>
      <c r="M39">
        <f t="shared" si="23"/>
        <v>0.69664911674648511</v>
      </c>
      <c r="N39">
        <f t="shared" si="34"/>
        <v>0.32446017385357095</v>
      </c>
      <c r="O39">
        <f t="shared" si="16"/>
        <v>1.0479391294200804</v>
      </c>
      <c r="P39">
        <f t="shared" si="24"/>
        <v>2.2735286486341768</v>
      </c>
      <c r="Q39">
        <f t="shared" si="25"/>
        <v>-2.1869442310213246E-5</v>
      </c>
      <c r="R39">
        <f t="shared" si="19"/>
        <v>-3.3394855488477759E-5</v>
      </c>
      <c r="S39">
        <f t="shared" si="20"/>
        <v>1.1152163730963132E-9</v>
      </c>
      <c r="T39">
        <v>0</v>
      </c>
      <c r="U39">
        <v>0</v>
      </c>
      <c r="V39">
        <v>1.05</v>
      </c>
      <c r="W39">
        <f t="shared" si="35"/>
        <v>0.6054507434802735</v>
      </c>
      <c r="X39">
        <f t="shared" si="26"/>
        <v>2.549520971301539</v>
      </c>
      <c r="Y39">
        <f t="shared" si="17"/>
        <v>0.97627190550500775</v>
      </c>
      <c r="Z39">
        <f t="shared" si="27"/>
        <v>0.28888907738535774</v>
      </c>
      <c r="AA39">
        <f t="shared" si="28"/>
        <v>0.11981761806216686</v>
      </c>
      <c r="AB39">
        <f t="shared" si="29"/>
        <v>-13.306808002570113</v>
      </c>
      <c r="AC39">
        <f t="shared" si="30"/>
        <v>-5.5190388411664557</v>
      </c>
      <c r="AD39">
        <f t="shared" si="31"/>
        <v>1.0000000000000016</v>
      </c>
      <c r="AE39">
        <v>0</v>
      </c>
    </row>
    <row r="40" spans="1:31" ht="14.65" thickBot="1" x14ac:dyDescent="0.5">
      <c r="F40" s="7">
        <f t="shared" si="18"/>
        <v>39</v>
      </c>
      <c r="G40">
        <f t="shared" si="0"/>
        <v>1.4556283985137008</v>
      </c>
      <c r="H40">
        <v>1.000286795639026</v>
      </c>
      <c r="I40">
        <f t="shared" si="32"/>
        <v>3.8366281670774054</v>
      </c>
      <c r="J40">
        <f t="shared" si="33"/>
        <v>0.15353288831450035</v>
      </c>
      <c r="K40">
        <f t="shared" si="21"/>
        <v>8.0865521992927292E-2</v>
      </c>
      <c r="L40">
        <f t="shared" si="22"/>
        <v>8.9759259118781514E-9</v>
      </c>
      <c r="M40">
        <f t="shared" si="23"/>
        <v>0.69660969126500438</v>
      </c>
      <c r="N40">
        <f t="shared" si="34"/>
        <v>0.32443148860003312</v>
      </c>
      <c r="O40">
        <f t="shared" si="16"/>
        <v>1.0478852146938846</v>
      </c>
      <c r="P40">
        <f t="shared" si="24"/>
        <v>2.2736210916313846</v>
      </c>
      <c r="Q40">
        <f t="shared" si="25"/>
        <v>-1.059939952413043E-5</v>
      </c>
      <c r="R40">
        <f t="shared" si="19"/>
        <v>1.6805235886163672E-4</v>
      </c>
      <c r="S40">
        <f t="shared" si="20"/>
        <v>2.824159531896033E-8</v>
      </c>
      <c r="T40">
        <v>0</v>
      </c>
      <c r="U40">
        <v>0</v>
      </c>
      <c r="V40">
        <v>1.05</v>
      </c>
      <c r="W40">
        <f t="shared" si="35"/>
        <v>0.60549137752691695</v>
      </c>
      <c r="X40">
        <f t="shared" si="26"/>
        <v>2.5491787901186416</v>
      </c>
      <c r="Y40">
        <f t="shared" si="17"/>
        <v>0.97636386033445743</v>
      </c>
      <c r="Z40">
        <f t="shared" si="27"/>
        <v>0.28886094885246733</v>
      </c>
      <c r="AA40">
        <f t="shared" si="28"/>
        <v>0.11698990313428255</v>
      </c>
      <c r="AB40">
        <f t="shared" si="29"/>
        <v>-13.305598047555007</v>
      </c>
      <c r="AC40">
        <f t="shared" si="30"/>
        <v>-5.3888233522426976</v>
      </c>
      <c r="AD40">
        <f t="shared" si="31"/>
        <v>1.0000000000000016</v>
      </c>
      <c r="AE40">
        <v>0</v>
      </c>
    </row>
    <row r="41" spans="1:31" ht="14.65" thickBot="1" x14ac:dyDescent="0.5">
      <c r="F41" s="7">
        <f t="shared" si="18"/>
        <v>40</v>
      </c>
      <c r="G41">
        <f t="shared" si="0"/>
        <v>1.4556283985137008</v>
      </c>
      <c r="H41">
        <v>1.0001441825693118</v>
      </c>
      <c r="I41">
        <f t="shared" si="32"/>
        <v>3.8366959287088096</v>
      </c>
      <c r="J41">
        <f t="shared" si="33"/>
        <v>0.15350200501020445</v>
      </c>
      <c r="K41">
        <f t="shared" si="21"/>
        <v>8.0861486932120891E-2</v>
      </c>
      <c r="L41">
        <f t="shared" si="22"/>
        <v>2.2821253076235852E-9</v>
      </c>
      <c r="M41">
        <f t="shared" si="23"/>
        <v>0.6965884645806748</v>
      </c>
      <c r="N41">
        <f t="shared" si="34"/>
        <v>0.32441631153669859</v>
      </c>
      <c r="O41">
        <f t="shared" si="16"/>
        <v>1.047856186883446</v>
      </c>
      <c r="P41">
        <f t="shared" si="24"/>
        <v>2.2736688105714951</v>
      </c>
      <c r="Q41">
        <f t="shared" si="25"/>
        <v>-5.3439208155976474E-6</v>
      </c>
      <c r="R41">
        <f t="shared" si="19"/>
        <v>4.0342941053728154E-4</v>
      </c>
      <c r="S41">
        <f t="shared" si="20"/>
        <v>1.6275528928645846E-7</v>
      </c>
      <c r="T41">
        <v>0</v>
      </c>
      <c r="U41">
        <v>0</v>
      </c>
      <c r="V41">
        <v>1.05</v>
      </c>
      <c r="W41">
        <f t="shared" si="35"/>
        <v>0.60550769698165396</v>
      </c>
      <c r="X41">
        <f t="shared" si="26"/>
        <v>2.5490413826257958</v>
      </c>
      <c r="Y41">
        <f t="shared" si="17"/>
        <v>0.97644228387335241</v>
      </c>
      <c r="Z41">
        <f t="shared" si="27"/>
        <v>0.28884648489158754</v>
      </c>
      <c r="AA41">
        <f t="shared" si="28"/>
        <v>0.11423432577456823</v>
      </c>
      <c r="AB41">
        <f t="shared" si="29"/>
        <v>-13.304972008903839</v>
      </c>
      <c r="AC41">
        <f t="shared" si="30"/>
        <v>-5.2619110371278683</v>
      </c>
      <c r="AD41">
        <f t="shared" si="31"/>
        <v>0.99999999999999944</v>
      </c>
      <c r="AE41">
        <v>0</v>
      </c>
    </row>
    <row r="42" spans="1:31" ht="14.65" thickBot="1" x14ac:dyDescent="0.5">
      <c r="A42" s="3" t="s">
        <v>41</v>
      </c>
      <c r="B42" s="3">
        <v>7.0000000000000007E-2</v>
      </c>
      <c r="F42" s="7">
        <f t="shared" si="18"/>
        <v>41</v>
      </c>
      <c r="G42">
        <f t="shared" si="0"/>
        <v>1.4556283985137008</v>
      </c>
      <c r="H42">
        <v>1.0000901853534383</v>
      </c>
      <c r="I42">
        <f t="shared" si="32"/>
        <v>3.8367300965706614</v>
      </c>
      <c r="J42">
        <f t="shared" si="33"/>
        <v>0.15349090473357677</v>
      </c>
      <c r="K42">
        <f t="shared" si="21"/>
        <v>8.0859898861375346E-2</v>
      </c>
      <c r="L42">
        <f t="shared" si="22"/>
        <v>9.2056473768435461E-10</v>
      </c>
      <c r="M42">
        <f t="shared" si="23"/>
        <v>0.69658160772177513</v>
      </c>
      <c r="N42">
        <f t="shared" si="34"/>
        <v>0.32441097229742027</v>
      </c>
      <c r="O42">
        <f t="shared" si="16"/>
        <v>1.047846810008471</v>
      </c>
      <c r="P42">
        <f t="shared" si="24"/>
        <v>2.2736875920618735</v>
      </c>
      <c r="Q42">
        <f t="shared" si="25"/>
        <v>-3.3938908099289091E-6</v>
      </c>
      <c r="R42">
        <f t="shared" si="19"/>
        <v>5.2382130968098295E-4</v>
      </c>
      <c r="S42">
        <f t="shared" si="20"/>
        <v>2.7438876447590025E-7</v>
      </c>
      <c r="T42">
        <v>0</v>
      </c>
      <c r="U42">
        <v>0</v>
      </c>
      <c r="V42">
        <v>1.05</v>
      </c>
      <c r="W42">
        <f t="shared" si="35"/>
        <v>0.60551447418081661</v>
      </c>
      <c r="X42">
        <f t="shared" si="26"/>
        <v>2.5489843228355396</v>
      </c>
      <c r="Y42">
        <f t="shared" si="17"/>
        <v>0.97647306089069519</v>
      </c>
      <c r="Z42">
        <f t="shared" si="27"/>
        <v>0.28884143109407767</v>
      </c>
      <c r="AA42">
        <f t="shared" si="28"/>
        <v>0.11154728703633861</v>
      </c>
      <c r="AB42">
        <f t="shared" si="29"/>
        <v>-13.304748945839538</v>
      </c>
      <c r="AC42">
        <f t="shared" si="30"/>
        <v>-5.1381432503864097</v>
      </c>
      <c r="AD42">
        <f t="shared" si="31"/>
        <v>0.99999999999999944</v>
      </c>
      <c r="AE42">
        <v>0</v>
      </c>
    </row>
    <row r="43" spans="1:31" ht="14.65" thickBot="1" x14ac:dyDescent="0.5">
      <c r="A43" s="3" t="s">
        <v>42</v>
      </c>
      <c r="B43" s="3">
        <v>0.25</v>
      </c>
      <c r="F43" s="7">
        <f t="shared" si="18"/>
        <v>42</v>
      </c>
      <c r="G43">
        <f t="shared" si="0"/>
        <v>1.4556283985137008</v>
      </c>
      <c r="H43">
        <v>1.0001240915154117</v>
      </c>
      <c r="I43">
        <f t="shared" si="32"/>
        <v>3.8367517974414116</v>
      </c>
      <c r="J43">
        <f t="shared" si="33"/>
        <v>0.15350094423962038</v>
      </c>
      <c r="K43">
        <f t="shared" si="21"/>
        <v>8.0859102546742695E-2</v>
      </c>
      <c r="L43">
        <f t="shared" si="22"/>
        <v>1.8631023362768799E-9</v>
      </c>
      <c r="M43">
        <f t="shared" si="23"/>
        <v>0.69657908160705728</v>
      </c>
      <c r="N43">
        <f t="shared" si="34"/>
        <v>0.32440868120907396</v>
      </c>
      <c r="O43">
        <f t="shared" si="16"/>
        <v>1.0478433555001121</v>
      </c>
      <c r="P43">
        <f t="shared" si="24"/>
        <v>2.2736970099423051</v>
      </c>
      <c r="Q43">
        <f t="shared" si="25"/>
        <v>-4.8283728681746223E-6</v>
      </c>
      <c r="R43">
        <f t="shared" si="19"/>
        <v>6.7850037278893716E-4</v>
      </c>
      <c r="S43">
        <f t="shared" si="20"/>
        <v>4.6036275587472671E-7</v>
      </c>
      <c r="T43">
        <v>0</v>
      </c>
      <c r="U43">
        <v>0</v>
      </c>
      <c r="V43">
        <v>1.05</v>
      </c>
      <c r="W43">
        <f t="shared" si="35"/>
        <v>0.60550064317621888</v>
      </c>
      <c r="X43">
        <f t="shared" si="26"/>
        <v>2.5491007733032247</v>
      </c>
      <c r="Y43">
        <f t="shared" si="17"/>
        <v>0.97653953075345568</v>
      </c>
      <c r="Z43">
        <f t="shared" si="27"/>
        <v>0.28884176808427287</v>
      </c>
      <c r="AA43">
        <f t="shared" si="28"/>
        <v>0.1089254861619775</v>
      </c>
      <c r="AB43">
        <f t="shared" si="29"/>
        <v>-13.304698884146816</v>
      </c>
      <c r="AC43">
        <f t="shared" si="30"/>
        <v>-5.017351901029719</v>
      </c>
      <c r="AD43">
        <f t="shared" si="31"/>
        <v>1.0000000000000016</v>
      </c>
      <c r="AE43">
        <v>0</v>
      </c>
    </row>
    <row r="44" spans="1:31" ht="14.65" thickBot="1" x14ac:dyDescent="0.5">
      <c r="A44" s="3" t="s">
        <v>43</v>
      </c>
      <c r="B44" s="3">
        <v>0.2</v>
      </c>
      <c r="F44" s="7">
        <f t="shared" si="18"/>
        <v>43</v>
      </c>
      <c r="G44">
        <f t="shared" si="0"/>
        <v>1.4556283985137008</v>
      </c>
      <c r="H44">
        <v>1.0001968859149326</v>
      </c>
      <c r="I44">
        <f t="shared" si="32"/>
        <v>3.8367826697833753</v>
      </c>
      <c r="J44">
        <f t="shared" si="33"/>
        <v>0.15352043205685703</v>
      </c>
      <c r="K44">
        <f t="shared" si="21"/>
        <v>8.0860158587822167E-2</v>
      </c>
      <c r="L44">
        <f t="shared" si="22"/>
        <v>4.7174128436046012E-9</v>
      </c>
      <c r="M44">
        <f t="shared" si="23"/>
        <v>0.69659434470518777</v>
      </c>
      <c r="N44">
        <f t="shared" si="34"/>
        <v>0.32441676332134406</v>
      </c>
      <c r="O44">
        <f t="shared" si="16"/>
        <v>1.047864228050309</v>
      </c>
      <c r="P44">
        <f t="shared" si="24"/>
        <v>2.2736845203463871</v>
      </c>
      <c r="Q44">
        <f t="shared" si="25"/>
        <v>-7.6834888142649431E-6</v>
      </c>
      <c r="R44">
        <f t="shared" si="19"/>
        <v>6.9551584938887245E-4</v>
      </c>
      <c r="S44">
        <f t="shared" si="20"/>
        <v>4.8374229675112471E-7</v>
      </c>
      <c r="T44">
        <v>0</v>
      </c>
      <c r="U44">
        <v>0</v>
      </c>
      <c r="V44">
        <v>1.05</v>
      </c>
      <c r="W44">
        <f t="shared" si="35"/>
        <v>0.60549314509203911</v>
      </c>
      <c r="X44">
        <f t="shared" si="26"/>
        <v>2.5491639069346474</v>
      </c>
      <c r="Y44">
        <f t="shared" si="17"/>
        <v>0.97651910440731893</v>
      </c>
      <c r="Z44">
        <f t="shared" si="27"/>
        <v>0.28885065090141282</v>
      </c>
      <c r="AA44">
        <f t="shared" si="28"/>
        <v>0.10636845491821795</v>
      </c>
      <c r="AB44">
        <f t="shared" si="29"/>
        <v>-13.305029010382119</v>
      </c>
      <c r="AC44">
        <f t="shared" si="30"/>
        <v>-4.8995402089623274</v>
      </c>
      <c r="AD44">
        <f t="shared" si="31"/>
        <v>1.0000000000000016</v>
      </c>
      <c r="AE44">
        <v>0</v>
      </c>
    </row>
    <row r="45" spans="1:31" ht="14.65" thickBot="1" x14ac:dyDescent="0.5">
      <c r="F45" s="7">
        <f t="shared" si="18"/>
        <v>44</v>
      </c>
      <c r="G45">
        <f t="shared" si="0"/>
        <v>1.4556283985137008</v>
      </c>
      <c r="H45">
        <v>1.0002819253757229</v>
      </c>
      <c r="I45">
        <f t="shared" si="32"/>
        <v>3.836831795048897</v>
      </c>
      <c r="J45">
        <f t="shared" si="33"/>
        <v>0.15354341921771808</v>
      </c>
      <c r="K45">
        <f t="shared" si="21"/>
        <v>8.0859960304618519E-2</v>
      </c>
      <c r="L45">
        <f t="shared" si="22"/>
        <v>9.6185997998347423E-9</v>
      </c>
      <c r="M45">
        <f t="shared" si="23"/>
        <v>0.69660244745034428</v>
      </c>
      <c r="N45">
        <f t="shared" si="34"/>
        <v>0.32441988967918928</v>
      </c>
      <c r="O45">
        <f t="shared" si="16"/>
        <v>1.0478753086773025</v>
      </c>
      <c r="P45">
        <f t="shared" si="24"/>
        <v>2.2736868653878575</v>
      </c>
      <c r="Q45">
        <f t="shared" si="25"/>
        <v>-1.0972091117322588E-5</v>
      </c>
      <c r="R45">
        <f t="shared" si="19"/>
        <v>7.4186720279900698E-4</v>
      </c>
      <c r="S45">
        <f t="shared" si="20"/>
        <v>5.503669465888229E-7</v>
      </c>
      <c r="T45">
        <v>0</v>
      </c>
      <c r="U45">
        <v>0</v>
      </c>
      <c r="V45">
        <v>1.05</v>
      </c>
      <c r="W45">
        <f t="shared" si="35"/>
        <v>0.60547464707909859</v>
      </c>
      <c r="X45">
        <f t="shared" si="26"/>
        <v>2.5493196696490057</v>
      </c>
      <c r="Y45">
        <f t="shared" si="17"/>
        <v>0.97655458674792617</v>
      </c>
      <c r="Z45">
        <f t="shared" si="27"/>
        <v>0.28885724238048588</v>
      </c>
      <c r="AA45">
        <f t="shared" si="28"/>
        <v>0.10387062606692921</v>
      </c>
      <c r="AB45">
        <f t="shared" si="29"/>
        <v>-13.305199257046336</v>
      </c>
      <c r="AC45">
        <f t="shared" si="30"/>
        <v>-4.7844373413848267</v>
      </c>
      <c r="AD45">
        <f t="shared" si="31"/>
        <v>0.99999999999999944</v>
      </c>
      <c r="AE45">
        <v>0</v>
      </c>
    </row>
    <row r="46" spans="1:31" ht="14.65" thickBot="1" x14ac:dyDescent="0.5">
      <c r="A46" s="3" t="s">
        <v>44</v>
      </c>
      <c r="B46" s="3">
        <f>Cbar^(-sigma_c)/(1+tauc)</f>
        <v>2.8156521496119464</v>
      </c>
      <c r="F46" s="7">
        <f t="shared" si="18"/>
        <v>45</v>
      </c>
      <c r="G46">
        <f t="shared" si="0"/>
        <v>1.4556283985137008</v>
      </c>
      <c r="H46">
        <v>1.0003673606744494</v>
      </c>
      <c r="I46">
        <f t="shared" si="32"/>
        <v>3.8369019424646593</v>
      </c>
      <c r="J46">
        <f t="shared" si="33"/>
        <v>0.1535672385430211</v>
      </c>
      <c r="K46">
        <f t="shared" si="21"/>
        <v>8.086076073567712E-2</v>
      </c>
      <c r="L46">
        <f t="shared" si="22"/>
        <v>1.6244159381710042E-8</v>
      </c>
      <c r="M46">
        <f t="shared" si="23"/>
        <v>0.69662335256011865</v>
      </c>
      <c r="N46">
        <f t="shared" si="34"/>
        <v>0.32442996842114369</v>
      </c>
      <c r="O46">
        <f t="shared" si="16"/>
        <v>1.0479038966781271</v>
      </c>
      <c r="P46">
        <f t="shared" si="24"/>
        <v>2.2736773989531467</v>
      </c>
      <c r="Q46">
        <f t="shared" si="25"/>
        <v>-1.4259616649225767E-5</v>
      </c>
      <c r="R46">
        <f t="shared" si="19"/>
        <v>7.0197796456872297E-4</v>
      </c>
      <c r="S46">
        <f t="shared" si="20"/>
        <v>4.9277306274004726E-7</v>
      </c>
      <c r="T46">
        <v>0</v>
      </c>
      <c r="U46">
        <v>0</v>
      </c>
      <c r="V46">
        <v>1.05</v>
      </c>
      <c r="W46">
        <f t="shared" si="35"/>
        <v>0.60546787792441381</v>
      </c>
      <c r="X46">
        <f t="shared" si="26"/>
        <v>2.549376672955967</v>
      </c>
      <c r="Y46">
        <f t="shared" si="17"/>
        <v>0.9765167541627644</v>
      </c>
      <c r="Z46">
        <f t="shared" si="27"/>
        <v>0.28886878021069212</v>
      </c>
      <c r="AA46">
        <f t="shared" si="28"/>
        <v>0.10143319002950846</v>
      </c>
      <c r="AB46">
        <f t="shared" si="29"/>
        <v>-13.305603900582863</v>
      </c>
      <c r="AC46">
        <f t="shared" si="30"/>
        <v>-4.6721208429682548</v>
      </c>
      <c r="AD46">
        <f t="shared" si="31"/>
        <v>0.99999999999999944</v>
      </c>
      <c r="AE46">
        <v>0</v>
      </c>
    </row>
    <row r="47" spans="1:31" ht="14.65" thickBot="1" x14ac:dyDescent="0.5">
      <c r="A47" s="3" t="s">
        <v>45</v>
      </c>
      <c r="B47" s="3" cm="1">
        <f t="array" ref="B47">Ac * alpha * kbar^(rhoc-1)*yhat1</f>
        <v>8.0088585194104417E-2</v>
      </c>
      <c r="F47" s="7">
        <f t="shared" si="18"/>
        <v>46</v>
      </c>
      <c r="G47">
        <f t="shared" si="0"/>
        <v>1.4556283985137008</v>
      </c>
      <c r="H47">
        <v>1.0003921242806126</v>
      </c>
      <c r="I47">
        <f t="shared" si="32"/>
        <v>3.8369931033090938</v>
      </c>
      <c r="J47">
        <f t="shared" si="33"/>
        <v>0.15357638052618439</v>
      </c>
      <c r="K47">
        <f t="shared" si="21"/>
        <v>8.0859842817651503E-2</v>
      </c>
      <c r="L47">
        <f t="shared" si="22"/>
        <v>1.8261288621461519E-8</v>
      </c>
      <c r="M47">
        <f t="shared" si="23"/>
        <v>0.6966336505815407</v>
      </c>
      <c r="N47">
        <f t="shared" si="34"/>
        <v>0.3244329201749282</v>
      </c>
      <c r="O47">
        <f t="shared" si="16"/>
        <v>1.0479179793234075</v>
      </c>
      <c r="P47">
        <f t="shared" si="24"/>
        <v>2.2736882548777393</v>
      </c>
      <c r="Q47">
        <f t="shared" si="25"/>
        <v>-1.5119156073274337E-5</v>
      </c>
      <c r="R47">
        <f t="shared" si="19"/>
        <v>6.1726401196082747E-4</v>
      </c>
      <c r="S47">
        <f t="shared" si="20"/>
        <v>3.8101486046197658E-7</v>
      </c>
      <c r="T47">
        <v>0</v>
      </c>
      <c r="U47">
        <v>0</v>
      </c>
      <c r="V47">
        <v>1.05</v>
      </c>
      <c r="W47">
        <f t="shared" si="35"/>
        <v>0.60546794853921493</v>
      </c>
      <c r="X47">
        <f t="shared" si="26"/>
        <v>2.5493760782961949</v>
      </c>
      <c r="Y47">
        <f t="shared" si="17"/>
        <v>0.97649469176330284</v>
      </c>
      <c r="Z47">
        <f t="shared" si="27"/>
        <v>0.28887365025800821</v>
      </c>
      <c r="AA47">
        <f t="shared" si="28"/>
        <v>9.905066460623177E-2</v>
      </c>
      <c r="AB47">
        <f t="shared" si="29"/>
        <v>-13.305716807958657</v>
      </c>
      <c r="AC47">
        <f t="shared" si="30"/>
        <v>-4.5623409809565265</v>
      </c>
      <c r="AD47">
        <f t="shared" si="31"/>
        <v>0.99999999999999944</v>
      </c>
      <c r="AE47">
        <v>0</v>
      </c>
    </row>
    <row r="48" spans="1:31" ht="14.65" thickBot="1" x14ac:dyDescent="0.5">
      <c r="A48" s="3" t="s">
        <v>47</v>
      </c>
      <c r="B48" s="3">
        <f xml:space="preserve"> Ac * (1-alpha)*lbar ^(rhoc-1)*yhat1</f>
        <v>2.1299131785753715</v>
      </c>
      <c r="F48" s="7">
        <f t="shared" si="18"/>
        <v>47</v>
      </c>
      <c r="G48">
        <f t="shared" si="0"/>
        <v>1.4556283985137008</v>
      </c>
      <c r="H48">
        <v>1.000325997150346</v>
      </c>
      <c r="I48">
        <f t="shared" si="32"/>
        <v>3.8370897597029145</v>
      </c>
      <c r="J48">
        <f t="shared" si="33"/>
        <v>0.15356311405353548</v>
      </c>
      <c r="K48">
        <f t="shared" si="21"/>
        <v>8.0858407794762582E-2</v>
      </c>
      <c r="L48">
        <f t="shared" si="22"/>
        <v>1.2360956657965337E-8</v>
      </c>
      <c r="M48">
        <f t="shared" si="23"/>
        <v>0.69664059060640882</v>
      </c>
      <c r="N48">
        <f t="shared" si="34"/>
        <v>0.32443365685625508</v>
      </c>
      <c r="O48">
        <f t="shared" si="16"/>
        <v>1.0479274698647965</v>
      </c>
      <c r="P48">
        <f t="shared" si="24"/>
        <v>2.2737052267560021</v>
      </c>
      <c r="Q48">
        <f t="shared" si="25"/>
        <v>-1.2438218336514491E-5</v>
      </c>
      <c r="R48">
        <f t="shared" si="19"/>
        <v>4.5098688836442413E-4</v>
      </c>
      <c r="S48">
        <f t="shared" si="20"/>
        <v>2.0338917347662556E-7</v>
      </c>
      <c r="T48">
        <v>0</v>
      </c>
      <c r="U48">
        <v>0</v>
      </c>
      <c r="V48">
        <v>1.05</v>
      </c>
      <c r="W48">
        <f t="shared" si="35"/>
        <v>0.60549094199392417</v>
      </c>
      <c r="X48">
        <f t="shared" si="26"/>
        <v>2.5491824573968445</v>
      </c>
      <c r="Y48">
        <f t="shared" si="17"/>
        <v>0.97642075636239212</v>
      </c>
      <c r="Z48">
        <f t="shared" si="27"/>
        <v>0.28887341381733667</v>
      </c>
      <c r="AA48">
        <f t="shared" si="28"/>
        <v>9.6722391598264054E-2</v>
      </c>
      <c r="AB48">
        <f t="shared" si="29"/>
        <v>-13.305682314892646</v>
      </c>
      <c r="AC48">
        <f t="shared" si="30"/>
        <v>-4.4550912399191045</v>
      </c>
      <c r="AD48">
        <f t="shared" si="31"/>
        <v>0.99999999999999944</v>
      </c>
      <c r="AE48">
        <v>0</v>
      </c>
    </row>
    <row r="49" spans="1:31" ht="14.65" thickBot="1" x14ac:dyDescent="0.5">
      <c r="A49" s="3" t="s">
        <v>48</v>
      </c>
      <c r="B49" s="3">
        <f>mpl *(1-tauw) *lambdabar/(lbar^(1/phiLL))</f>
        <v>41.302304543681529</v>
      </c>
      <c r="F49" s="7">
        <f t="shared" si="18"/>
        <v>48</v>
      </c>
      <c r="G49">
        <f t="shared" si="0"/>
        <v>1.4556283985137008</v>
      </c>
      <c r="H49">
        <v>1.000194086189041</v>
      </c>
      <c r="I49">
        <f t="shared" si="32"/>
        <v>3.8371692833683335</v>
      </c>
      <c r="J49">
        <f t="shared" si="33"/>
        <v>0.15353323879668121</v>
      </c>
      <c r="K49">
        <f t="shared" si="21"/>
        <v>8.0854966283992094E-2</v>
      </c>
      <c r="L49">
        <f t="shared" si="22"/>
        <v>4.220347462714861E-9</v>
      </c>
      <c r="M49">
        <f t="shared" si="23"/>
        <v>0.69662682105887874</v>
      </c>
      <c r="N49">
        <f t="shared" si="34"/>
        <v>0.32442254733677089</v>
      </c>
      <c r="O49">
        <f t="shared" si="16"/>
        <v>1.0479086398863082</v>
      </c>
      <c r="P49">
        <f t="shared" si="24"/>
        <v>2.2737459307594312</v>
      </c>
      <c r="Q49">
        <f t="shared" si="25"/>
        <v>-7.2669969597231431E-6</v>
      </c>
      <c r="R49">
        <f t="shared" si="19"/>
        <v>3.8883026491665085E-4</v>
      </c>
      <c r="S49">
        <f t="shared" si="20"/>
        <v>1.5118897491515288E-7</v>
      </c>
      <c r="T49">
        <v>0</v>
      </c>
      <c r="U49">
        <v>0</v>
      </c>
      <c r="V49">
        <v>1.05</v>
      </c>
      <c r="W49">
        <f t="shared" si="35"/>
        <v>0.60551299771859224</v>
      </c>
      <c r="X49">
        <f t="shared" si="26"/>
        <v>2.5489967535634208</v>
      </c>
      <c r="Y49">
        <f t="shared" si="17"/>
        <v>0.97642378345646774</v>
      </c>
      <c r="Z49">
        <f t="shared" si="27"/>
        <v>0.28886240337103469</v>
      </c>
      <c r="AA49">
        <f t="shared" si="28"/>
        <v>9.4445324068669609E-2</v>
      </c>
      <c r="AB49">
        <f t="shared" si="29"/>
        <v>-13.305196483006609</v>
      </c>
      <c r="AC49">
        <f t="shared" si="30"/>
        <v>-4.350215116159653</v>
      </c>
      <c r="AD49">
        <f t="shared" si="31"/>
        <v>1.0000000000000042</v>
      </c>
      <c r="AE49">
        <v>0</v>
      </c>
    </row>
    <row r="50" spans="1:31" x14ac:dyDescent="0.45">
      <c r="A50" s="3" t="s">
        <v>50</v>
      </c>
      <c r="F50" s="7">
        <f t="shared" si="18"/>
        <v>49</v>
      </c>
      <c r="G50">
        <f t="shared" si="0"/>
        <v>1.4556283985137008</v>
      </c>
      <c r="H50">
        <v>1</v>
      </c>
      <c r="I50">
        <f t="shared" si="32"/>
        <v>3.8372157508302811</v>
      </c>
      <c r="J50">
        <f t="shared" si="33"/>
        <v>0.15348677133473335</v>
      </c>
      <c r="K50">
        <f t="shared" si="21"/>
        <v>8.0852488030113148E-2</v>
      </c>
      <c r="L50">
        <f t="shared" si="22"/>
        <v>6.7524741689912391E-12</v>
      </c>
      <c r="M50">
        <f t="shared" si="23"/>
        <v>0.69661474837889914</v>
      </c>
      <c r="N50">
        <f t="shared" si="34"/>
        <v>0.32441363408860863</v>
      </c>
      <c r="O50">
        <f t="shared" si="16"/>
        <v>1.0478921303614215</v>
      </c>
      <c r="P50">
        <f t="shared" si="24"/>
        <v>2.2737752433579237</v>
      </c>
      <c r="Q50">
        <f t="shared" si="25"/>
        <v>2.9063060476316686E-7</v>
      </c>
      <c r="R50">
        <f t="shared" si="19"/>
        <v>2.6081207060846268E-4</v>
      </c>
      <c r="S50">
        <f t="shared" si="20"/>
        <v>6.8022936175073722E-8</v>
      </c>
      <c r="T50">
        <v>0</v>
      </c>
      <c r="U50">
        <v>0</v>
      </c>
      <c r="V50">
        <v>1.05</v>
      </c>
      <c r="W50">
        <f t="shared" si="35"/>
        <v>0.6055558396864309</v>
      </c>
      <c r="X50">
        <f t="shared" si="26"/>
        <v>2.5486360926076923</v>
      </c>
      <c r="Y50">
        <f t="shared" si="17"/>
        <v>0.97635675396689636</v>
      </c>
      <c r="Z50">
        <f t="shared" si="27"/>
        <v>0.28884951934025715</v>
      </c>
      <c r="AA50">
        <f t="shared" si="28"/>
        <v>9.2221265630152052E-2</v>
      </c>
      <c r="AB50">
        <f t="shared" si="29"/>
        <v>-13.304738122053152</v>
      </c>
      <c r="AC50">
        <f t="shared" si="30"/>
        <v>-4.2478166184798951</v>
      </c>
      <c r="AD50">
        <f t="shared" si="31"/>
        <v>0.99999999999999944</v>
      </c>
      <c r="AE50">
        <v>0</v>
      </c>
    </row>
    <row r="51" spans="1:31" x14ac:dyDescent="0.45">
      <c r="A51" s="3" t="s">
        <v>49</v>
      </c>
      <c r="B51" s="3">
        <f>(mpl *(1-tauw)*lambdabar/gamma)^phiLL</f>
        <v>0.33</v>
      </c>
      <c r="S51">
        <f>LN(AVERAGE(S3:S50))</f>
        <v>-11.785257355938498</v>
      </c>
      <c r="AA51">
        <f>SUM(AA2:AA46)</f>
        <v>8.08006347058069</v>
      </c>
      <c r="AC51">
        <f>SUM(AC2:AC49)</f>
        <v>-387.12085446663707</v>
      </c>
      <c r="AD51" t="e">
        <f t="shared" si="31"/>
        <v>#DIV/0!</v>
      </c>
      <c r="AE51">
        <v>0</v>
      </c>
    </row>
    <row r="52" spans="1:31" x14ac:dyDescent="0.45">
      <c r="AA52" t="s">
        <v>62</v>
      </c>
      <c r="AC52" t="s">
        <v>61</v>
      </c>
      <c r="AD52" t="e">
        <f t="shared" si="31"/>
        <v>#DIV/0!</v>
      </c>
      <c r="AE52">
        <v>0</v>
      </c>
    </row>
    <row r="53" spans="1:31" x14ac:dyDescent="0.45">
      <c r="A53" s="3" t="s">
        <v>54</v>
      </c>
      <c r="B53" s="3" cm="1">
        <f t="array" ref="B53" xml:space="preserve">  mpl *lbar + mpk * kbar</f>
        <v>1</v>
      </c>
      <c r="S53" t="s">
        <v>63</v>
      </c>
      <c r="AD53" t="e">
        <f t="shared" si="31"/>
        <v>#DIV/0!</v>
      </c>
      <c r="AE53">
        <v>0</v>
      </c>
    </row>
    <row r="54" spans="1:31" x14ac:dyDescent="0.45">
      <c r="B54" s="3" cm="1">
        <f t="array" ref="B54" xml:space="preserve"> mpk</f>
        <v>8.0088585194104417E-2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23</vt:i4>
      </vt:variant>
    </vt:vector>
  </HeadingPairs>
  <TitlesOfParts>
    <vt:vector size="24" baseType="lpstr">
      <vt:lpstr>Sheet1</vt:lpstr>
      <vt:lpstr>Ac</vt:lpstr>
      <vt:lpstr>alpha</vt:lpstr>
      <vt:lpstr>Beta</vt:lpstr>
      <vt:lpstr>Cbar</vt:lpstr>
      <vt:lpstr>Delta</vt:lpstr>
      <vt:lpstr>gamma</vt:lpstr>
      <vt:lpstr>Interest</vt:lpstr>
      <vt:lpstr>kbar</vt:lpstr>
      <vt:lpstr>lambdabar</vt:lpstr>
      <vt:lpstr>lbar</vt:lpstr>
      <vt:lpstr>mpk</vt:lpstr>
      <vt:lpstr>mpl</vt:lpstr>
      <vt:lpstr>Phi</vt:lpstr>
      <vt:lpstr>phiL</vt:lpstr>
      <vt:lpstr>phiLL</vt:lpstr>
      <vt:lpstr>qbar</vt:lpstr>
      <vt:lpstr>rhoc</vt:lpstr>
      <vt:lpstr>sigma_c</vt:lpstr>
      <vt:lpstr>tauc</vt:lpstr>
      <vt:lpstr>tauk</vt:lpstr>
      <vt:lpstr>tauw</vt:lpstr>
      <vt:lpstr>yhat</vt:lpstr>
      <vt:lpstr>yhat1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McNelis</dc:creator>
  <cp:lastModifiedBy>Paul McNelis</cp:lastModifiedBy>
  <dcterms:created xsi:type="dcterms:W3CDTF">2024-11-12T22:28:08Z</dcterms:created>
  <dcterms:modified xsi:type="dcterms:W3CDTF">2026-03-24T15:44:50Z</dcterms:modified>
</cp:coreProperties>
</file>