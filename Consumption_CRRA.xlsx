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58961F74-2004-43F5-B788-8F55A3D5491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Beta">Hoja1!$B$5</definedName>
    <definedName name="Rbar">Hoja1!$B$9</definedName>
    <definedName name="Rbara">Hoja1!$B$9</definedName>
    <definedName name="Sigma">Hoja1!$B$6</definedName>
    <definedName name="solver_adj" localSheetId="0" hidden="1">Hoja1!$F$3:$F$33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Hoja1!$F$3:$F$33</definedName>
    <definedName name="solver_lhs2" localSheetId="0" hidden="1">Hoja1!$H$33</definedName>
    <definedName name="solver_lhs3" localSheetId="0" hidden="1">Hoja1!$H$33</definedName>
    <definedName name="solver_lhs4" localSheetId="0" hidden="1">Hoja1!$H$33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Hoja1!$L$34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0</definedName>
    <definedName name="solver_rhs3" localSheetId="0" hidden="1">40</definedName>
    <definedName name="solver_rhs4" localSheetId="0" hidden="1">40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" i="1"/>
  <c r="K27" i="1" l="1"/>
  <c r="K22" i="1"/>
  <c r="K21" i="1"/>
  <c r="K31" i="1"/>
  <c r="K26" i="1"/>
  <c r="K25" i="1"/>
  <c r="K24" i="1"/>
  <c r="K23" i="1"/>
  <c r="K19" i="1"/>
  <c r="K15" i="1"/>
  <c r="K13" i="1"/>
  <c r="K10" i="1"/>
  <c r="K12" i="1"/>
  <c r="K18" i="1"/>
  <c r="K14" i="1"/>
  <c r="K20" i="1"/>
  <c r="K17" i="1"/>
  <c r="K9" i="1"/>
  <c r="K8" i="1"/>
  <c r="K30" i="1"/>
  <c r="K29" i="1"/>
  <c r="K4" i="1"/>
  <c r="K16" i="1"/>
  <c r="K11" i="1"/>
  <c r="K32" i="1"/>
  <c r="K7" i="1"/>
  <c r="K6" i="1"/>
  <c r="K5" i="1"/>
  <c r="K28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K3" i="1"/>
  <c r="B11" i="1"/>
  <c r="B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36" i="1"/>
  <c r="H3" i="1"/>
  <c r="I3" i="1"/>
  <c r="E4" i="1"/>
  <c r="E5" i="1" s="1"/>
  <c r="L26" i="1" l="1"/>
  <c r="L17" i="1"/>
  <c r="L16" i="1"/>
  <c r="L27" i="1"/>
  <c r="L21" i="1"/>
  <c r="L20" i="1"/>
  <c r="L19" i="1"/>
  <c r="L18" i="1"/>
  <c r="L14" i="1"/>
  <c r="L13" i="1"/>
  <c r="L5" i="1"/>
  <c r="L3" i="1"/>
  <c r="L12" i="1"/>
  <c r="L8" i="1"/>
  <c r="L11" i="1"/>
  <c r="L7" i="1"/>
  <c r="L29" i="1"/>
  <c r="L28" i="1"/>
  <c r="L24" i="1"/>
  <c r="L22" i="1"/>
  <c r="L15" i="1"/>
  <c r="L10" i="1"/>
  <c r="L32" i="1"/>
  <c r="L6" i="1"/>
  <c r="L25" i="1"/>
  <c r="L9" i="1"/>
  <c r="L31" i="1"/>
  <c r="L30" i="1"/>
  <c r="L4" i="1"/>
  <c r="L23" i="1"/>
  <c r="H4" i="1"/>
  <c r="I4" i="1"/>
  <c r="I5" i="1"/>
  <c r="E6" i="1"/>
  <c r="L34" i="1" l="1"/>
  <c r="E7" i="1"/>
  <c r="I6" i="1"/>
  <c r="H5" i="1" l="1"/>
  <c r="E8" i="1"/>
  <c r="I7" i="1"/>
  <c r="H6" i="1" l="1"/>
  <c r="I8" i="1"/>
  <c r="E9" i="1"/>
  <c r="H7" i="1" l="1"/>
  <c r="I9" i="1"/>
  <c r="E10" i="1"/>
  <c r="H8" i="1" l="1"/>
  <c r="I10" i="1"/>
  <c r="E11" i="1"/>
  <c r="H9" i="1" l="1"/>
  <c r="H10" i="1" s="1"/>
  <c r="E12" i="1"/>
  <c r="I11" i="1"/>
  <c r="H11" i="1" l="1"/>
  <c r="I12" i="1"/>
  <c r="E13" i="1"/>
  <c r="H12" i="1" l="1"/>
  <c r="I13" i="1"/>
  <c r="E14" i="1"/>
  <c r="H13" i="1" l="1"/>
  <c r="E15" i="1"/>
  <c r="I14" i="1"/>
  <c r="H14" i="1" l="1"/>
  <c r="E16" i="1"/>
  <c r="I15" i="1"/>
  <c r="H15" i="1" l="1"/>
  <c r="E17" i="1"/>
  <c r="I16" i="1"/>
  <c r="H16" i="1" l="1"/>
  <c r="I17" i="1"/>
  <c r="E18" i="1"/>
  <c r="H17" i="1" l="1"/>
  <c r="E19" i="1"/>
  <c r="I18" i="1"/>
  <c r="H18" i="1" l="1"/>
  <c r="E20" i="1"/>
  <c r="I19" i="1"/>
  <c r="H19" i="1" l="1"/>
  <c r="I20" i="1"/>
  <c r="E21" i="1"/>
  <c r="H20" i="1" l="1"/>
  <c r="I21" i="1"/>
  <c r="E22" i="1"/>
  <c r="H21" i="1" l="1"/>
  <c r="I22" i="1"/>
  <c r="E23" i="1"/>
  <c r="H22" i="1" l="1"/>
  <c r="E24" i="1"/>
  <c r="I23" i="1"/>
  <c r="H23" i="1" l="1"/>
  <c r="E25" i="1"/>
  <c r="I24" i="1"/>
  <c r="H24" i="1" l="1"/>
  <c r="I25" i="1"/>
  <c r="E26" i="1"/>
  <c r="H25" i="1" l="1"/>
  <c r="I26" i="1"/>
  <c r="E27" i="1"/>
  <c r="H26" i="1" l="1"/>
  <c r="E28" i="1"/>
  <c r="I27" i="1"/>
  <c r="H27" i="1" l="1"/>
  <c r="E29" i="1"/>
  <c r="I28" i="1"/>
  <c r="H28" i="1" l="1"/>
  <c r="I29" i="1"/>
  <c r="E30" i="1"/>
  <c r="H29" i="1" l="1"/>
  <c r="E31" i="1"/>
  <c r="I30" i="1"/>
  <c r="H30" i="1" l="1"/>
  <c r="E32" i="1"/>
  <c r="I31" i="1"/>
  <c r="H31" i="1" l="1"/>
  <c r="E33" i="1"/>
  <c r="I33" i="1" s="1"/>
  <c r="I32" i="1"/>
  <c r="H32" i="1" l="1"/>
  <c r="I34" i="1"/>
  <c r="H33" i="1" l="1"/>
  <c r="G36" i="1"/>
</calcChain>
</file>

<file path=xl/sharedStrings.xml><?xml version="1.0" encoding="utf-8"?>
<sst xmlns="http://schemas.openxmlformats.org/spreadsheetml/2006/main" count="28" uniqueCount="18">
  <si>
    <t xml:space="preserve"> </t>
  </si>
  <si>
    <t>Beta</t>
  </si>
  <si>
    <t>Sigma</t>
  </si>
  <si>
    <t>EXERCISE 4.4: Consumption-saving decision</t>
  </si>
  <si>
    <t>Parameters</t>
  </si>
  <si>
    <t>Exogenous variables</t>
  </si>
  <si>
    <t>Interest rate</t>
  </si>
  <si>
    <t>Period</t>
  </si>
  <si>
    <t>Consumption</t>
  </si>
  <si>
    <t>Income</t>
  </si>
  <si>
    <t>Utility</t>
  </si>
  <si>
    <t>Sum</t>
  </si>
  <si>
    <t>Natural Rate</t>
  </si>
  <si>
    <t>Marg Util</t>
  </si>
  <si>
    <t>Euler</t>
  </si>
  <si>
    <t>EulerSq</t>
  </si>
  <si>
    <t>Saving Rat</t>
  </si>
  <si>
    <t>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</si>
</sst>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"/>
  </numFmts>
  <fonts count="6" x14ac:knownFonts="1"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2" xfId="0" applyFont="1" applyFill="1" applyBorder="1" applyAlignment="1">
      <alignment horizontal="center"/>
    </xf>
    <xf numFmtId="2" fontId="2" fillId="3" borderId="0" xfId="0" applyNumberFormat="1" applyFont="1" applyFill="1"/>
    <xf numFmtId="2" fontId="2" fillId="3" borderId="3" xfId="0" applyNumberFormat="1" applyFont="1" applyFill="1" applyBorder="1"/>
    <xf numFmtId="0" fontId="1" fillId="3" borderId="4" xfId="0" applyFont="1" applyFill="1" applyBorder="1" applyAlignment="1">
      <alignment horizontal="center"/>
    </xf>
    <xf numFmtId="2" fontId="1" fillId="3" borderId="9" xfId="0" applyNumberFormat="1" applyFont="1" applyFill="1" applyBorder="1"/>
    <xf numFmtId="2" fontId="1" fillId="3" borderId="5" xfId="0" applyNumberFormat="1" applyFont="1" applyFill="1" applyBorder="1"/>
    <xf numFmtId="0" fontId="4" fillId="4" borderId="6" xfId="0" applyFont="1" applyFill="1" applyBorder="1"/>
    <xf numFmtId="0" fontId="5" fillId="4" borderId="8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s-ES" sz="1100" b="1"/>
              <a:t>Income</a:t>
            </a:r>
          </a:p>
        </c:rich>
      </c:tx>
      <c:layout>
        <c:manualLayout>
          <c:xMode val="edge"/>
          <c:yMode val="edge"/>
          <c:x val="0.43569662600465098"/>
          <c:y val="3.74532323586940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5603996483341"/>
          <c:y val="0.23595591919738704"/>
          <c:w val="0.80840102218929977"/>
          <c:h val="0.5056198268515437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Hoja1!$E$3:$E$34</c:f>
              <c:strCach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Sum</c:v>
                </c:pt>
              </c:strCache>
            </c:strRef>
          </c:cat>
          <c:val>
            <c:numRef>
              <c:f>Hoja1!$G$3:$G$33</c:f>
              <c:numCache>
                <c:formatCode>0.00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E-4689-AA1D-15CE38E9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780416"/>
        <c:axId val="867780976"/>
      </c:lineChart>
      <c:catAx>
        <c:axId val="86778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s-ES" b="1"/>
                  <a:t>Time</a:t>
                </a:r>
              </a:p>
            </c:rich>
          </c:tx>
          <c:layout>
            <c:manualLayout>
              <c:xMode val="edge"/>
              <c:yMode val="edge"/>
              <c:x val="0.49081500822759844"/>
              <c:y val="0.8576812611799320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677809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6778097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67780416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Times New Roman" panose="02020603050405020304" pitchFamily="18" charset="0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419920</xdr:colOff>
      <xdr:row>20</xdr:row>
      <xdr:rowOff>163871</xdr:rowOff>
    </xdr:from>
    <xdr:to>
      <xdr:col>26</xdr:col>
      <xdr:colOff>261374</xdr:colOff>
      <xdr:row>36</xdr:row>
      <xdr:rowOff>80952</xdr:rowOff>
    </xdr:to>
    <xdr:graphicFrame macro="">
      <xdr:nvGraphicFramePr>
        <xdr:cNvPr id="1126" name="Chart 10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"/>
  <sheetViews>
    <sheetView tabSelected="1" topLeftCell="B18" zoomScale="93" zoomScaleNormal="93" workbookViewId="0">
      <selection activeCell="H33" sqref="H33"/>
    </sheetView>
  </sheetViews>
  <sheetFormatPr defaultColWidth="11.59765625" defaultRowHeight="13.9" x14ac:dyDescent="0.4"/>
  <cols>
    <col min="1" max="1" width="44.1328125" style="1" customWidth="1"/>
    <col min="2" max="2" width="11" style="1" customWidth="1"/>
    <col min="3" max="3" width="4.265625" style="1" customWidth="1"/>
    <col min="4" max="4" width="11.3984375" style="1" hidden="1" customWidth="1"/>
    <col min="5" max="5" width="9.1328125" style="1" customWidth="1"/>
    <col min="6" max="6" width="12.86328125" style="1" customWidth="1"/>
    <col min="7" max="7" width="7.86328125" style="1" customWidth="1"/>
    <col min="8" max="8" width="19.86328125" style="1" customWidth="1"/>
    <col min="9" max="9" width="15.1328125" style="1" customWidth="1"/>
    <col min="10" max="10" width="23.3984375" style="1" customWidth="1"/>
    <col min="11" max="16384" width="11.59765625" style="1"/>
  </cols>
  <sheetData>
    <row r="1" spans="1:57" ht="14.25" thickBot="1" x14ac:dyDescent="0.45">
      <c r="A1" s="5" t="s">
        <v>3</v>
      </c>
      <c r="BB1" s="2"/>
    </row>
    <row r="2" spans="1:57" x14ac:dyDescent="0.4">
      <c r="A2" s="1" t="s">
        <v>0</v>
      </c>
      <c r="E2" s="18" t="s">
        <v>7</v>
      </c>
      <c r="F2" s="19" t="s">
        <v>8</v>
      </c>
      <c r="G2" s="19" t="s">
        <v>9</v>
      </c>
      <c r="H2" s="19" t="s">
        <v>17</v>
      </c>
      <c r="I2" s="20" t="s">
        <v>10</v>
      </c>
      <c r="J2" s="1" t="s">
        <v>13</v>
      </c>
      <c r="K2" s="1" t="s">
        <v>14</v>
      </c>
      <c r="L2" s="1" t="s">
        <v>15</v>
      </c>
      <c r="M2" s="1" t="s">
        <v>16</v>
      </c>
      <c r="BB2" s="3"/>
      <c r="BC2" s="3"/>
      <c r="BD2" s="3"/>
    </row>
    <row r="3" spans="1:57" ht="14.25" thickBot="1" x14ac:dyDescent="0.45">
      <c r="A3" s="1" t="s">
        <v>0</v>
      </c>
      <c r="E3" s="10">
        <v>0</v>
      </c>
      <c r="F3" s="11">
        <v>10.495295930312659</v>
      </c>
      <c r="G3" s="11">
        <f>10</f>
        <v>10</v>
      </c>
      <c r="H3" s="11">
        <f>G3-F3</f>
        <v>-0.49529593031265939</v>
      </c>
      <c r="I3" s="12">
        <f t="shared" ref="I3:I33" si="0">Beta^E3*(F3^(1-Sigma)-1)/(1-Sigma)</f>
        <v>1.3826482958292017</v>
      </c>
      <c r="J3" s="21">
        <f t="shared" ref="J3:J33" si="1">F3^(-Sigma)</f>
        <v>2.9410876466463155E-2</v>
      </c>
      <c r="K3" s="1">
        <f t="shared" ref="K3:K32" si="2">J3 - Beta * J4 * (1+Rbar)</f>
        <v>2.7225170512804042E-7</v>
      </c>
      <c r="L3" s="1">
        <f>K3^2</f>
        <v>7.4120990945125468E-14</v>
      </c>
      <c r="M3" s="1">
        <f>(G3-F3)/G3</f>
        <v>-4.9529593031265938E-2</v>
      </c>
    </row>
    <row r="4" spans="1:57" x14ac:dyDescent="0.4">
      <c r="A4" s="16" t="s">
        <v>4</v>
      </c>
      <c r="B4" s="17"/>
      <c r="E4" s="10">
        <f>E3+1</f>
        <v>1</v>
      </c>
      <c r="F4" s="11">
        <v>10.455089828892717</v>
      </c>
      <c r="G4" s="11">
        <f>10</f>
        <v>10</v>
      </c>
      <c r="H4" s="11">
        <f t="shared" ref="H4:H33" si="3">(1+Rbar)*H3+G4-F4</f>
        <v>-0.96276815746319322</v>
      </c>
      <c r="I4" s="12">
        <f t="shared" si="0"/>
        <v>1.3400185190491591</v>
      </c>
      <c r="J4" s="21">
        <f t="shared" si="1"/>
        <v>2.9580693200661839E-2</v>
      </c>
      <c r="K4" s="1">
        <f t="shared" si="2"/>
        <v>1.6616771027662403E-6</v>
      </c>
      <c r="L4" s="1">
        <f t="shared" ref="L4:L32" si="4">K4^2</f>
        <v>2.7611707938576061E-12</v>
      </c>
      <c r="M4" s="1">
        <f t="shared" ref="M4:M32" si="5">(G4-F4)/G4</f>
        <v>-4.5508982889271722E-2</v>
      </c>
    </row>
    <row r="5" spans="1:57" x14ac:dyDescent="0.4">
      <c r="A5" s="6" t="s">
        <v>1</v>
      </c>
      <c r="B5" s="7">
        <v>0.97</v>
      </c>
      <c r="E5" s="10">
        <f t="shared" ref="E5:E33" si="6">E4+1</f>
        <v>2</v>
      </c>
      <c r="F5" s="11">
        <v>10.415363532842081</v>
      </c>
      <c r="G5" s="11">
        <f>10</f>
        <v>10</v>
      </c>
      <c r="H5" s="11">
        <f t="shared" si="3"/>
        <v>-1.4022008942418545</v>
      </c>
      <c r="I5" s="12">
        <f t="shared" si="0"/>
        <v>1.29870912140635</v>
      </c>
      <c r="J5" s="21">
        <f t="shared" si="1"/>
        <v>2.9750094567321174E-2</v>
      </c>
      <c r="K5" s="1">
        <f t="shared" si="2"/>
        <v>3.3050990405694702E-6</v>
      </c>
      <c r="L5" s="1">
        <f t="shared" si="4"/>
        <v>1.0923679667973233E-11</v>
      </c>
      <c r="M5" s="1">
        <f t="shared" si="5"/>
        <v>-4.1536353284208086E-2</v>
      </c>
    </row>
    <row r="6" spans="1:57" ht="14.25" thickBot="1" x14ac:dyDescent="0.45">
      <c r="A6" s="8" t="s">
        <v>2</v>
      </c>
      <c r="B6" s="9">
        <f>1.5</f>
        <v>1.5</v>
      </c>
      <c r="E6" s="10">
        <f t="shared" si="6"/>
        <v>3</v>
      </c>
      <c r="F6" s="11">
        <v>10.376168123212699</v>
      </c>
      <c r="G6" s="11">
        <f>10</f>
        <v>10</v>
      </c>
      <c r="H6" s="11">
        <f t="shared" si="3"/>
        <v>-1.8134240398105987</v>
      </c>
      <c r="I6" s="12">
        <f t="shared" si="0"/>
        <v>1.2586805965862342</v>
      </c>
      <c r="J6" s="21">
        <f t="shared" si="1"/>
        <v>2.9918822698798701E-2</v>
      </c>
      <c r="K6" s="1">
        <f t="shared" si="2"/>
        <v>4.5681074379681774E-6</v>
      </c>
      <c r="L6" s="1">
        <f t="shared" si="4"/>
        <v>2.0867605564820185E-11</v>
      </c>
      <c r="M6" s="1">
        <f t="shared" si="5"/>
        <v>-3.7616812321269857E-2</v>
      </c>
    </row>
    <row r="7" spans="1:57" ht="14.25" thickBot="1" x14ac:dyDescent="0.45">
      <c r="E7" s="10">
        <f t="shared" si="6"/>
        <v>4</v>
      </c>
      <c r="F7" s="11">
        <v>10.337406856690903</v>
      </c>
      <c r="G7" s="11">
        <f>10</f>
        <v>10</v>
      </c>
      <c r="H7" s="11">
        <f t="shared" si="3"/>
        <v>-2.1961664974967672</v>
      </c>
      <c r="I7" s="12">
        <f t="shared" si="0"/>
        <v>1.2198906267775669</v>
      </c>
      <c r="J7" s="21">
        <f t="shared" si="1"/>
        <v>3.0087256315172978E-2</v>
      </c>
      <c r="K7" s="1">
        <f t="shared" si="2"/>
        <v>6.5658904559590114E-6</v>
      </c>
      <c r="L7" s="1">
        <f t="shared" si="4"/>
        <v>4.3110917479653635E-11</v>
      </c>
      <c r="M7" s="1">
        <f t="shared" si="5"/>
        <v>-3.3740685669090276E-2</v>
      </c>
    </row>
    <row r="8" spans="1:57" x14ac:dyDescent="0.4">
      <c r="A8" s="16" t="s">
        <v>5</v>
      </c>
      <c r="B8" s="17"/>
      <c r="E8" s="10">
        <f t="shared" si="6"/>
        <v>5</v>
      </c>
      <c r="F8" s="11">
        <v>10.299240502342</v>
      </c>
      <c r="G8" s="11">
        <f>10</f>
        <v>10</v>
      </c>
      <c r="H8" s="11">
        <f t="shared" si="3"/>
        <v>-2.550311162276186</v>
      </c>
      <c r="I8" s="12">
        <f t="shared" si="0"/>
        <v>1.1823050667652626</v>
      </c>
      <c r="J8" s="21">
        <f t="shared" si="1"/>
        <v>3.0254654689179806E-2</v>
      </c>
      <c r="K8" s="1">
        <f t="shared" si="2"/>
        <v>7.3610779110708235E-6</v>
      </c>
      <c r="L8" s="1">
        <f t="shared" si="4"/>
        <v>5.4185468012854797E-11</v>
      </c>
      <c r="M8" s="1">
        <f t="shared" si="5"/>
        <v>-2.9924050234200018E-2</v>
      </c>
      <c r="BE8" s="4"/>
    </row>
    <row r="9" spans="1:57" ht="14.25" thickBot="1" x14ac:dyDescent="0.45">
      <c r="A9" s="8" t="s">
        <v>6</v>
      </c>
      <c r="B9" s="1">
        <v>2.5000000000000001E-2</v>
      </c>
      <c r="E9" s="10">
        <f t="shared" si="6"/>
        <v>6</v>
      </c>
      <c r="F9" s="11">
        <v>10.261386639639236</v>
      </c>
      <c r="G9" s="11">
        <f>10</f>
        <v>10</v>
      </c>
      <c r="H9" s="11">
        <f t="shared" si="3"/>
        <v>-2.8754555809723268</v>
      </c>
      <c r="I9" s="12">
        <f t="shared" si="0"/>
        <v>1.1458793112180452</v>
      </c>
      <c r="J9" s="21">
        <f t="shared" si="1"/>
        <v>3.0422221384228048E-2</v>
      </c>
      <c r="K9" s="1">
        <f t="shared" si="2"/>
        <v>9.2480067874975425E-6</v>
      </c>
      <c r="L9" s="1">
        <f t="shared" si="4"/>
        <v>8.5525629541600621E-11</v>
      </c>
      <c r="M9" s="1">
        <f t="shared" si="5"/>
        <v>-2.6138663963923569E-2</v>
      </c>
    </row>
    <row r="10" spans="1:57" x14ac:dyDescent="0.4">
      <c r="A10" s="1" t="s">
        <v>0</v>
      </c>
      <c r="E10" s="10">
        <f t="shared" si="6"/>
        <v>7</v>
      </c>
      <c r="F10" s="11">
        <v>10.224085639447901</v>
      </c>
      <c r="G10" s="11">
        <f>10</f>
        <v>10</v>
      </c>
      <c r="H10" s="11">
        <f t="shared" si="3"/>
        <v>-3.1714276099445362</v>
      </c>
      <c r="I10" s="12">
        <f t="shared" si="0"/>
        <v>1.1105835423819952</v>
      </c>
      <c r="J10" s="21">
        <f t="shared" si="1"/>
        <v>3.0588859318522055E-2</v>
      </c>
      <c r="K10" s="1">
        <f t="shared" si="2"/>
        <v>9.9622178578867571E-6</v>
      </c>
      <c r="L10" s="1">
        <f t="shared" si="4"/>
        <v>9.924578464799781E-11</v>
      </c>
      <c r="M10" s="1">
        <f t="shared" si="5"/>
        <v>-2.2408563944790138E-2</v>
      </c>
    </row>
    <row r="11" spans="1:57" x14ac:dyDescent="0.4">
      <c r="A11" s="1" t="s">
        <v>12</v>
      </c>
      <c r="B11" s="1">
        <f>1/$B$5 - 1</f>
        <v>3.0927835051546504E-2</v>
      </c>
      <c r="E11" s="10">
        <f t="shared" si="6"/>
        <v>8</v>
      </c>
      <c r="F11" s="11">
        <v>10.187067600204907</v>
      </c>
      <c r="G11" s="11">
        <f>10</f>
        <v>10</v>
      </c>
      <c r="H11" s="11">
        <f t="shared" si="3"/>
        <v>-3.4377809003980566</v>
      </c>
      <c r="I11" s="12">
        <f t="shared" si="0"/>
        <v>1.0763761552685798</v>
      </c>
      <c r="J11" s="21">
        <f t="shared" si="1"/>
        <v>3.0755742620733391E-2</v>
      </c>
      <c r="K11" s="1">
        <f t="shared" si="2"/>
        <v>1.1827681927711192E-5</v>
      </c>
      <c r="L11" s="1">
        <f t="shared" si="4"/>
        <v>1.3989405978310594E-10</v>
      </c>
      <c r="M11" s="1">
        <f t="shared" si="5"/>
        <v>-1.8706760020490699E-2</v>
      </c>
    </row>
    <row r="12" spans="1:57" x14ac:dyDescent="0.4">
      <c r="C12" s="1" t="s">
        <v>0</v>
      </c>
      <c r="E12" s="10">
        <f t="shared" si="6"/>
        <v>9</v>
      </c>
      <c r="F12" s="11">
        <v>10.15058221633282</v>
      </c>
      <c r="G12" s="11">
        <f>10</f>
        <v>10</v>
      </c>
      <c r="H12" s="11">
        <f t="shared" si="3"/>
        <v>-3.674307639240828</v>
      </c>
      <c r="I12" s="12">
        <f t="shared" si="0"/>
        <v>1.0432294903032031</v>
      </c>
      <c r="J12" s="21">
        <f t="shared" si="1"/>
        <v>3.0921714798899356E-2</v>
      </c>
      <c r="K12" s="1">
        <f t="shared" si="2"/>
        <v>1.2400674930995725E-5</v>
      </c>
      <c r="L12" s="1">
        <f t="shared" si="4"/>
        <v>1.5377673874422585E-10</v>
      </c>
      <c r="M12" s="1">
        <f t="shared" si="5"/>
        <v>-1.505822163328201E-2</v>
      </c>
    </row>
    <row r="13" spans="1:57" x14ac:dyDescent="0.4">
      <c r="A13" s="1" t="s">
        <v>0</v>
      </c>
      <c r="E13" s="10">
        <f t="shared" si="6"/>
        <v>10</v>
      </c>
      <c r="F13" s="11">
        <v>10.114338579622066</v>
      </c>
      <c r="G13" s="11">
        <f>10</f>
        <v>10</v>
      </c>
      <c r="H13" s="11">
        <f t="shared" si="3"/>
        <v>-3.8805039098439149</v>
      </c>
      <c r="I13" s="12">
        <f t="shared" si="0"/>
        <v>1.0111039432446525</v>
      </c>
      <c r="J13" s="21">
        <f t="shared" si="1"/>
        <v>3.1088070529513064E-2</v>
      </c>
      <c r="K13" s="1">
        <f t="shared" si="2"/>
        <v>1.3984849315657605E-5</v>
      </c>
      <c r="L13" s="1">
        <f t="shared" si="4"/>
        <v>1.9557601038164898E-10</v>
      </c>
      <c r="M13" s="1">
        <f t="shared" si="5"/>
        <v>-1.1433857962206594E-2</v>
      </c>
    </row>
    <row r="14" spans="1:57" x14ac:dyDescent="0.4">
      <c r="A14" s="1" t="s">
        <v>0</v>
      </c>
      <c r="E14" s="10">
        <f t="shared" si="6"/>
        <v>11</v>
      </c>
      <c r="F14" s="11">
        <v>10.078552455753305</v>
      </c>
      <c r="G14" s="11">
        <f>10</f>
        <v>10</v>
      </c>
      <c r="H14" s="11">
        <f t="shared" si="3"/>
        <v>-4.0560689633433178</v>
      </c>
      <c r="I14" s="12">
        <f t="shared" si="0"/>
        <v>0.97997291876300896</v>
      </c>
      <c r="J14" s="21">
        <f t="shared" si="1"/>
        <v>3.1253795001455781E-2</v>
      </c>
      <c r="K14" s="1">
        <f t="shared" si="2"/>
        <v>1.4522916624151033E-5</v>
      </c>
      <c r="L14" s="1">
        <f t="shared" si="4"/>
        <v>2.1091510727204244E-10</v>
      </c>
      <c r="M14" s="1">
        <f t="shared" si="5"/>
        <v>-7.8552455753305491E-3</v>
      </c>
    </row>
    <row r="15" spans="1:57" x14ac:dyDescent="0.4">
      <c r="C15" s="2" t="s">
        <v>0</v>
      </c>
      <c r="E15" s="10">
        <f t="shared" si="6"/>
        <v>12</v>
      </c>
      <c r="F15" s="11">
        <v>10.042992290411007</v>
      </c>
      <c r="G15" s="11">
        <f>10</f>
        <v>10</v>
      </c>
      <c r="H15" s="11">
        <f t="shared" si="3"/>
        <v>-4.2004629778379075</v>
      </c>
      <c r="I15" s="12">
        <f t="shared" si="0"/>
        <v>0.94980055505559635</v>
      </c>
      <c r="J15" s="21">
        <f t="shared" si="1"/>
        <v>3.1419936720977253E-2</v>
      </c>
      <c r="K15" s="1">
        <f t="shared" si="2"/>
        <v>1.5819798111646466E-5</v>
      </c>
      <c r="L15" s="1">
        <f t="shared" si="4"/>
        <v>2.5026601229325311E-10</v>
      </c>
      <c r="M15" s="1">
        <f t="shared" si="5"/>
        <v>-4.2992290411007165E-3</v>
      </c>
    </row>
    <row r="16" spans="1:57" x14ac:dyDescent="0.4">
      <c r="C16" s="2" t="s">
        <v>0</v>
      </c>
      <c r="E16" s="10">
        <f t="shared" si="6"/>
        <v>13</v>
      </c>
      <c r="F16" s="11">
        <v>10.00781670734662</v>
      </c>
      <c r="G16" s="11">
        <f>10</f>
        <v>10</v>
      </c>
      <c r="H16" s="11">
        <f t="shared" si="3"/>
        <v>-4.3132912596304749</v>
      </c>
      <c r="I16" s="12">
        <f t="shared" si="0"/>
        <v>0.92056073934785521</v>
      </c>
      <c r="J16" s="21">
        <f t="shared" si="1"/>
        <v>3.158573489853217E-2</v>
      </c>
      <c r="K16" s="1">
        <f t="shared" si="2"/>
        <v>1.627646322475973E-5</v>
      </c>
      <c r="L16" s="1">
        <f t="shared" si="4"/>
        <v>2.6492325510695587E-10</v>
      </c>
      <c r="M16" s="1">
        <f t="shared" si="5"/>
        <v>-7.8167073466204327E-4</v>
      </c>
    </row>
    <row r="17" spans="3:13" x14ac:dyDescent="0.4">
      <c r="C17" s="2"/>
      <c r="E17" s="10">
        <f t="shared" si="6"/>
        <v>14</v>
      </c>
      <c r="F17" s="11">
        <v>9.9728429194691088</v>
      </c>
      <c r="G17" s="11">
        <f>10</f>
        <v>10</v>
      </c>
      <c r="H17" s="11">
        <f t="shared" si="3"/>
        <v>-4.3939664605903452</v>
      </c>
      <c r="I17" s="12">
        <f t="shared" si="0"/>
        <v>0.89222085099517301</v>
      </c>
      <c r="J17" s="21">
        <f t="shared" si="1"/>
        <v>3.1752032622889025E-2</v>
      </c>
      <c r="K17" s="1">
        <f t="shared" si="2"/>
        <v>1.3115645448279201E-5</v>
      </c>
      <c r="L17" s="1">
        <f t="shared" si="4"/>
        <v>1.720201555249669E-10</v>
      </c>
      <c r="M17" s="1">
        <f t="shared" si="5"/>
        <v>2.7157080530891163E-3</v>
      </c>
    </row>
    <row r="18" spans="3:13" x14ac:dyDescent="0.4">
      <c r="C18" s="2"/>
      <c r="E18" s="10">
        <f t="shared" si="6"/>
        <v>15</v>
      </c>
      <c r="F18" s="11">
        <v>9.937313649075044</v>
      </c>
      <c r="G18" s="11">
        <f>10</f>
        <v>10</v>
      </c>
      <c r="H18" s="11">
        <f t="shared" si="3"/>
        <v>-4.4411292711801478</v>
      </c>
      <c r="I18" s="12">
        <f t="shared" si="0"/>
        <v>0.86473792349099876</v>
      </c>
      <c r="J18" s="21">
        <f t="shared" si="1"/>
        <v>3.1922471186764646E-2</v>
      </c>
      <c r="K18" s="1">
        <f t="shared" si="2"/>
        <v>-4.4387221040387281E-7</v>
      </c>
      <c r="L18" s="1">
        <f t="shared" si="4"/>
        <v>1.9702253916881993E-13</v>
      </c>
      <c r="M18" s="1">
        <f t="shared" si="5"/>
        <v>6.2686350924956004E-3</v>
      </c>
    </row>
    <row r="19" spans="3:13" x14ac:dyDescent="0.4">
      <c r="C19" s="2"/>
      <c r="E19" s="10">
        <f t="shared" si="6"/>
        <v>16</v>
      </c>
      <c r="F19" s="11">
        <v>9.899092251631048</v>
      </c>
      <c r="G19" s="11">
        <f>10</f>
        <v>10</v>
      </c>
      <c r="H19" s="11">
        <f t="shared" si="3"/>
        <v>-4.451249754590699</v>
      </c>
      <c r="I19" s="12">
        <f t="shared" si="0"/>
        <v>0.83804415279978495</v>
      </c>
      <c r="J19" s="21">
        <f t="shared" si="1"/>
        <v>3.2107533375886399E-2</v>
      </c>
      <c r="K19" s="1">
        <f t="shared" si="2"/>
        <v>-1.2204951776971507E-5</v>
      </c>
      <c r="L19" s="1">
        <f t="shared" si="4"/>
        <v>1.4896084787819992E-10</v>
      </c>
      <c r="M19" s="1">
        <f t="shared" si="5"/>
        <v>1.0090774836895199E-2</v>
      </c>
    </row>
    <row r="20" spans="3:13" x14ac:dyDescent="0.4">
      <c r="C20" s="2"/>
      <c r="E20" s="10">
        <f t="shared" si="6"/>
        <v>17</v>
      </c>
      <c r="F20" s="11">
        <v>9.8586110790826673</v>
      </c>
      <c r="G20" s="11">
        <f>10</f>
        <v>10</v>
      </c>
      <c r="H20" s="11">
        <f t="shared" si="3"/>
        <v>-4.4211420775381338</v>
      </c>
      <c r="I20" s="12">
        <f t="shared" si="0"/>
        <v>0.81212601964458164</v>
      </c>
      <c r="J20" s="21">
        <f t="shared" si="1"/>
        <v>3.2305494923473344E-2</v>
      </c>
      <c r="K20" s="1">
        <f t="shared" si="2"/>
        <v>-1.3940437267989658E-5</v>
      </c>
      <c r="L20" s="1">
        <f t="shared" si="4"/>
        <v>1.9433579122275496E-10</v>
      </c>
      <c r="M20" s="1">
        <f t="shared" si="5"/>
        <v>1.4138892091733269E-2</v>
      </c>
    </row>
    <row r="21" spans="3:13" x14ac:dyDescent="0.4">
      <c r="C21" s="2"/>
      <c r="E21" s="10">
        <f t="shared" si="6"/>
        <v>18</v>
      </c>
      <c r="F21" s="11">
        <v>9.8179592056913592</v>
      </c>
      <c r="G21" s="11">
        <f>10</f>
        <v>10</v>
      </c>
      <c r="H21" s="11">
        <f t="shared" si="3"/>
        <v>-4.3496298351679457</v>
      </c>
      <c r="I21" s="12">
        <f t="shared" si="0"/>
        <v>0.78700087243712624</v>
      </c>
      <c r="J21" s="21">
        <f t="shared" si="1"/>
        <v>3.2506346855158498E-2</v>
      </c>
      <c r="K21" s="1">
        <f t="shared" si="2"/>
        <v>-1.3423903235061652E-5</v>
      </c>
      <c r="L21" s="1">
        <f t="shared" si="4"/>
        <v>1.8020117806429867E-10</v>
      </c>
      <c r="M21" s="1">
        <f t="shared" si="5"/>
        <v>1.8204079430864085E-2</v>
      </c>
    </row>
    <row r="22" spans="3:13" x14ac:dyDescent="0.4">
      <c r="C22" s="2"/>
      <c r="E22" s="10">
        <f t="shared" si="6"/>
        <v>19</v>
      </c>
      <c r="F22" s="11">
        <v>9.7775958669777747</v>
      </c>
      <c r="G22" s="11">
        <f>10</f>
        <v>10</v>
      </c>
      <c r="H22" s="11">
        <f t="shared" si="3"/>
        <v>-4.2359664480249188</v>
      </c>
      <c r="I22" s="12">
        <f t="shared" si="0"/>
        <v>0.76265301029400434</v>
      </c>
      <c r="J22" s="21">
        <f t="shared" si="1"/>
        <v>3.27078408432422E-2</v>
      </c>
      <c r="K22" s="1">
        <f t="shared" si="2"/>
        <v>-1.186061220616319E-5</v>
      </c>
      <c r="L22" s="1">
        <f t="shared" si="4"/>
        <v>1.4067412190498725E-10</v>
      </c>
      <c r="M22" s="1">
        <f t="shared" si="5"/>
        <v>2.2240413302222529E-2</v>
      </c>
    </row>
    <row r="23" spans="3:13" x14ac:dyDescent="0.4">
      <c r="C23" s="2"/>
      <c r="E23" s="10">
        <f t="shared" si="6"/>
        <v>20</v>
      </c>
      <c r="F23" s="11">
        <v>9.7377251324458118</v>
      </c>
      <c r="G23" s="11">
        <f>10</f>
        <v>10</v>
      </c>
      <c r="H23" s="11">
        <f t="shared" si="3"/>
        <v>-4.0795907416713533</v>
      </c>
      <c r="I23" s="12">
        <f t="shared" si="0"/>
        <v>0.73906208937192353</v>
      </c>
      <c r="J23" s="21">
        <f t="shared" si="1"/>
        <v>3.2908927790242258E-2</v>
      </c>
      <c r="K23" s="1">
        <f t="shared" si="2"/>
        <v>-1.1538919717009322E-5</v>
      </c>
      <c r="L23" s="1">
        <f t="shared" si="4"/>
        <v>1.3314666823558648E-10</v>
      </c>
      <c r="M23" s="1">
        <f t="shared" si="5"/>
        <v>2.6227486755418816E-2</v>
      </c>
    </row>
    <row r="24" spans="3:13" x14ac:dyDescent="0.4">
      <c r="C24" s="2"/>
      <c r="E24" s="10">
        <f t="shared" si="6"/>
        <v>21</v>
      </c>
      <c r="F24" s="11">
        <v>9.6980944800567634</v>
      </c>
      <c r="G24" s="11">
        <f>10</f>
        <v>10</v>
      </c>
      <c r="H24" s="11">
        <f t="shared" si="3"/>
        <v>-3.8796749902699004</v>
      </c>
      <c r="I24" s="12">
        <f t="shared" si="0"/>
        <v>0.71620017841694672</v>
      </c>
      <c r="J24" s="21">
        <f t="shared" si="1"/>
        <v>3.3110854121155921E-2</v>
      </c>
      <c r="K24" s="1">
        <f t="shared" si="2"/>
        <v>-9.8475343471363108E-6</v>
      </c>
      <c r="L24" s="1">
        <f t="shared" si="4"/>
        <v>9.6973932718029372E-11</v>
      </c>
      <c r="M24" s="1">
        <f t="shared" si="5"/>
        <v>3.0190551994323654E-2</v>
      </c>
    </row>
    <row r="25" spans="3:13" x14ac:dyDescent="0.4">
      <c r="C25" s="2"/>
      <c r="E25" s="10">
        <f t="shared" si="6"/>
        <v>22</v>
      </c>
      <c r="F25" s="11">
        <v>9.6589677051791885</v>
      </c>
      <c r="G25" s="11">
        <f>10</f>
        <v>10</v>
      </c>
      <c r="H25" s="11">
        <f t="shared" si="3"/>
        <v>-3.6356345702058359</v>
      </c>
      <c r="I25" s="12">
        <f t="shared" si="0"/>
        <v>0.69404929938604965</v>
      </c>
      <c r="J25" s="21">
        <f t="shared" si="1"/>
        <v>3.3312247076191161E-2</v>
      </c>
      <c r="K25" s="1">
        <f t="shared" si="2"/>
        <v>-9.4059096240120543E-6</v>
      </c>
      <c r="L25" s="1">
        <f t="shared" si="4"/>
        <v>8.8471135855082586E-11</v>
      </c>
      <c r="M25" s="1">
        <f t="shared" si="5"/>
        <v>3.4103229482081152E-2</v>
      </c>
    </row>
    <row r="26" spans="3:13" x14ac:dyDescent="0.4">
      <c r="C26" s="2"/>
      <c r="E26" s="10">
        <f t="shared" si="6"/>
        <v>23</v>
      </c>
      <c r="F26" s="11">
        <v>9.6200953127707542</v>
      </c>
      <c r="G26" s="11">
        <f>10</f>
        <v>10</v>
      </c>
      <c r="H26" s="11">
        <f t="shared" si="3"/>
        <v>-3.3466207472317357</v>
      </c>
      <c r="I26" s="12">
        <f t="shared" si="0"/>
        <v>0.67258319358395169</v>
      </c>
      <c r="J26" s="21">
        <f t="shared" si="1"/>
        <v>3.3514360559029593E-2</v>
      </c>
      <c r="K26" s="1">
        <f t="shared" si="2"/>
        <v>-7.8685294402497385E-6</v>
      </c>
      <c r="L26" s="1">
        <f t="shared" si="4"/>
        <v>6.1913755552076857E-11</v>
      </c>
      <c r="M26" s="1">
        <f t="shared" si="5"/>
        <v>3.7990468722924574E-2</v>
      </c>
    </row>
    <row r="27" spans="3:13" x14ac:dyDescent="0.4">
      <c r="C27" s="2"/>
      <c r="E27" s="10">
        <f t="shared" si="6"/>
        <v>24</v>
      </c>
      <c r="F27" s="11">
        <v>9.5816831779466387</v>
      </c>
      <c r="G27" s="11">
        <f>10</f>
        <v>10</v>
      </c>
      <c r="H27" s="11">
        <f t="shared" si="3"/>
        <v>-3.0119694438591678</v>
      </c>
      <c r="I27" s="12">
        <f t="shared" si="0"/>
        <v>0.65178407922992998</v>
      </c>
      <c r="J27" s="21">
        <f t="shared" si="1"/>
        <v>3.3716096644173847E-2</v>
      </c>
      <c r="K27" s="1">
        <f t="shared" si="2"/>
        <v>-7.213815718873362E-6</v>
      </c>
      <c r="L27" s="1">
        <f t="shared" si="4"/>
        <v>5.2039137225864401E-11</v>
      </c>
      <c r="M27" s="1">
        <f t="shared" si="5"/>
        <v>4.1831682205336132E-2</v>
      </c>
    </row>
    <row r="28" spans="3:13" x14ac:dyDescent="0.4">
      <c r="C28" s="2"/>
      <c r="E28" s="10">
        <f t="shared" si="6"/>
        <v>25</v>
      </c>
      <c r="F28" s="11">
        <v>9.5435568735386695</v>
      </c>
      <c r="G28" s="11">
        <f>10</f>
        <v>10</v>
      </c>
      <c r="H28" s="11">
        <f t="shared" si="3"/>
        <v>-2.6308255534943168</v>
      </c>
      <c r="I28" s="12">
        <f t="shared" si="0"/>
        <v>0.63162847741238703</v>
      </c>
      <c r="J28" s="21">
        <f t="shared" si="1"/>
        <v>3.3918340920183782E-2</v>
      </c>
      <c r="K28" s="1">
        <f t="shared" si="2"/>
        <v>-5.7335262147045762E-6</v>
      </c>
      <c r="L28" s="1">
        <f t="shared" si="4"/>
        <v>3.2873322854704586E-11</v>
      </c>
      <c r="M28" s="1">
        <f t="shared" si="5"/>
        <v>4.5644312646133042E-2</v>
      </c>
    </row>
    <row r="29" spans="3:13" x14ac:dyDescent="0.4">
      <c r="C29" s="2"/>
      <c r="E29" s="10">
        <f t="shared" si="6"/>
        <v>26</v>
      </c>
      <c r="F29" s="11">
        <v>9.5058668776261381</v>
      </c>
      <c r="G29" s="11">
        <f>10</f>
        <v>10</v>
      </c>
      <c r="H29" s="11">
        <f t="shared" si="3"/>
        <v>-2.2024630699578127</v>
      </c>
      <c r="I29" s="12">
        <f t="shared" si="0"/>
        <v>0.6120988393176745</v>
      </c>
      <c r="J29" s="21">
        <f t="shared" si="1"/>
        <v>3.4120265975759109E-2</v>
      </c>
      <c r="K29" s="1">
        <f t="shared" si="2"/>
        <v>-4.6708829931213502E-6</v>
      </c>
      <c r="L29" s="1">
        <f t="shared" si="4"/>
        <v>2.1817147935430262E-11</v>
      </c>
      <c r="M29" s="1">
        <f t="shared" si="5"/>
        <v>4.9413312237386188E-2</v>
      </c>
    </row>
    <row r="30" spans="3:13" x14ac:dyDescent="0.4">
      <c r="C30" s="2"/>
      <c r="E30" s="10">
        <f t="shared" si="6"/>
        <v>27</v>
      </c>
      <c r="F30" s="11">
        <v>9.4685286030947982</v>
      </c>
      <c r="G30" s="11">
        <f>10</f>
        <v>10</v>
      </c>
      <c r="H30" s="11">
        <f t="shared" si="3"/>
        <v>-1.7260532498015557</v>
      </c>
      <c r="I30" s="12">
        <f t="shared" si="0"/>
        <v>0.59317445761290655</v>
      </c>
      <c r="J30" s="21">
        <f t="shared" si="1"/>
        <v>3.4322290026404058E-2</v>
      </c>
      <c r="K30" s="1">
        <f t="shared" si="2"/>
        <v>-3.5196914411547708E-6</v>
      </c>
      <c r="L30" s="1">
        <f t="shared" si="4"/>
        <v>1.2388227840938148E-11</v>
      </c>
      <c r="M30" s="1">
        <f t="shared" si="5"/>
        <v>5.3147139690520186E-2</v>
      </c>
    </row>
    <row r="31" spans="3:13" x14ac:dyDescent="0.4">
      <c r="C31" s="2"/>
      <c r="E31" s="10">
        <f t="shared" si="6"/>
        <v>28</v>
      </c>
      <c r="F31" s="11">
        <v>9.4315529219672527</v>
      </c>
      <c r="G31" s="11">
        <f>10</f>
        <v>10</v>
      </c>
      <c r="H31" s="11">
        <f t="shared" si="3"/>
        <v>-1.2007575030138469</v>
      </c>
      <c r="I31" s="12">
        <f t="shared" si="0"/>
        <v>0.57483675446797877</v>
      </c>
      <c r="J31" s="21">
        <f t="shared" si="1"/>
        <v>3.4524324584204388E-2</v>
      </c>
      <c r="K31" s="1">
        <f t="shared" si="2"/>
        <v>-2.479097325452928E-6</v>
      </c>
      <c r="L31" s="1">
        <f t="shared" si="4"/>
        <v>6.1459235490678613E-12</v>
      </c>
      <c r="M31" s="1">
        <f t="shared" si="5"/>
        <v>5.6844707803274733E-2</v>
      </c>
    </row>
    <row r="32" spans="3:13" x14ac:dyDescent="0.4">
      <c r="E32" s="10">
        <f t="shared" si="6"/>
        <v>29</v>
      </c>
      <c r="F32" s="11">
        <v>9.3949141557213167</v>
      </c>
      <c r="G32" s="11">
        <f>10</f>
        <v>10</v>
      </c>
      <c r="H32" s="11">
        <f t="shared" si="3"/>
        <v>-0.62569059631050905</v>
      </c>
      <c r="I32" s="12">
        <f t="shared" si="0"/>
        <v>0.55706718997188964</v>
      </c>
      <c r="J32" s="21">
        <f t="shared" si="1"/>
        <v>3.4726480946974954E-2</v>
      </c>
      <c r="K32" s="1">
        <f t="shared" si="2"/>
        <v>-1.1058530548641032E-6</v>
      </c>
      <c r="L32" s="1">
        <f t="shared" si="4"/>
        <v>1.2229109789522694E-12</v>
      </c>
      <c r="M32" s="1">
        <f t="shared" si="5"/>
        <v>6.0508584427868328E-2</v>
      </c>
    </row>
    <row r="33" spans="5:12" x14ac:dyDescent="0.4">
      <c r="E33" s="10">
        <f t="shared" si="6"/>
        <v>30</v>
      </c>
      <c r="F33" s="11">
        <v>9.3586670350267713</v>
      </c>
      <c r="G33" s="11">
        <f>10</f>
        <v>10</v>
      </c>
      <c r="H33" s="11">
        <f t="shared" si="3"/>
        <v>1.0375495662628964E-7</v>
      </c>
      <c r="I33" s="12">
        <f t="shared" si="0"/>
        <v>0.53984894736013556</v>
      </c>
      <c r="J33" s="21">
        <f t="shared" si="1"/>
        <v>3.4928425245189666E-2</v>
      </c>
    </row>
    <row r="34" spans="5:12" ht="14.25" thickBot="1" x14ac:dyDescent="0.45">
      <c r="E34" s="13" t="s">
        <v>11</v>
      </c>
      <c r="F34" s="14" t="s">
        <v>0</v>
      </c>
      <c r="G34" s="14" t="s">
        <v>0</v>
      </c>
      <c r="H34" s="14" t="s">
        <v>0</v>
      </c>
      <c r="I34" s="15">
        <f>SUM(I3:I33)</f>
        <v>27.858875217790153</v>
      </c>
      <c r="L34" s="2">
        <f>SUM(L3:L32)</f>
        <v>2.8754268401610441E-9</v>
      </c>
    </row>
    <row r="36" spans="5:12" x14ac:dyDescent="0.4">
      <c r="F36" s="1">
        <f>STDEV(F3:F33)</f>
        <v>0.34381900702380513</v>
      </c>
      <c r="G36" s="1">
        <f>STDEV(G3:G33)</f>
        <v>0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H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Hoja1</vt:lpstr>
      <vt:lpstr>Hoja2</vt:lpstr>
      <vt:lpstr>Hoja3</vt:lpstr>
      <vt:lpstr>Beta</vt:lpstr>
      <vt:lpstr>Rbar</vt:lpstr>
      <vt:lpstr>Rbara</vt:lpstr>
      <vt:lpstr>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2026-02-24T16:45:19Z</dcterms:modified>
</cp:coreProperties>
</file>