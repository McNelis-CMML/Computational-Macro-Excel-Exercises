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FFBA31B0-3835-4B4C-89A4-6F513FE0CD0E}" xr6:coauthVersionLast="47" xr6:coauthVersionMax="47" xr10:uidLastSave="{00000000-0000-0000-0000-000000000000}"/>
  <bookViews>
    <workbookView xWindow="-98" yWindow="-98" windowWidth="19396" windowHeight="11475" xr2:uid="{909F8FA6-EB0A-40CF-858C-A89B7A4F2411}"/>
  </bookViews>
  <sheets>
    <sheet name="Sheet1" sheetId="1" r:id="rId1"/>
  </sheets>
  <externalReferences>
    <externalReference r:id="rId2"/>
  </externalReferences>
  <definedNames>
    <definedName name="Ac">Sheet1!$B$34</definedName>
    <definedName name="alpha">Sheet1!$B$12</definedName>
    <definedName name="alphaK">Sheet1!$B$12</definedName>
    <definedName name="Beta">Sheet1!$B$18</definedName>
    <definedName name="Cbar">Sheet1!$B$39</definedName>
    <definedName name="Delta">Sheet1!$B$13</definedName>
    <definedName name="gamma">Sheet1!$B$49</definedName>
    <definedName name="Interest">Sheet1!$B$17</definedName>
    <definedName name="kbar">Sheet1!$B$21</definedName>
    <definedName name="lambdabar">Sheet1!$B$46</definedName>
    <definedName name="lbar">Sheet1!$B$22</definedName>
    <definedName name="mpk">Sheet1!$B$47</definedName>
    <definedName name="mpl">Sheet1!$B$48</definedName>
    <definedName name="mpoil">Sheet1!$B$50</definedName>
    <definedName name="obar">Sheet1!$B$26</definedName>
    <definedName name="Phi">Sheet1!$B$14</definedName>
    <definedName name="phiL">Sheet1!$B$38</definedName>
    <definedName name="phiLL">Sheet1!$B$37</definedName>
    <definedName name="qbar">Sheet1!$B$20</definedName>
    <definedName name="R_1">#REF!</definedName>
    <definedName name="rho">'[1]Cobb-Dougles'!$B$29</definedName>
    <definedName name="rhoc">Sheet1!$B$31</definedName>
    <definedName name="sigma">'[1]Cobb-Dougles'!$B$30</definedName>
    <definedName name="sigma_c">Sheet1!$B$36</definedName>
    <definedName name="solver_adj" localSheetId="0" hidden="1">Sheet1!$H$3:$H$50,Sheet1!$Z$3:$Z$50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Sheet1!$AS$50</definedName>
    <definedName name="solver_lhs2" localSheetId="0" hidden="1">Sheet1!$H$50</definedName>
    <definedName name="solver_lhs3" localSheetId="0" hidden="1">Sheet1!$Q$2:$Q$50</definedName>
    <definedName name="solver_lhs4" localSheetId="0" hidden="1">Sheet1!$Q$3:$Q$50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Sheet1!$V$53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el3" localSheetId="0" hidden="1">1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0.6</definedName>
    <definedName name="solver_rhs4" localSheetId="0" hidden="1">0.01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auc">Sheet1!$B$42</definedName>
    <definedName name="tauk">Sheet1!$B$44</definedName>
    <definedName name="tauw">Sheet1!$B$43</definedName>
    <definedName name="Y">Sheet1!$R$1</definedName>
    <definedName name="ybar">'[1]Cobb-Dougles'!$B$23</definedName>
    <definedName name="yhat">Sheet1!$B$33</definedName>
    <definedName name="yhat1">Sheet1!$B$35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J3" i="1"/>
  <c r="P2" i="1"/>
  <c r="B50" i="1"/>
  <c r="B48" i="1"/>
  <c r="B47" i="1"/>
  <c r="B63" i="1"/>
  <c r="B59" i="1"/>
  <c r="B60" i="1" s="1"/>
  <c r="G2" i="1" l="1"/>
  <c r="B61" i="1"/>
  <c r="K2" i="1" l="1"/>
  <c r="AB2" i="1"/>
  <c r="K3" i="1"/>
  <c r="B37" i="1" l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B23" i="1"/>
  <c r="W22" i="1"/>
  <c r="W21" i="1"/>
  <c r="W20" i="1"/>
  <c r="D20" i="1"/>
  <c r="W19" i="1"/>
  <c r="D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R2" i="1" l="1"/>
  <c r="M2" i="1"/>
  <c r="S2" i="1"/>
  <c r="B24" i="1"/>
  <c r="B39" i="1"/>
  <c r="N2" i="1"/>
  <c r="I3" i="1"/>
  <c r="T3" i="1" s="1"/>
  <c r="T2" i="1"/>
  <c r="B18" i="1"/>
  <c r="K4" i="1"/>
  <c r="I4" i="1"/>
  <c r="O2" i="1"/>
  <c r="Z2" i="1" l="1"/>
  <c r="AA2" i="1" s="1"/>
  <c r="L2" i="1"/>
  <c r="AB25" i="1"/>
  <c r="AB49" i="1"/>
  <c r="AB34" i="1"/>
  <c r="AB12" i="1"/>
  <c r="AB36" i="1"/>
  <c r="AB16" i="1"/>
  <c r="AB41" i="1"/>
  <c r="AB22" i="1"/>
  <c r="AB47" i="1"/>
  <c r="AB26" i="1"/>
  <c r="AB50" i="1"/>
  <c r="AB4" i="1"/>
  <c r="AB39" i="1"/>
  <c r="AB17" i="1"/>
  <c r="AB19" i="1"/>
  <c r="AB21" i="1"/>
  <c r="AB3" i="1"/>
  <c r="AB27" i="1"/>
  <c r="AB28" i="1"/>
  <c r="AB40" i="1"/>
  <c r="AB18" i="1"/>
  <c r="AB45" i="1"/>
  <c r="AB46" i="1"/>
  <c r="AB5" i="1"/>
  <c r="AB29" i="1"/>
  <c r="AB6" i="1"/>
  <c r="AB30" i="1"/>
  <c r="AB32" i="1"/>
  <c r="AB9" i="1"/>
  <c r="AB37" i="1"/>
  <c r="AB7" i="1"/>
  <c r="AB31" i="1"/>
  <c r="AB8" i="1"/>
  <c r="AB33" i="1"/>
  <c r="AB15" i="1"/>
  <c r="AB48" i="1"/>
  <c r="AB10" i="1"/>
  <c r="AB43" i="1"/>
  <c r="AB11" i="1"/>
  <c r="AB35" i="1"/>
  <c r="AB14" i="1"/>
  <c r="AB23" i="1"/>
  <c r="AB13" i="1"/>
  <c r="AB38" i="1"/>
  <c r="AB20" i="1"/>
  <c r="AB42" i="1"/>
  <c r="AB24" i="1"/>
  <c r="AB44" i="1"/>
  <c r="B53" i="1" a="1"/>
  <c r="B53" i="1" s="1"/>
  <c r="O3" i="1"/>
  <c r="T4" i="1"/>
  <c r="AJ2" i="1"/>
  <c r="I5" i="1"/>
  <c r="K5" i="1"/>
  <c r="O4" i="1"/>
  <c r="AG2" i="1" l="1"/>
  <c r="T5" i="1"/>
  <c r="B46" i="1"/>
  <c r="K6" i="1"/>
  <c r="I6" i="1"/>
  <c r="O5" i="1"/>
  <c r="AF2" i="1" l="1"/>
  <c r="B49" i="1"/>
  <c r="Q3" i="1" s="1"/>
  <c r="T6" i="1"/>
  <c r="K7" i="1"/>
  <c r="I7" i="1"/>
  <c r="O6" i="1"/>
  <c r="R3" i="1" l="1"/>
  <c r="P3" i="1"/>
  <c r="T7" i="1"/>
  <c r="K8" i="1"/>
  <c r="I8" i="1"/>
  <c r="O7" i="1"/>
  <c r="J4" i="1" l="1"/>
  <c r="AO3" i="1"/>
  <c r="T8" i="1"/>
  <c r="I9" i="1"/>
  <c r="K9" i="1"/>
  <c r="O8" i="1"/>
  <c r="N3" i="1" l="1"/>
  <c r="M3" i="1"/>
  <c r="S3" i="1"/>
  <c r="AE3" i="1" s="1"/>
  <c r="T9" i="1"/>
  <c r="O9" i="1"/>
  <c r="K10" i="1"/>
  <c r="I10" i="1"/>
  <c r="AK3" i="1" l="1"/>
  <c r="AJ3" i="1"/>
  <c r="AG3" i="1"/>
  <c r="T10" i="1"/>
  <c r="K11" i="1"/>
  <c r="I11" i="1"/>
  <c r="O10" i="1"/>
  <c r="AL3" i="1" l="1"/>
  <c r="AA3" i="1"/>
  <c r="AF3" i="1"/>
  <c r="AH3" i="1" s="1"/>
  <c r="T11" i="1"/>
  <c r="O11" i="1"/>
  <c r="K12" i="1"/>
  <c r="I12" i="1"/>
  <c r="AC3" i="1" l="1"/>
  <c r="AD3" i="1" s="1"/>
  <c r="Q4" i="1"/>
  <c r="AI3" i="1"/>
  <c r="T12" i="1"/>
  <c r="I13" i="1"/>
  <c r="K13" i="1"/>
  <c r="O12" i="1"/>
  <c r="R4" i="1" l="1"/>
  <c r="P4" i="1"/>
  <c r="U3" i="1"/>
  <c r="V3" i="1" s="1"/>
  <c r="T13" i="1"/>
  <c r="O13" i="1"/>
  <c r="K14" i="1"/>
  <c r="I14" i="1"/>
  <c r="J5" i="1" l="1"/>
  <c r="N4" i="1"/>
  <c r="AG4" i="1" s="1"/>
  <c r="M4" i="1"/>
  <c r="S4" i="1"/>
  <c r="AO4" i="1"/>
  <c r="T14" i="1"/>
  <c r="K15" i="1"/>
  <c r="I15" i="1"/>
  <c r="O14" i="1"/>
  <c r="AJ4" i="1" l="1"/>
  <c r="AE4" i="1"/>
  <c r="AK4" i="1"/>
  <c r="AM4" i="1"/>
  <c r="AA4" i="1"/>
  <c r="Q5" i="1" s="1"/>
  <c r="T15" i="1"/>
  <c r="K16" i="1"/>
  <c r="I16" i="1"/>
  <c r="O15" i="1"/>
  <c r="AL4" i="1" l="1"/>
  <c r="AN4" i="1" s="1"/>
  <c r="R5" i="1"/>
  <c r="P5" i="1"/>
  <c r="AC4" i="1"/>
  <c r="AD4" i="1" s="1"/>
  <c r="AF4" i="1"/>
  <c r="AH4" i="1" s="1"/>
  <c r="T16" i="1"/>
  <c r="I17" i="1"/>
  <c r="K17" i="1"/>
  <c r="O16" i="1"/>
  <c r="J6" i="1" l="1"/>
  <c r="N5" i="1"/>
  <c r="M5" i="1"/>
  <c r="S5" i="1"/>
  <c r="AI4" i="1"/>
  <c r="AP4" i="1"/>
  <c r="U4" i="1"/>
  <c r="V4" i="1" s="1"/>
  <c r="T17" i="1"/>
  <c r="O17" i="1"/>
  <c r="K18" i="1"/>
  <c r="I18" i="1"/>
  <c r="AE5" i="1" l="1"/>
  <c r="AM5" i="1"/>
  <c r="AO5" i="1"/>
  <c r="T18" i="1"/>
  <c r="O18" i="1"/>
  <c r="K19" i="1"/>
  <c r="I19" i="1"/>
  <c r="AK5" i="1" l="1"/>
  <c r="AA5" i="1"/>
  <c r="Q6" i="1" s="1"/>
  <c r="AF5" i="1"/>
  <c r="AG5" i="1"/>
  <c r="AJ5" i="1"/>
  <c r="T19" i="1"/>
  <c r="I20" i="1"/>
  <c r="K20" i="1"/>
  <c r="O19" i="1"/>
  <c r="AL5" i="1" l="1"/>
  <c r="AN5" i="1" s="1"/>
  <c r="P6" i="1"/>
  <c r="R6" i="1"/>
  <c r="AC5" i="1"/>
  <c r="AD5" i="1" s="1"/>
  <c r="AH5" i="1"/>
  <c r="T20" i="1"/>
  <c r="O20" i="1"/>
  <c r="I21" i="1"/>
  <c r="K21" i="1"/>
  <c r="S6" i="1" l="1"/>
  <c r="N6" i="1"/>
  <c r="J7" i="1"/>
  <c r="M6" i="1"/>
  <c r="AI5" i="1"/>
  <c r="U5" i="1"/>
  <c r="V5" i="1" s="1"/>
  <c r="AP5" i="1"/>
  <c r="T21" i="1"/>
  <c r="O21" i="1"/>
  <c r="K22" i="1"/>
  <c r="I22" i="1"/>
  <c r="AE6" i="1" l="1"/>
  <c r="AM6" i="1"/>
  <c r="AO6" i="1"/>
  <c r="AG6" i="1"/>
  <c r="AJ6" i="1"/>
  <c r="T22" i="1"/>
  <c r="I23" i="1"/>
  <c r="K23" i="1"/>
  <c r="O22" i="1"/>
  <c r="AK6" i="1" l="1"/>
  <c r="AL6" i="1" s="1"/>
  <c r="AN6" i="1" s="1"/>
  <c r="T23" i="1"/>
  <c r="O23" i="1"/>
  <c r="K24" i="1"/>
  <c r="I24" i="1"/>
  <c r="AA6" i="1" l="1"/>
  <c r="Q7" i="1" s="1"/>
  <c r="AF6" i="1"/>
  <c r="AH6" i="1" s="1"/>
  <c r="T24" i="1"/>
  <c r="O24" i="1"/>
  <c r="K25" i="1"/>
  <c r="I25" i="1"/>
  <c r="P7" i="1" l="1"/>
  <c r="S7" i="1" s="1"/>
  <c r="R7" i="1"/>
  <c r="AI6" i="1"/>
  <c r="AC6" i="1"/>
  <c r="AD6" i="1" s="1"/>
  <c r="AP6" i="1"/>
  <c r="T25" i="1"/>
  <c r="K26" i="1"/>
  <c r="I26" i="1"/>
  <c r="O25" i="1"/>
  <c r="AE7" i="1" l="1"/>
  <c r="J8" i="1"/>
  <c r="N7" i="1"/>
  <c r="M7" i="1"/>
  <c r="U6" i="1"/>
  <c r="V6" i="1" s="1"/>
  <c r="T26" i="1"/>
  <c r="K27" i="1"/>
  <c r="I27" i="1"/>
  <c r="O26" i="1"/>
  <c r="AM7" i="1" l="1"/>
  <c r="AK7" i="1"/>
  <c r="AO7" i="1"/>
  <c r="T27" i="1"/>
  <c r="I28" i="1"/>
  <c r="K28" i="1"/>
  <c r="O27" i="1"/>
  <c r="AA7" i="1" l="1"/>
  <c r="Q8" i="1" s="1"/>
  <c r="AF7" i="1"/>
  <c r="AJ7" i="1"/>
  <c r="AL7" i="1" s="1"/>
  <c r="AN7" i="1" s="1"/>
  <c r="AG7" i="1"/>
  <c r="T28" i="1"/>
  <c r="O28" i="1"/>
  <c r="I29" i="1"/>
  <c r="K29" i="1"/>
  <c r="P8" i="1" l="1"/>
  <c r="S8" i="1" s="1"/>
  <c r="AE8" i="1" s="1"/>
  <c r="R8" i="1"/>
  <c r="AC7" i="1"/>
  <c r="AD7" i="1" s="1"/>
  <c r="AH7" i="1"/>
  <c r="T29" i="1"/>
  <c r="O29" i="1"/>
  <c r="K30" i="1"/>
  <c r="I30" i="1"/>
  <c r="J9" i="1" l="1"/>
  <c r="N8" i="1"/>
  <c r="M8" i="1"/>
  <c r="AI7" i="1"/>
  <c r="U7" i="1"/>
  <c r="V7" i="1" s="1"/>
  <c r="AP7" i="1"/>
  <c r="T30" i="1"/>
  <c r="O30" i="1"/>
  <c r="K31" i="1"/>
  <c r="I31" i="1"/>
  <c r="AJ8" i="1" l="1"/>
  <c r="AG8" i="1"/>
  <c r="AO8" i="1"/>
  <c r="T31" i="1"/>
  <c r="K32" i="1"/>
  <c r="I32" i="1"/>
  <c r="O31" i="1"/>
  <c r="AM8" i="1" l="1"/>
  <c r="AA8" i="1"/>
  <c r="Q9" i="1" s="1"/>
  <c r="AK8" i="1"/>
  <c r="AL8" i="1" s="1"/>
  <c r="AN8" i="1" s="1"/>
  <c r="T32" i="1"/>
  <c r="K33" i="1"/>
  <c r="I33" i="1"/>
  <c r="O32" i="1"/>
  <c r="R9" i="1" l="1"/>
  <c r="P9" i="1"/>
  <c r="AC8" i="1"/>
  <c r="AD8" i="1" s="1"/>
  <c r="AF8" i="1"/>
  <c r="AH8" i="1" s="1"/>
  <c r="T33" i="1"/>
  <c r="I34" i="1"/>
  <c r="K34" i="1"/>
  <c r="O33" i="1"/>
  <c r="N9" i="1" l="1"/>
  <c r="J10" i="1"/>
  <c r="M9" i="1"/>
  <c r="S9" i="1"/>
  <c r="AI8" i="1"/>
  <c r="U8" i="1"/>
  <c r="V8" i="1" s="1"/>
  <c r="AP8" i="1"/>
  <c r="T34" i="1"/>
  <c r="O34" i="1"/>
  <c r="I35" i="1"/>
  <c r="K35" i="1"/>
  <c r="AE9" i="1" l="1"/>
  <c r="AM9" i="1"/>
  <c r="AO9" i="1"/>
  <c r="T35" i="1"/>
  <c r="O35" i="1"/>
  <c r="K36" i="1"/>
  <c r="I36" i="1"/>
  <c r="AG9" i="1" l="1"/>
  <c r="AJ9" i="1"/>
  <c r="AK9" i="1"/>
  <c r="T36" i="1"/>
  <c r="K37" i="1"/>
  <c r="I37" i="1"/>
  <c r="O36" i="1"/>
  <c r="AL9" i="1" l="1"/>
  <c r="AN9" i="1" s="1"/>
  <c r="AA9" i="1"/>
  <c r="Q10" i="1" s="1"/>
  <c r="AF9" i="1"/>
  <c r="AH9" i="1" s="1"/>
  <c r="T37" i="1"/>
  <c r="I38" i="1"/>
  <c r="K38" i="1"/>
  <c r="O37" i="1"/>
  <c r="P10" i="1" l="1"/>
  <c r="S10" i="1" s="1"/>
  <c r="AE10" i="1" s="1"/>
  <c r="R10" i="1"/>
  <c r="AI9" i="1"/>
  <c r="AC9" i="1"/>
  <c r="AD9" i="1" s="1"/>
  <c r="AP9" i="1"/>
  <c r="T38" i="1"/>
  <c r="O38" i="1"/>
  <c r="I39" i="1"/>
  <c r="K39" i="1"/>
  <c r="M10" i="1" l="1"/>
  <c r="J11" i="1"/>
  <c r="N10" i="1"/>
  <c r="U9" i="1"/>
  <c r="V9" i="1" s="1"/>
  <c r="T39" i="1"/>
  <c r="O39" i="1"/>
  <c r="K40" i="1"/>
  <c r="I40" i="1"/>
  <c r="AG10" i="1" l="1"/>
  <c r="AJ10" i="1"/>
  <c r="AO10" i="1"/>
  <c r="T40" i="1"/>
  <c r="O40" i="1"/>
  <c r="K41" i="1"/>
  <c r="I41" i="1"/>
  <c r="AM10" i="1" l="1"/>
  <c r="AF10" i="1"/>
  <c r="AK10" i="1"/>
  <c r="AL10" i="1" s="1"/>
  <c r="AN10" i="1" s="1"/>
  <c r="T41" i="1"/>
  <c r="O41" i="1"/>
  <c r="I42" i="1"/>
  <c r="K42" i="1"/>
  <c r="AH10" i="1" l="1"/>
  <c r="AA10" i="1"/>
  <c r="T42" i="1"/>
  <c r="K43" i="1"/>
  <c r="I43" i="1"/>
  <c r="O42" i="1"/>
  <c r="AC10" i="1" l="1"/>
  <c r="AD10" i="1" s="1"/>
  <c r="Q11" i="1"/>
  <c r="AI10" i="1"/>
  <c r="AP10" i="1"/>
  <c r="U10" i="1"/>
  <c r="V10" i="1" s="1"/>
  <c r="T43" i="1"/>
  <c r="K44" i="1"/>
  <c r="I44" i="1"/>
  <c r="O43" i="1"/>
  <c r="R11" i="1" l="1"/>
  <c r="AO11" i="1" s="1"/>
  <c r="P11" i="1"/>
  <c r="T44" i="1"/>
  <c r="K45" i="1"/>
  <c r="I45" i="1"/>
  <c r="O44" i="1"/>
  <c r="M11" i="1" l="1"/>
  <c r="J12" i="1"/>
  <c r="N11" i="1"/>
  <c r="S11" i="1"/>
  <c r="AM11" i="1" s="1"/>
  <c r="T45" i="1"/>
  <c r="I46" i="1"/>
  <c r="K46" i="1"/>
  <c r="O45" i="1"/>
  <c r="AK11" i="1" l="1"/>
  <c r="AE11" i="1"/>
  <c r="AG11" i="1"/>
  <c r="AJ11" i="1"/>
  <c r="AA11" i="1"/>
  <c r="Q12" i="1" s="1"/>
  <c r="AF11" i="1"/>
  <c r="T46" i="1"/>
  <c r="O46" i="1"/>
  <c r="K47" i="1"/>
  <c r="I47" i="1"/>
  <c r="AL11" i="1" l="1"/>
  <c r="AN11" i="1" s="1"/>
  <c r="P12" i="1"/>
  <c r="S12" i="1" s="1"/>
  <c r="AE12" i="1" s="1"/>
  <c r="R12" i="1"/>
  <c r="AH11" i="1"/>
  <c r="AC11" i="1"/>
  <c r="AD11" i="1" s="1"/>
  <c r="T47" i="1"/>
  <c r="K48" i="1"/>
  <c r="I48" i="1"/>
  <c r="O47" i="1"/>
  <c r="M12" i="1" l="1"/>
  <c r="J13" i="1"/>
  <c r="N12" i="1"/>
  <c r="AI11" i="1"/>
  <c r="AP11" i="1"/>
  <c r="U11" i="1"/>
  <c r="V11" i="1" s="1"/>
  <c r="T48" i="1"/>
  <c r="K49" i="1"/>
  <c r="I49" i="1"/>
  <c r="O48" i="1"/>
  <c r="AM12" i="1" l="1"/>
  <c r="AO12" i="1"/>
  <c r="T49" i="1"/>
  <c r="I50" i="1"/>
  <c r="K50" i="1"/>
  <c r="O49" i="1"/>
  <c r="AJ12" i="1" l="1"/>
  <c r="AG12" i="1"/>
  <c r="AK12" i="1"/>
  <c r="T50" i="1"/>
  <c r="O50" i="1"/>
  <c r="AL12" i="1" l="1"/>
  <c r="AN12" i="1" s="1"/>
  <c r="AA12" i="1"/>
  <c r="Q13" i="1" s="1"/>
  <c r="AF12" i="1"/>
  <c r="AH12" i="1" s="1"/>
  <c r="R13" i="1" l="1"/>
  <c r="P13" i="1"/>
  <c r="AI12" i="1"/>
  <c r="AC12" i="1"/>
  <c r="AD12" i="1" s="1"/>
  <c r="AP12" i="1"/>
  <c r="J14" i="1" l="1"/>
  <c r="N13" i="1"/>
  <c r="M13" i="1"/>
  <c r="S13" i="1"/>
  <c r="U12" i="1"/>
  <c r="V12" i="1" s="1"/>
  <c r="AE13" i="1" l="1"/>
  <c r="AM13" i="1"/>
  <c r="AO13" i="1"/>
  <c r="AK13" i="1" l="1"/>
  <c r="AG13" i="1"/>
  <c r="AJ13" i="1"/>
  <c r="AL13" i="1" l="1"/>
  <c r="AN13" i="1" s="1"/>
  <c r="AA13" i="1"/>
  <c r="Q14" i="1" s="1"/>
  <c r="AF13" i="1"/>
  <c r="AH13" i="1" s="1"/>
  <c r="R14" i="1" l="1"/>
  <c r="P14" i="1"/>
  <c r="S14" i="1" s="1"/>
  <c r="AI13" i="1"/>
  <c r="AC13" i="1"/>
  <c r="AD13" i="1" s="1"/>
  <c r="AP13" i="1"/>
  <c r="AE14" i="1" l="1"/>
  <c r="M14" i="1"/>
  <c r="N14" i="1"/>
  <c r="J15" i="1"/>
  <c r="U13" i="1"/>
  <c r="V13" i="1" s="1"/>
  <c r="AM14" i="1" l="1"/>
  <c r="AO14" i="1"/>
  <c r="AA14" i="1" l="1"/>
  <c r="AJ14" i="1"/>
  <c r="AG14" i="1"/>
  <c r="AK14" i="1"/>
  <c r="AC14" i="1" l="1"/>
  <c r="AD14" i="1" s="1"/>
  <c r="Q15" i="1"/>
  <c r="AF14" i="1"/>
  <c r="AH14" i="1" s="1"/>
  <c r="AL14" i="1"/>
  <c r="AN14" i="1" s="1"/>
  <c r="P15" i="1" l="1"/>
  <c r="S15" i="1" s="1"/>
  <c r="R15" i="1"/>
  <c r="AO15" i="1" s="1"/>
  <c r="AI14" i="1"/>
  <c r="U14" i="1"/>
  <c r="V14" i="1" s="1"/>
  <c r="AP14" i="1"/>
  <c r="AE15" i="1" l="1"/>
  <c r="J16" i="1"/>
  <c r="N15" i="1"/>
  <c r="AG15" i="1" s="1"/>
  <c r="M15" i="1"/>
  <c r="AA15" i="1"/>
  <c r="AC15" i="1" l="1"/>
  <c r="AD15" i="1" s="1"/>
  <c r="AJ15" i="1"/>
  <c r="Q16" i="1"/>
  <c r="AK15" i="1"/>
  <c r="AM15" i="1"/>
  <c r="AF15" i="1"/>
  <c r="AH15" i="1" s="1"/>
  <c r="AL15" i="1" l="1"/>
  <c r="AN15" i="1" s="1"/>
  <c r="R16" i="1"/>
  <c r="P16" i="1"/>
  <c r="AI15" i="1"/>
  <c r="U15" i="1"/>
  <c r="V15" i="1" s="1"/>
  <c r="AP15" i="1"/>
  <c r="J17" i="1" l="1"/>
  <c r="N16" i="1"/>
  <c r="M16" i="1"/>
  <c r="S16" i="1"/>
  <c r="AM16" i="1" s="1"/>
  <c r="AO16" i="1"/>
  <c r="AE16" i="1" l="1"/>
  <c r="AK16" i="1"/>
  <c r="AG16" i="1"/>
  <c r="AJ16" i="1"/>
  <c r="AL16" i="1" l="1"/>
  <c r="AN16" i="1" s="1"/>
  <c r="AF16" i="1"/>
  <c r="AH16" i="1" s="1"/>
  <c r="AA16" i="1"/>
  <c r="Q17" i="1" s="1"/>
  <c r="P17" i="1" l="1"/>
  <c r="S17" i="1" s="1"/>
  <c r="AE17" i="1" s="1"/>
  <c r="R17" i="1"/>
  <c r="AI16" i="1"/>
  <c r="AC16" i="1"/>
  <c r="AD16" i="1" s="1"/>
  <c r="AP16" i="1"/>
  <c r="J18" i="1" l="1"/>
  <c r="N17" i="1"/>
  <c r="M17" i="1"/>
  <c r="U16" i="1"/>
  <c r="V16" i="1" s="1"/>
  <c r="AM17" i="1" l="1"/>
  <c r="AO17" i="1"/>
  <c r="AG17" i="1" l="1"/>
  <c r="AJ17" i="1"/>
  <c r="AK17" i="1"/>
  <c r="AL17" i="1" l="1"/>
  <c r="AN17" i="1" s="1"/>
  <c r="AA17" i="1"/>
  <c r="Q18" i="1" s="1"/>
  <c r="AF17" i="1"/>
  <c r="AH17" i="1" s="1"/>
  <c r="R18" i="1" l="1"/>
  <c r="P18" i="1"/>
  <c r="AI17" i="1"/>
  <c r="AC17" i="1"/>
  <c r="AD17" i="1" s="1"/>
  <c r="AP17" i="1"/>
  <c r="M18" i="1" l="1"/>
  <c r="J19" i="1"/>
  <c r="N18" i="1"/>
  <c r="S18" i="1"/>
  <c r="U17" i="1"/>
  <c r="V17" i="1" s="1"/>
  <c r="AE18" i="1" l="1"/>
  <c r="AO18" i="1"/>
  <c r="AJ18" i="1"/>
  <c r="AG18" i="1"/>
  <c r="AM18" i="1" l="1"/>
  <c r="AK18" i="1"/>
  <c r="AL18" i="1" s="1"/>
  <c r="AN18" i="1" s="1"/>
  <c r="AF18" i="1"/>
  <c r="AH18" i="1" l="1"/>
  <c r="AA18" i="1"/>
  <c r="AC18" i="1" l="1"/>
  <c r="AD18" i="1" s="1"/>
  <c r="Q19" i="1"/>
  <c r="AI18" i="1"/>
  <c r="AP18" i="1"/>
  <c r="U18" i="1"/>
  <c r="V18" i="1" s="1"/>
  <c r="P19" i="1" l="1"/>
  <c r="S19" i="1" s="1"/>
  <c r="AE19" i="1" s="1"/>
  <c r="R19" i="1"/>
  <c r="AO19" i="1" s="1"/>
  <c r="M19" i="1" l="1"/>
  <c r="J20" i="1"/>
  <c r="N19" i="1"/>
  <c r="AM19" i="1"/>
  <c r="AK19" i="1" l="1"/>
  <c r="AG19" i="1"/>
  <c r="AA19" i="1"/>
  <c r="AJ19" i="1"/>
  <c r="AC19" i="1" l="1"/>
  <c r="AD19" i="1" s="1"/>
  <c r="Q20" i="1"/>
  <c r="AL19" i="1"/>
  <c r="AN19" i="1" s="1"/>
  <c r="AF19" i="1"/>
  <c r="AH19" i="1" s="1"/>
  <c r="R20" i="1" l="1"/>
  <c r="P20" i="1"/>
  <c r="AI19" i="1"/>
  <c r="U19" i="1"/>
  <c r="V19" i="1" s="1"/>
  <c r="AP19" i="1"/>
  <c r="J21" i="1" l="1"/>
  <c r="N20" i="1"/>
  <c r="M20" i="1"/>
  <c r="S20" i="1"/>
  <c r="AM20" i="1" s="1"/>
  <c r="AO20" i="1"/>
  <c r="AE20" i="1" l="1"/>
  <c r="AK20" i="1"/>
  <c r="AG20" i="1"/>
  <c r="AJ20" i="1"/>
  <c r="AL20" i="1" l="1"/>
  <c r="AN20" i="1" s="1"/>
  <c r="AA20" i="1"/>
  <c r="Q21" i="1" s="1"/>
  <c r="AF20" i="1"/>
  <c r="AH20" i="1" s="1"/>
  <c r="R21" i="1" l="1"/>
  <c r="P21" i="1"/>
  <c r="AI20" i="1"/>
  <c r="AC20" i="1"/>
  <c r="AD20" i="1" s="1"/>
  <c r="AP20" i="1"/>
  <c r="J22" i="1" l="1"/>
  <c r="N21" i="1"/>
  <c r="M21" i="1"/>
  <c r="S21" i="1"/>
  <c r="U20" i="1"/>
  <c r="V20" i="1" s="1"/>
  <c r="AE21" i="1" l="1"/>
  <c r="AM21" i="1"/>
  <c r="AO21" i="1"/>
  <c r="AF21" i="1" l="1"/>
  <c r="AG21" i="1"/>
  <c r="AJ21" i="1"/>
  <c r="AK21" i="1"/>
  <c r="AA21" i="1" l="1"/>
  <c r="AH21" i="1"/>
  <c r="AL21" i="1"/>
  <c r="AC21" i="1" l="1"/>
  <c r="AD21" i="1" s="1"/>
  <c r="Q22" i="1"/>
  <c r="AI21" i="1"/>
  <c r="U21" i="1"/>
  <c r="V21" i="1" s="1"/>
  <c r="AP21" i="1"/>
  <c r="AN21" i="1"/>
  <c r="R22" i="1" l="1"/>
  <c r="AO22" i="1" s="1"/>
  <c r="AO52" i="1" s="1"/>
  <c r="P22" i="1"/>
  <c r="AA22" i="1"/>
  <c r="M22" i="1" l="1"/>
  <c r="J23" i="1"/>
  <c r="N22" i="1"/>
  <c r="AC22" i="1" s="1"/>
  <c r="AD22" i="1" s="1"/>
  <c r="S22" i="1"/>
  <c r="AK22" i="1" s="1"/>
  <c r="AF22" i="1"/>
  <c r="AM22" i="1" l="1"/>
  <c r="AJ22" i="1"/>
  <c r="AL22" i="1" s="1"/>
  <c r="AN22" i="1" s="1"/>
  <c r="AG22" i="1"/>
  <c r="Q23" i="1"/>
  <c r="AE22" i="1"/>
  <c r="U22" i="1"/>
  <c r="V22" i="1" s="1"/>
  <c r="AH22" i="1" l="1"/>
  <c r="AI22" i="1" s="1"/>
  <c r="P23" i="1"/>
  <c r="S23" i="1" s="1"/>
  <c r="AM23" i="1" s="1"/>
  <c r="R23" i="1"/>
  <c r="AO23" i="1" s="1"/>
  <c r="AP22" i="1" l="1"/>
  <c r="AE23" i="1"/>
  <c r="M23" i="1"/>
  <c r="J24" i="1"/>
  <c r="N23" i="1"/>
  <c r="AG23" i="1" s="1"/>
  <c r="AK23" i="1"/>
  <c r="AJ23" i="1" l="1"/>
  <c r="AL23" i="1" s="1"/>
  <c r="AN23" i="1" s="1"/>
  <c r="AA23" i="1"/>
  <c r="Q24" i="1" s="1"/>
  <c r="AF23" i="1"/>
  <c r="AH23" i="1" s="1"/>
  <c r="R24" i="1" l="1"/>
  <c r="P24" i="1"/>
  <c r="AI23" i="1"/>
  <c r="AC23" i="1"/>
  <c r="AD23" i="1" s="1"/>
  <c r="AP23" i="1"/>
  <c r="M24" i="1" l="1"/>
  <c r="J25" i="1"/>
  <c r="N24" i="1"/>
  <c r="S24" i="1"/>
  <c r="U23" i="1"/>
  <c r="V23" i="1" s="1"/>
  <c r="AE24" i="1" l="1"/>
  <c r="AO24" i="1"/>
  <c r="AG24" i="1"/>
  <c r="AJ24" i="1"/>
  <c r="AM24" i="1" l="1"/>
  <c r="AK24" i="1"/>
  <c r="AL24" i="1" s="1"/>
  <c r="AN24" i="1" s="1"/>
  <c r="AF24" i="1"/>
  <c r="AH24" i="1" l="1"/>
  <c r="AA24" i="1"/>
  <c r="AC24" i="1" l="1"/>
  <c r="AD24" i="1" s="1"/>
  <c r="Q25" i="1"/>
  <c r="AI24" i="1"/>
  <c r="AP24" i="1"/>
  <c r="U24" i="1"/>
  <c r="V24" i="1" s="1"/>
  <c r="R25" i="1" l="1"/>
  <c r="AO25" i="1" s="1"/>
  <c r="P25" i="1"/>
  <c r="N25" i="1" l="1"/>
  <c r="J26" i="1"/>
  <c r="M25" i="1"/>
  <c r="S25" i="1"/>
  <c r="AM25" i="1" s="1"/>
  <c r="AK25" i="1" l="1"/>
  <c r="AE25" i="1"/>
  <c r="AA25" i="1"/>
  <c r="AC25" i="1" s="1"/>
  <c r="AF25" i="1"/>
  <c r="AG25" i="1"/>
  <c r="AJ25" i="1"/>
  <c r="AL25" i="1" l="1"/>
  <c r="AN25" i="1" s="1"/>
  <c r="Q26" i="1"/>
  <c r="AD25" i="1"/>
  <c r="U25" i="1"/>
  <c r="V25" i="1" s="1"/>
  <c r="AH25" i="1"/>
  <c r="R26" i="1" l="1"/>
  <c r="P26" i="1"/>
  <c r="AI25" i="1"/>
  <c r="AP25" i="1"/>
  <c r="J27" i="1" l="1"/>
  <c r="N26" i="1"/>
  <c r="AJ26" i="1" s="1"/>
  <c r="M26" i="1"/>
  <c r="S26" i="1"/>
  <c r="AO26" i="1"/>
  <c r="AG26" i="1" l="1"/>
  <c r="AE26" i="1"/>
  <c r="AF26" i="1"/>
  <c r="AM26" i="1"/>
  <c r="AK26" i="1"/>
  <c r="AL26" i="1" s="1"/>
  <c r="AN26" i="1" s="1"/>
  <c r="AH26" i="1" l="1"/>
  <c r="AA26" i="1"/>
  <c r="Q27" i="1" s="1"/>
  <c r="R27" i="1" l="1"/>
  <c r="P27" i="1"/>
  <c r="AI26" i="1"/>
  <c r="AC26" i="1"/>
  <c r="AD26" i="1" s="1"/>
  <c r="AP26" i="1"/>
  <c r="U26" i="1"/>
  <c r="V26" i="1" s="1"/>
  <c r="J28" i="1" l="1"/>
  <c r="N27" i="1"/>
  <c r="M27" i="1"/>
  <c r="S27" i="1"/>
  <c r="AO27" i="1"/>
  <c r="AE27" i="1" l="1"/>
  <c r="AM27" i="1"/>
  <c r="AG27" i="1"/>
  <c r="AK27" i="1"/>
  <c r="AF27" i="1"/>
  <c r="AA27" i="1"/>
  <c r="Q28" i="1" s="1"/>
  <c r="R28" i="1" l="1"/>
  <c r="P28" i="1"/>
  <c r="AC27" i="1"/>
  <c r="AD27" i="1" s="1"/>
  <c r="AJ27" i="1"/>
  <c r="AL27" i="1" s="1"/>
  <c r="AN27" i="1" s="1"/>
  <c r="AH27" i="1"/>
  <c r="N28" i="1" l="1"/>
  <c r="J29" i="1"/>
  <c r="M28" i="1"/>
  <c r="S28" i="1"/>
  <c r="AI27" i="1"/>
  <c r="AP27" i="1"/>
  <c r="U27" i="1"/>
  <c r="V27" i="1" s="1"/>
  <c r="AE28" i="1" l="1"/>
  <c r="AM28" i="1"/>
  <c r="AK28" i="1"/>
  <c r="AO28" i="1"/>
  <c r="AJ28" i="1" l="1"/>
  <c r="AL28" i="1" s="1"/>
  <c r="AN28" i="1" s="1"/>
  <c r="AG28" i="1"/>
  <c r="AA28" i="1" l="1"/>
  <c r="Q29" i="1" s="1"/>
  <c r="AF28" i="1"/>
  <c r="AH28" i="1" s="1"/>
  <c r="R29" i="1" l="1"/>
  <c r="P29" i="1"/>
  <c r="AI28" i="1"/>
  <c r="AC28" i="1"/>
  <c r="AD28" i="1" s="1"/>
  <c r="AP28" i="1"/>
  <c r="J30" i="1" l="1"/>
  <c r="N29" i="1"/>
  <c r="M29" i="1"/>
  <c r="S29" i="1"/>
  <c r="U28" i="1"/>
  <c r="V28" i="1" s="1"/>
  <c r="AE29" i="1" l="1"/>
  <c r="AM29" i="1"/>
  <c r="AO29" i="1"/>
  <c r="AK29" i="1" l="1"/>
  <c r="AJ29" i="1"/>
  <c r="AG29" i="1"/>
  <c r="AL29" i="1" l="1"/>
  <c r="AN29" i="1" s="1"/>
  <c r="AA29" i="1"/>
  <c r="Q30" i="1" s="1"/>
  <c r="AF29" i="1"/>
  <c r="AH29" i="1" s="1"/>
  <c r="R30" i="1" l="1"/>
  <c r="P30" i="1"/>
  <c r="AI29" i="1"/>
  <c r="AC29" i="1"/>
  <c r="AD29" i="1" s="1"/>
  <c r="AP29" i="1"/>
  <c r="N30" i="1" l="1"/>
  <c r="J31" i="1"/>
  <c r="M30" i="1"/>
  <c r="S30" i="1"/>
  <c r="U29" i="1"/>
  <c r="V29" i="1" s="1"/>
  <c r="AE30" i="1" l="1"/>
  <c r="AM30" i="1"/>
  <c r="AO30" i="1"/>
  <c r="AF30" i="1" l="1"/>
  <c r="AJ30" i="1"/>
  <c r="AG30" i="1"/>
  <c r="AK30" i="1"/>
  <c r="AA30" i="1" l="1"/>
  <c r="AL30" i="1"/>
  <c r="AN30" i="1" s="1"/>
  <c r="AH30" i="1"/>
  <c r="AC30" i="1" l="1"/>
  <c r="AD30" i="1" s="1"/>
  <c r="Q31" i="1"/>
  <c r="AI30" i="1"/>
  <c r="AP30" i="1"/>
  <c r="P31" i="1" l="1"/>
  <c r="S31" i="1" s="1"/>
  <c r="AE31" i="1" s="1"/>
  <c r="R31" i="1"/>
  <c r="U30" i="1"/>
  <c r="V30" i="1" s="1"/>
  <c r="N31" i="1" l="1"/>
  <c r="AJ31" i="1" s="1"/>
  <c r="J32" i="1"/>
  <c r="M31" i="1"/>
  <c r="AM31" i="1"/>
  <c r="AO31" i="1"/>
  <c r="AK31" i="1"/>
  <c r="AA31" i="1"/>
  <c r="Q32" i="1" s="1"/>
  <c r="AF31" i="1"/>
  <c r="AG31" i="1" l="1"/>
  <c r="AH31" i="1" s="1"/>
  <c r="R32" i="1"/>
  <c r="P32" i="1"/>
  <c r="M32" i="1" s="1"/>
  <c r="AC31" i="1"/>
  <c r="AD31" i="1" s="1"/>
  <c r="AL31" i="1"/>
  <c r="AN31" i="1" s="1"/>
  <c r="J33" i="1" l="1"/>
  <c r="N32" i="1"/>
  <c r="S32" i="1"/>
  <c r="AI31" i="1"/>
  <c r="AP31" i="1"/>
  <c r="U31" i="1"/>
  <c r="V31" i="1" s="1"/>
  <c r="AE32" i="1" l="1"/>
  <c r="AO32" i="1"/>
  <c r="AG32" i="1"/>
  <c r="AJ32" i="1"/>
  <c r="AM32" i="1" l="1"/>
  <c r="AK32" i="1"/>
  <c r="AL32" i="1" s="1"/>
  <c r="AN32" i="1" s="1"/>
  <c r="AF32" i="1"/>
  <c r="AH32" i="1" l="1"/>
  <c r="AA32" i="1"/>
  <c r="AC32" i="1" l="1"/>
  <c r="AD32" i="1" s="1"/>
  <c r="Q33" i="1"/>
  <c r="AI32" i="1"/>
  <c r="AP32" i="1"/>
  <c r="U32" i="1"/>
  <c r="V32" i="1" s="1"/>
  <c r="R33" i="1" l="1"/>
  <c r="AO33" i="1" s="1"/>
  <c r="P33" i="1"/>
  <c r="J34" i="1" l="1"/>
  <c r="N33" i="1"/>
  <c r="M33" i="1"/>
  <c r="S33" i="1"/>
  <c r="AM33" i="1" s="1"/>
  <c r="AK33" i="1" l="1"/>
  <c r="AE33" i="1"/>
  <c r="AJ33" i="1"/>
  <c r="AG33" i="1"/>
  <c r="AF33" i="1"/>
  <c r="AA33" i="1"/>
  <c r="Q34" i="1" s="1"/>
  <c r="AL33" i="1" l="1"/>
  <c r="AN33" i="1" s="1"/>
  <c r="P34" i="1"/>
  <c r="S34" i="1" s="1"/>
  <c r="AE34" i="1" s="1"/>
  <c r="R34" i="1"/>
  <c r="AC33" i="1"/>
  <c r="AD33" i="1" s="1"/>
  <c r="AH33" i="1"/>
  <c r="J35" i="1" l="1"/>
  <c r="N34" i="1"/>
  <c r="M34" i="1"/>
  <c r="AI33" i="1"/>
  <c r="U33" i="1"/>
  <c r="V33" i="1" s="1"/>
  <c r="AP33" i="1"/>
  <c r="AO34" i="1" l="1"/>
  <c r="AJ34" i="1"/>
  <c r="AG34" i="1"/>
  <c r="AM34" i="1" l="1"/>
  <c r="AA34" i="1"/>
  <c r="Q35" i="1" s="1"/>
  <c r="AK34" i="1"/>
  <c r="AL34" i="1" s="1"/>
  <c r="AN34" i="1" s="1"/>
  <c r="R35" i="1" l="1"/>
  <c r="P35" i="1"/>
  <c r="AC34" i="1"/>
  <c r="AD34" i="1" s="1"/>
  <c r="AF34" i="1"/>
  <c r="AH34" i="1" s="1"/>
  <c r="J36" i="1" l="1"/>
  <c r="N35" i="1"/>
  <c r="M35" i="1"/>
  <c r="S35" i="1"/>
  <c r="AI34" i="1"/>
  <c r="U34" i="1"/>
  <c r="V34" i="1" s="1"/>
  <c r="AP34" i="1"/>
  <c r="AE35" i="1" l="1"/>
  <c r="AM35" i="1"/>
  <c r="AO35" i="1"/>
  <c r="AG35" i="1" l="1"/>
  <c r="AJ35" i="1"/>
  <c r="AK35" i="1"/>
  <c r="AL35" i="1" l="1"/>
  <c r="AN35" i="1" s="1"/>
  <c r="AA35" i="1"/>
  <c r="Q36" i="1" s="1"/>
  <c r="AF35" i="1"/>
  <c r="AH35" i="1" s="1"/>
  <c r="R36" i="1" l="1"/>
  <c r="P36" i="1"/>
  <c r="AI35" i="1"/>
  <c r="AC35" i="1"/>
  <c r="AD35" i="1" s="1"/>
  <c r="AP35" i="1"/>
  <c r="J37" i="1" l="1"/>
  <c r="N36" i="1"/>
  <c r="M36" i="1"/>
  <c r="S36" i="1"/>
  <c r="U35" i="1"/>
  <c r="V35" i="1" s="1"/>
  <c r="AE36" i="1" l="1"/>
  <c r="AM36" i="1"/>
  <c r="AO36" i="1"/>
  <c r="AJ36" i="1" l="1"/>
  <c r="AG36" i="1"/>
  <c r="AK36" i="1"/>
  <c r="AL36" i="1" l="1"/>
  <c r="AN36" i="1" s="1"/>
  <c r="AF36" i="1"/>
  <c r="AH36" i="1" s="1"/>
  <c r="AA36" i="1"/>
  <c r="Q37" i="1" s="1"/>
  <c r="R37" i="1" l="1"/>
  <c r="P37" i="1"/>
  <c r="AI36" i="1"/>
  <c r="AC36" i="1"/>
  <c r="AD36" i="1" s="1"/>
  <c r="AP36" i="1"/>
  <c r="J38" i="1" l="1"/>
  <c r="N37" i="1"/>
  <c r="M37" i="1"/>
  <c r="S37" i="1"/>
  <c r="U36" i="1"/>
  <c r="V36" i="1" s="1"/>
  <c r="AE37" i="1" l="1"/>
  <c r="AM37" i="1"/>
  <c r="AK37" i="1"/>
  <c r="AO37" i="1"/>
  <c r="AG37" i="1" l="1"/>
  <c r="AJ37" i="1"/>
  <c r="AL37" i="1" s="1"/>
  <c r="AN37" i="1" s="1"/>
  <c r="AF37" i="1" l="1"/>
  <c r="AH37" i="1" s="1"/>
  <c r="AA37" i="1"/>
  <c r="Q38" i="1" s="1"/>
  <c r="R38" i="1" l="1"/>
  <c r="P38" i="1"/>
  <c r="AI37" i="1"/>
  <c r="AC37" i="1"/>
  <c r="AD37" i="1" s="1"/>
  <c r="AP37" i="1"/>
  <c r="J39" i="1" l="1"/>
  <c r="N38" i="1"/>
  <c r="M38" i="1"/>
  <c r="S38" i="1"/>
  <c r="U37" i="1"/>
  <c r="V37" i="1" s="1"/>
  <c r="AE38" i="1" l="1"/>
  <c r="AM38" i="1"/>
  <c r="AO38" i="1"/>
  <c r="AF38" i="1" l="1"/>
  <c r="AJ38" i="1"/>
  <c r="AG38" i="1"/>
  <c r="AK38" i="1"/>
  <c r="AA38" i="1" l="1"/>
  <c r="AL38" i="1"/>
  <c r="AN38" i="1" s="1"/>
  <c r="AH38" i="1"/>
  <c r="AC38" i="1" l="1"/>
  <c r="AD38" i="1" s="1"/>
  <c r="Q39" i="1"/>
  <c r="AI38" i="1"/>
  <c r="AP38" i="1"/>
  <c r="R39" i="1" l="1"/>
  <c r="P39" i="1"/>
  <c r="U38" i="1"/>
  <c r="V38" i="1" s="1"/>
  <c r="AA39" i="1"/>
  <c r="J40" i="1" l="1"/>
  <c r="N39" i="1"/>
  <c r="AG39" i="1" s="1"/>
  <c r="M39" i="1"/>
  <c r="S39" i="1"/>
  <c r="AM39" i="1" s="1"/>
  <c r="AO39" i="1"/>
  <c r="AF39" i="1"/>
  <c r="AJ39" i="1" l="1"/>
  <c r="AK39" i="1"/>
  <c r="AC39" i="1"/>
  <c r="AD39" i="1" s="1"/>
  <c r="Q40" i="1"/>
  <c r="AE39" i="1"/>
  <c r="AH39" i="1" s="1"/>
  <c r="U39" i="1"/>
  <c r="V39" i="1" s="1"/>
  <c r="AL39" i="1" l="1"/>
  <c r="AN39" i="1" s="1"/>
  <c r="R40" i="1"/>
  <c r="AO40" i="1" s="1"/>
  <c r="P40" i="1"/>
  <c r="AI39" i="1"/>
  <c r="AP39" i="1"/>
  <c r="AF40" i="1"/>
  <c r="J41" i="1" l="1"/>
  <c r="N40" i="1"/>
  <c r="M40" i="1"/>
  <c r="S40" i="1"/>
  <c r="AA40" i="1"/>
  <c r="AC40" i="1" l="1"/>
  <c r="AD40" i="1" s="1"/>
  <c r="AG40" i="1"/>
  <c r="AJ40" i="1"/>
  <c r="Q41" i="1"/>
  <c r="AE40" i="1"/>
  <c r="AM40" i="1"/>
  <c r="AK40" i="1"/>
  <c r="AH40" i="1" l="1"/>
  <c r="AI40" i="1" s="1"/>
  <c r="R41" i="1"/>
  <c r="AO41" i="1" s="1"/>
  <c r="P41" i="1"/>
  <c r="AL40" i="1"/>
  <c r="AN40" i="1" s="1"/>
  <c r="U40" i="1"/>
  <c r="V40" i="1" s="1"/>
  <c r="AP40" i="1" l="1"/>
  <c r="N41" i="1"/>
  <c r="AJ41" i="1" s="1"/>
  <c r="J42" i="1"/>
  <c r="M41" i="1"/>
  <c r="S41" i="1"/>
  <c r="AM41" i="1" s="1"/>
  <c r="AG41" i="1" l="1"/>
  <c r="AE41" i="1"/>
  <c r="AK41" i="1"/>
  <c r="AL41" i="1" s="1"/>
  <c r="AN41" i="1" s="1"/>
  <c r="AF41" i="1"/>
  <c r="AA41" i="1"/>
  <c r="Q42" i="1" s="1"/>
  <c r="P42" i="1" l="1"/>
  <c r="S42" i="1" s="1"/>
  <c r="AE42" i="1" s="1"/>
  <c r="R42" i="1"/>
  <c r="AC41" i="1"/>
  <c r="AD41" i="1" s="1"/>
  <c r="AH41" i="1"/>
  <c r="J43" i="1" l="1"/>
  <c r="N42" i="1"/>
  <c r="M42" i="1"/>
  <c r="AI41" i="1"/>
  <c r="AP41" i="1"/>
  <c r="U41" i="1"/>
  <c r="V41" i="1" s="1"/>
  <c r="AO42" i="1" l="1"/>
  <c r="AG42" i="1"/>
  <c r="AJ42" i="1"/>
  <c r="AM42" i="1" l="1"/>
  <c r="AA42" i="1"/>
  <c r="Q43" i="1" s="1"/>
  <c r="AK42" i="1"/>
  <c r="AL42" i="1" s="1"/>
  <c r="AN42" i="1" s="1"/>
  <c r="R43" i="1" l="1"/>
  <c r="P43" i="1"/>
  <c r="AC42" i="1"/>
  <c r="AD42" i="1" s="1"/>
  <c r="AF42" i="1"/>
  <c r="AH42" i="1" s="1"/>
  <c r="J44" i="1" l="1"/>
  <c r="N43" i="1"/>
  <c r="M43" i="1"/>
  <c r="S43" i="1"/>
  <c r="AI42" i="1"/>
  <c r="U42" i="1"/>
  <c r="V42" i="1" s="1"/>
  <c r="AP42" i="1"/>
  <c r="AE43" i="1" l="1"/>
  <c r="AM43" i="1"/>
  <c r="AO43" i="1"/>
  <c r="AG43" i="1" l="1"/>
  <c r="AJ43" i="1"/>
  <c r="AK43" i="1"/>
  <c r="AL43" i="1" l="1"/>
  <c r="AN43" i="1" s="1"/>
  <c r="AA43" i="1"/>
  <c r="Q44" i="1" s="1"/>
  <c r="AF43" i="1"/>
  <c r="AH43" i="1" s="1"/>
  <c r="P44" i="1" l="1"/>
  <c r="S44" i="1" s="1"/>
  <c r="AE44" i="1" s="1"/>
  <c r="R44" i="1"/>
  <c r="AI43" i="1"/>
  <c r="AC43" i="1"/>
  <c r="AD43" i="1" s="1"/>
  <c r="AP43" i="1"/>
  <c r="M44" i="1" l="1"/>
  <c r="N44" i="1"/>
  <c r="J45" i="1"/>
  <c r="U43" i="1"/>
  <c r="V43" i="1" s="1"/>
  <c r="AM44" i="1" l="1"/>
  <c r="AO44" i="1"/>
  <c r="AA44" i="1" l="1"/>
  <c r="Q45" i="1" s="1"/>
  <c r="AG44" i="1"/>
  <c r="AJ44" i="1"/>
  <c r="AK44" i="1"/>
  <c r="R45" i="1" l="1"/>
  <c r="P45" i="1"/>
  <c r="AC44" i="1"/>
  <c r="AD44" i="1" s="1"/>
  <c r="AF44" i="1"/>
  <c r="AH44" i="1" s="1"/>
  <c r="AL44" i="1"/>
  <c r="AN44" i="1" s="1"/>
  <c r="J46" i="1" l="1"/>
  <c r="N45" i="1"/>
  <c r="M45" i="1"/>
  <c r="S45" i="1"/>
  <c r="AI44" i="1"/>
  <c r="U44" i="1"/>
  <c r="V44" i="1" s="1"/>
  <c r="AP44" i="1"/>
  <c r="AE45" i="1" l="1"/>
  <c r="AM45" i="1"/>
  <c r="AO45" i="1"/>
  <c r="AJ45" i="1"/>
  <c r="AG45" i="1"/>
  <c r="AK45" i="1" l="1"/>
  <c r="AL45" i="1" s="1"/>
  <c r="AN45" i="1" s="1"/>
  <c r="AF45" i="1"/>
  <c r="AH45" i="1" s="1"/>
  <c r="AA45" i="1"/>
  <c r="Q46" i="1" s="1"/>
  <c r="R46" i="1" l="1"/>
  <c r="P46" i="1"/>
  <c r="AI45" i="1"/>
  <c r="AC45" i="1"/>
  <c r="AD45" i="1" s="1"/>
  <c r="AP45" i="1"/>
  <c r="J47" i="1" l="1"/>
  <c r="N46" i="1"/>
  <c r="M46" i="1"/>
  <c r="S46" i="1"/>
  <c r="U45" i="1"/>
  <c r="V45" i="1" s="1"/>
  <c r="AE46" i="1" l="1"/>
  <c r="AO46" i="1"/>
  <c r="AG46" i="1"/>
  <c r="AJ46" i="1"/>
  <c r="AK46" i="1" l="1"/>
  <c r="AL46" i="1" s="1"/>
  <c r="AN46" i="1" s="1"/>
  <c r="AM46" i="1"/>
  <c r="AA46" i="1"/>
  <c r="Q47" i="1" s="1"/>
  <c r="R47" i="1" l="1"/>
  <c r="P47" i="1"/>
  <c r="AC46" i="1"/>
  <c r="AD46" i="1" s="1"/>
  <c r="AF46" i="1"/>
  <c r="AH46" i="1" s="1"/>
  <c r="M47" i="1" l="1"/>
  <c r="J48" i="1"/>
  <c r="N47" i="1"/>
  <c r="S47" i="1"/>
  <c r="AI46" i="1"/>
  <c r="U46" i="1"/>
  <c r="V46" i="1" s="1"/>
  <c r="AP46" i="1"/>
  <c r="AE47" i="1" l="1"/>
  <c r="AM47" i="1"/>
  <c r="AO47" i="1"/>
  <c r="AG47" i="1" l="1"/>
  <c r="AJ47" i="1"/>
  <c r="AK47" i="1"/>
  <c r="AL47" i="1" l="1"/>
  <c r="AN47" i="1" s="1"/>
  <c r="AF47" i="1"/>
  <c r="AH47" i="1" s="1"/>
  <c r="AA47" i="1"/>
  <c r="Q48" i="1" s="1"/>
  <c r="R48" i="1" l="1"/>
  <c r="P48" i="1"/>
  <c r="AI47" i="1"/>
  <c r="AC47" i="1"/>
  <c r="AD47" i="1" s="1"/>
  <c r="AP47" i="1"/>
  <c r="J49" i="1" l="1"/>
  <c r="N48" i="1"/>
  <c r="M48" i="1"/>
  <c r="S48" i="1"/>
  <c r="U47" i="1"/>
  <c r="V47" i="1" s="1"/>
  <c r="AE48" i="1" l="1"/>
  <c r="AM48" i="1"/>
  <c r="AO48" i="1"/>
  <c r="AG48" i="1"/>
  <c r="AJ48" i="1"/>
  <c r="AK48" i="1" l="1"/>
  <c r="AL48" i="1" s="1"/>
  <c r="AN48" i="1" s="1"/>
  <c r="AA48" i="1" l="1"/>
  <c r="Q49" i="1" s="1"/>
  <c r="AF48" i="1"/>
  <c r="AH48" i="1" s="1"/>
  <c r="R49" i="1" l="1"/>
  <c r="P49" i="1"/>
  <c r="AI48" i="1"/>
  <c r="AC48" i="1"/>
  <c r="AD48" i="1" s="1"/>
  <c r="AP48" i="1"/>
  <c r="J50" i="1" l="1"/>
  <c r="N49" i="1"/>
  <c r="M49" i="1"/>
  <c r="S49" i="1"/>
  <c r="U48" i="1"/>
  <c r="V48" i="1" s="1"/>
  <c r="AE49" i="1" l="1"/>
  <c r="AM49" i="1"/>
  <c r="AO49" i="1"/>
  <c r="AF49" i="1" l="1"/>
  <c r="AG49" i="1"/>
  <c r="AJ49" i="1"/>
  <c r="AK49" i="1"/>
  <c r="AA49" i="1" l="1"/>
  <c r="AL49" i="1"/>
  <c r="AN49" i="1" s="1"/>
  <c r="AH49" i="1"/>
  <c r="AC49" i="1" l="1"/>
  <c r="AD49" i="1" s="1"/>
  <c r="Q50" i="1"/>
  <c r="AI49" i="1"/>
  <c r="U49" i="1"/>
  <c r="V49" i="1" s="1"/>
  <c r="AP49" i="1"/>
  <c r="P50" i="1" l="1"/>
  <c r="S50" i="1" s="1"/>
  <c r="AE50" i="1" s="1"/>
  <c r="R50" i="1"/>
  <c r="AO50" i="1" s="1"/>
  <c r="AF50" i="1"/>
  <c r="N50" i="1" l="1"/>
  <c r="M50" i="1"/>
  <c r="AK50" i="1"/>
  <c r="AM50" i="1"/>
  <c r="AA50" i="1"/>
  <c r="AC50" i="1" l="1"/>
  <c r="AD50" i="1" s="1"/>
  <c r="AD51" i="1" s="1"/>
  <c r="AG50" i="1"/>
  <c r="AH50" i="1" s="1"/>
  <c r="AI50" i="1" s="1"/>
  <c r="AJ50" i="1"/>
  <c r="AL50" i="1" s="1"/>
  <c r="AN50" i="1" s="1"/>
  <c r="U50" i="1"/>
  <c r="V50" i="1" s="1"/>
  <c r="V51" i="1" s="1"/>
  <c r="AP50" i="1" l="1"/>
  <c r="V53" i="1"/>
  <c r="AK2" i="1" l="1"/>
  <c r="AL2" i="1" s="1"/>
  <c r="AE2" i="1"/>
  <c r="AH2" i="1" s="1"/>
  <c r="AM3" i="1"/>
  <c r="AR2" i="1" l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L52" i="1"/>
  <c r="AN3" i="1"/>
  <c r="AN52" i="1" s="1"/>
  <c r="AP3" i="1"/>
  <c r="AS3" i="1"/>
  <c r="AI2" i="1"/>
  <c r="AI52" i="1" s="1"/>
  <c r="AS4" i="1" l="1"/>
  <c r="AS5" i="1" s="1"/>
  <c r="AS6" i="1" s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tc={06EAE5F7-506B-4565-8AAF-EFE1EEE1F0C2}</author>
    <author>tc={212648C3-82BF-430C-9F1F-8185FE446CE7}</author>
    <author>tc={A32986EE-A715-4D4F-96C8-33372D85F191}</author>
    <author>tc={C0F2D8B7-CA15-46C4-92ED-DC3E951125BB}</author>
    <author>tc={E390CC62-5E46-4AC4-B556-00E24DEA6F1F}</author>
    <author>tc={47F7972B-84D0-43EB-A62E-7118F0ED42A8}</author>
    <author>tc={BE28AB43-24CC-4956-95BC-0F22954FF2E8}</author>
    <author>tc={488FD31C-3E75-4C04-863B-610FFF11627A}</author>
    <author>tc={5D381A2D-C121-4748-BCF9-49EC183931BD}</author>
    <author>tc={A2A0AD4B-3D7F-496F-B72A-8B1BB2FEC31A}</author>
    <author>tc={A3E30F7A-0041-4EB4-BC02-CC0AE1DEF474}</author>
    <author>tc={9D3D6FA6-EEB6-4C6F-9056-AED248043D86}</author>
    <author>tc={0EF956D6-ADF2-4BA0-B8D1-3F0B02CDE006}</author>
    <author>tc={71E4F16C-63F9-4753-B4B9-3E30F83227FC}</author>
    <author>tc={91ED4124-6B3E-4D6C-987E-5AFF717E5DD0}</author>
    <author>tc={25B5A310-F075-441A-B300-1E2DE1CECFA4}</author>
    <author>tc={54156316-0D95-4862-8FFA-03257F83D3E2}</author>
    <author>tc={9D98AD40-50C5-40DE-AEBE-54EDE0E7FC6C}</author>
    <author>tc={FD96E0E0-675B-420D-A93A-8383BED4AB50}</author>
    <author>tc={1E9F099E-400C-41C1-9775-7255C0B0F990}</author>
    <author>tc={39A24B21-741B-459A-A0F2-B06D467598ED}</author>
    <author>tc={DF024810-B7C8-48D7-BB1A-CC3A62F4A21C}</author>
    <author>tc={4F563C28-E180-484F-8CC8-5D9E632FAA72}</author>
    <author>tc={21D182C1-65AA-40F3-830D-7FDB787BD8F1}</author>
    <author>tc={A9CFB250-1062-4B37-A25D-64324EECED98}</author>
    <author>tc={36403C8F-A3EB-4949-9274-BC03D3DE9821}</author>
    <author>tc={68695D20-31F1-46E5-BCA7-4DE7DB8750A9}</author>
    <author>tc={849D766E-8DE9-42E9-AD0D-385F99429DC4}</author>
    <author>tc={20A2E409-B51B-4DB4-A32C-35BF7AE541F8}</author>
    <author>tc={40ABC0E3-112B-4020-BD15-B8C034F301AA}</author>
    <author>tc={044E4EA6-4A62-43C7-B09E-D3FC7CFBC40A}</author>
    <author>tc={BAD252A7-2EDD-4011-AD05-FADBBCB47409}</author>
    <author>tc={D131F8E9-6E58-4150-9FD1-13BC75721A5E}</author>
    <author>tc={CDE836D4-C952-494E-9291-323ADBEEE348}</author>
    <author>tc={FB3C09BA-71F6-46CF-9924-61A134C1B541}</author>
    <author>tc={9F3FB98B-430B-4024-B639-8957F71CBFD2}</author>
    <author>tc={CB2E3DBB-9701-4A6D-AA78-7C43134DE1EE}</author>
  </authors>
  <commentList>
    <comment ref="G2" authorId="0" shapeId="0" xr:uid="{06EAE5F7-506B-4565-8AAF-EFE1EEE1F0C2}">
      <text>
        <t>[Threaded comment]
Your version of Excel allows you to read this threaded comment; however, any edits to it will get removed if the file is opened in a newer version of Excel. Learn more: https://go.microsoft.com/fwlink/?linkid=870924
Comment:
    TFP: Ac times the Gross Shock from 1 to 1.025</t>
      </text>
    </comment>
    <comment ref="O2" authorId="1" shapeId="0" xr:uid="{212648C3-82BF-430C-9F1F-8185FE446CE7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Adjustment Costs</t>
      </text>
    </comment>
    <comment ref="P2" authorId="2" shapeId="0" xr:uid="{A32986EE-A715-4D4F-96C8-33372D85F191}">
      <text>
        <t>[Threaded comment]
Your version of Excel allows you to read this threaded comment; however, any edits to it will get removed if the file is opened in a newer version of Excel. Learn more: https://go.microsoft.com/fwlink/?linkid=870924
Comment:
    Auxiliary Variable for Calculating MPK and MPL</t>
      </text>
    </comment>
    <comment ref="R2" authorId="3" shapeId="0" xr:uid="{C0F2D8B7-CA15-46C4-92ED-DC3E951125BB}">
      <text>
        <t>[Threaded comment]
Your version of Excel allows you to read this threaded comment; however, any edits to it will get removed if the file is opened in a newer version of Excel. Learn more: https://go.microsoft.com/fwlink/?linkid=870924
Comment:
    GDP Equation</t>
      </text>
    </comment>
    <comment ref="S2" authorId="4" shapeId="0" xr:uid="{E390CC62-5E46-4AC4-B556-00E24DEA6F1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Marginal Product of labor without taxes</t>
      </text>
    </comment>
    <comment ref="T2" authorId="5" shapeId="0" xr:uid="{47F7972B-84D0-43EB-A62E-7118F0ED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Adjustment cost derivative with respect to Capital</t>
      </text>
    </comment>
    <comment ref="Z2" authorId="6" shapeId="0" xr:uid="{BE28AB43-24CC-4956-95BC-0F22954FF2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Consumption from Budget constraint
</t>
      </text>
    </comment>
    <comment ref="AA2" authorId="7" shapeId="0" xr:uid="{488FD31C-3E75-4C04-863B-610FFF11627A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Marginal utility of Income</t>
      </text>
    </comment>
    <comment ref="K3" authorId="8" shapeId="0" xr:uid="{5D381A2D-C121-4748-BCF9-49EC183931BD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Investment equation as function of Q</t>
      </text>
    </comment>
    <comment ref="P3" authorId="9" shapeId="0" xr:uid="{A2A0AD4B-3D7F-496F-B72A-8B1BB2FEC31A}">
      <text>
        <t>[Threaded comment]
Your version of Excel allows you to read this threaded comment; however, any edits to it will get removed if the file is opened in a newer version of Excel. Learn more: https://go.microsoft.com/fwlink/?linkid=870924
Comment:
    Auxiliary Variable for Calculating MPK and MPL</t>
      </text>
    </comment>
    <comment ref="U3" authorId="10" shapeId="0" xr:uid="{A3E30F7A-0041-4EB4-BC02-CC0AE1DEF474}">
      <text>
        <t>[Threaded comment]
Your version of Excel allows you to read this threaded comment; however, any edits to it will get removed if the file is opened in a newer version of Excel. Learn more: https://go.microsoft.com/fwlink/?linkid=870924
Comment:
    Euler equation for Q : should be zero at optimal path</t>
      </text>
    </comment>
    <comment ref="V3" authorId="11" shapeId="0" xr:uid="{9D3D6FA6-EEB6-4C6F-9056-AED248043D86}">
      <text>
        <t>[Threaded comment]
Your version of Excel allows you to read this threaded comment; however, any edits to it will get removed if the file is opened in a newer version of Excel. Learn more: https://go.microsoft.com/fwlink/?linkid=870924
Comment:
    Euler squared, to be minimized at zero</t>
      </text>
    </comment>
    <comment ref="Z3" authorId="12" shapeId="0" xr:uid="{0EF956D6-ADF2-4BA0-B8D1-3F0B02CDE0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Consumption from Budget constraint
</t>
      </text>
    </comment>
    <comment ref="AB3" authorId="13" shapeId="0" xr:uid="{71E4F16C-63F9-4753-B4B9-3E30F83227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Stochastic Discount Rate</t>
      </text>
    </comment>
    <comment ref="B12" authorId="14" shapeId="0" xr:uid="{91ED4124-6B3E-4D6C-987E-5AFF717E5DD0}">
      <text>
        <t>[Threaded comment]
Your version of Excel allows you to read this threaded comment; however, any edits to it will get removed if the file is opened in a newer version of Excel. Learn more: https://go.microsoft.com/fwlink/?linkid=870924
Comment:
    Coefficient of Capital in Production</t>
      </text>
    </comment>
    <comment ref="B13" authorId="15" shapeId="0" xr:uid="{25B5A310-F075-441A-B300-1E2DE1CECFA4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</t>
      </text>
    </comment>
    <comment ref="B14" authorId="16" shapeId="0" xr:uid="{54156316-0D95-4862-8FFA-03257F83D3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Coefficient of Adjustment Costs</t>
      </text>
    </comment>
    <comment ref="B17" authorId="17" shapeId="0" xr:uid="{9D98AD40-50C5-40DE-AEBE-54EDE0E7FC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interest rate (MPK net of taxes less depreciation)</t>
      </text>
    </comment>
    <comment ref="B18" authorId="18" shapeId="0" xr:uid="{FD96E0E0-675B-420D-A93A-8383BED4AB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discount factor</t>
      </text>
    </comment>
    <comment ref="B20" authorId="19" shapeId="0" xr:uid="{1E9F099E-400C-41C1-9775-7255C0B0F9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q</t>
      </text>
    </comment>
    <comment ref="B21" authorId="20" shapeId="0" xr:uid="{39A24B21-741B-459A-A0F2-B06D467598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capital stock</t>
      </text>
    </comment>
    <comment ref="B22" authorId="21" shapeId="0" xr:uid="{DF024810-B7C8-48D7-BB1A-CC3A62F4A2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labor</t>
      </text>
    </comment>
    <comment ref="B31" authorId="22" shapeId="0" xr:uid="{4F563C28-E180-484F-8CC8-5D9E632FAA72}">
      <text>
        <t>[Threaded comment]
Your version of Excel allows you to read this threaded comment; however, any edits to it will get removed if the file is opened in a newer version of Excel. Learn more: https://go.microsoft.com/fwlink/?linkid=870924
Comment:
    CES Coefficient for Elasticity of Substitution</t>
      </text>
    </comment>
    <comment ref="B34" authorId="23" shapeId="0" xr:uid="{21D182C1-65AA-40F3-830D-7FDB787BD8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Constant term so that y=1</t>
      </text>
    </comment>
    <comment ref="B35" authorId="24" shapeId="0" xr:uid="{A9CFB250-1062-4B37-A25D-64324EECED98}">
      <text>
        <t>[Threaded comment]
Your version of Excel allows you to read this threaded comment; however, any edits to it will get removed if the file is opened in a newer version of Excel. Learn more: https://go.microsoft.com/fwlink/?linkid=870924
Comment:
    Auxiliary Variable for Steady State</t>
      </text>
    </comment>
    <comment ref="B36" authorId="25" shapeId="0" xr:uid="{36403C8F-A3EB-4949-9274-BC03D3DE9821}">
      <text>
        <t>[Threaded comment]
Your version of Excel allows you to read this threaded comment; however, any edits to it will get removed if the file is opened in a newer version of Excel. Learn more: https://go.microsoft.com/fwlink/?linkid=870924
Comment:
    CRRA Coefficient</t>
      </text>
    </comment>
    <comment ref="B37" authorId="26" shapeId="0" xr:uid="{68695D20-31F1-46E5-BCA7-4DE7DB8750A9}">
      <text>
        <t>[Threaded comment]
Your version of Excel allows you to read this threaded comment; however, any edits to it will get removed if the file is opened in a newer version of Excel. Learn more: https://go.microsoft.com/fwlink/?linkid=870924
Comment:
    Frisch Elasticity of Labor Supply</t>
      </text>
    </comment>
    <comment ref="B39" authorId="27" shapeId="0" xr:uid="{849D766E-8DE9-42E9-AD0D-385F99429D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Consumption</t>
      </text>
    </comment>
    <comment ref="B42" authorId="28" shapeId="0" xr:uid="{20A2E409-B51B-4DB4-A32C-35BF7AE5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Consumption tax rate</t>
      </text>
    </comment>
    <comment ref="B43" authorId="29" shapeId="0" xr:uid="{40ABC0E3-112B-4020-BD15-B8C034F301AA}">
      <text>
        <t>[Threaded comment]
Your version of Excel allows you to read this threaded comment; however, any edits to it will get removed if the file is opened in a newer version of Excel. Learn more: https://go.microsoft.com/fwlink/?linkid=870924
Comment:
    Labor income tax rate</t>
      </text>
    </comment>
    <comment ref="B44" authorId="30" shapeId="0" xr:uid="{044E4EA6-4A62-43C7-B09E-D3FC7CFBC40A}">
      <text>
        <t>[Threaded comment]
Your version of Excel allows you to read this threaded comment; however, any edits to it will get removed if the file is opened in a newer version of Excel. Learn more: https://go.microsoft.com/fwlink/?linkid=870924
Comment:
    Capital income tax rate</t>
      </text>
    </comment>
    <comment ref="B46" authorId="31" shapeId="0" xr:uid="{BAD252A7-2EDD-4011-AD05-FADBBCB47409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lambda (marginal utility of income</t>
      </text>
    </comment>
    <comment ref="B47" authorId="32" shapeId="0" xr:uid="{D131F8E9-6E58-4150-9FD1-13BC75721A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marginal prod of capital (gross of taxes)</t>
      </text>
    </comment>
    <comment ref="B48" authorId="33" shapeId="0" xr:uid="{CDE836D4-C952-494E-9291-323ADBEEE3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marginal product of labor without taxes</t>
      </text>
    </comment>
    <comment ref="B49" authorId="34" shapeId="0" xr:uid="{FB3C09BA-71F6-46CF-9924-61A134C1B5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Disutility of Labor
</t>
      </text>
    </comment>
    <comment ref="B53" authorId="35" shapeId="0" xr:uid="{9F3FB98B-430B-4024-B639-8957F71C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Constant returns to scale property</t>
      </text>
    </comment>
    <comment ref="B60" authorId="36" shapeId="0" xr:uid="{CB2E3DBB-9701-4A6D-AA78-7C43134DE1EE}">
      <text>
        <t>[Threaded comment]
Your version of Excel allows you to read this threaded comment; however, any edits to it will get removed if the file is opened in a newer version of Excel. Learn more: https://go.microsoft.com/fwlink/?linkid=870924
Comment:
    Auxiliary Variable for Calculating MPK and MPL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<sst xmlns="http://schemas.openxmlformats.org/spreadsheetml/2006/main" count="86" uniqueCount="84">
  <si>
    <t>Date</t>
  </si>
  <si>
    <t>TFP</t>
  </si>
  <si>
    <t>q</t>
  </si>
  <si>
    <t>k</t>
  </si>
  <si>
    <t>i</t>
  </si>
  <si>
    <t>Marg Prod K</t>
  </si>
  <si>
    <t>AdjCosts</t>
  </si>
  <si>
    <t xml:space="preserve">yhat </t>
  </si>
  <si>
    <t>L</t>
  </si>
  <si>
    <t>Y</t>
  </si>
  <si>
    <t>W</t>
  </si>
  <si>
    <t>C_k</t>
  </si>
  <si>
    <t>Euler</t>
  </si>
  <si>
    <t>EulerSQ</t>
  </si>
  <si>
    <t>epsilon</t>
  </si>
  <si>
    <t>z</t>
  </si>
  <si>
    <t>Z</t>
  </si>
  <si>
    <t xml:space="preserve"> </t>
  </si>
  <si>
    <t>Parameters</t>
  </si>
  <si>
    <t>Initial</t>
  </si>
  <si>
    <t>Delta</t>
  </si>
  <si>
    <t>Phi</t>
  </si>
  <si>
    <t>Exogenous variables</t>
  </si>
  <si>
    <t>Interest rate</t>
  </si>
  <si>
    <t>Beta</t>
  </si>
  <si>
    <t>Steady state</t>
  </si>
  <si>
    <t>Initial SS</t>
  </si>
  <si>
    <t>qbar</t>
  </si>
  <si>
    <t>kbar</t>
  </si>
  <si>
    <t>lbar</t>
  </si>
  <si>
    <t>ybar</t>
  </si>
  <si>
    <t>rhoc1</t>
  </si>
  <si>
    <t>DSGE Model</t>
  </si>
  <si>
    <t>sigma_c</t>
  </si>
  <si>
    <t>phiL</t>
  </si>
  <si>
    <t>Cbar</t>
  </si>
  <si>
    <t>tauc</t>
  </si>
  <si>
    <t>tauw</t>
  </si>
  <si>
    <t>tauk</t>
  </si>
  <si>
    <t>lambdabar</t>
  </si>
  <si>
    <t xml:space="preserve">mpk </t>
  </si>
  <si>
    <t>rhoc</t>
  </si>
  <si>
    <t>mpl</t>
  </si>
  <si>
    <t>gamma</t>
  </si>
  <si>
    <t>LL</t>
  </si>
  <si>
    <t>C</t>
  </si>
  <si>
    <t>lambda</t>
  </si>
  <si>
    <t>cbar</t>
  </si>
  <si>
    <t>junk</t>
  </si>
  <si>
    <t>Beta1</t>
  </si>
  <si>
    <t>Labor Tax R</t>
  </si>
  <si>
    <t>C Tax Rav</t>
  </si>
  <si>
    <t>K-Tax Rev</t>
  </si>
  <si>
    <t>Total Rev</t>
  </si>
  <si>
    <t>Total Rev/GDP</t>
  </si>
  <si>
    <t>Kshare</t>
  </si>
  <si>
    <t>wshare</t>
  </si>
  <si>
    <t>MargCost</t>
  </si>
  <si>
    <t>Revenue/GDP</t>
  </si>
  <si>
    <t>Marg Cost</t>
  </si>
  <si>
    <t>Inflation</t>
  </si>
  <si>
    <t>GROWTH</t>
  </si>
  <si>
    <t>Growth</t>
  </si>
  <si>
    <t>TaxGrowth</t>
  </si>
  <si>
    <t>WageGrowth</t>
  </si>
  <si>
    <t>EulerC</t>
  </si>
  <si>
    <t>EulerCSQ</t>
  </si>
  <si>
    <t>S-I</t>
  </si>
  <si>
    <t>NFA</t>
  </si>
  <si>
    <t>For Asset Position</t>
  </si>
  <si>
    <t>Int Rate I*</t>
  </si>
  <si>
    <t>alphaK</t>
  </si>
  <si>
    <t>alphaL</t>
  </si>
  <si>
    <t>alphaO</t>
  </si>
  <si>
    <t>obar</t>
  </si>
  <si>
    <t>yat11</t>
  </si>
  <si>
    <t>Ac1</t>
  </si>
  <si>
    <t>yy</t>
  </si>
  <si>
    <t>oil</t>
  </si>
  <si>
    <t>MPOil</t>
  </si>
  <si>
    <t>Poil</t>
  </si>
  <si>
    <t>mpoil</t>
  </si>
  <si>
    <t>ymarg</t>
  </si>
  <si>
    <t>Parameters for production 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</si>
</sst>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name val="Calibri"/>
      <family val="2"/>
    </font>
    <font>
      <b/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0" fontId="3" fillId="3" borderId="3" xfId="0" applyFont="1" applyFill="1" applyBorder="1"/>
    <xf numFmtId="0" fontId="4" fillId="3" borderId="4" xfId="0" applyFont="1" applyFill="1" applyBorder="1"/>
    <xf numFmtId="0" fontId="3" fillId="3" borderId="4" xfId="0" applyFont="1" applyFill="1" applyBorder="1"/>
    <xf numFmtId="0" fontId="4" fillId="3" borderId="5" xfId="0" applyFont="1" applyFill="1" applyBorder="1"/>
    <xf numFmtId="0" fontId="2" fillId="4" borderId="6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0" xfId="0" applyFont="1" applyFill="1"/>
    <xf numFmtId="0" fontId="2" fillId="5" borderId="9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10" xfId="0" applyFont="1" applyFill="1" applyBorder="1"/>
    <xf numFmtId="2" fontId="2" fillId="6" borderId="9" xfId="0" applyNumberFormat="1" applyFont="1" applyFill="1" applyBorder="1" applyAlignment="1">
      <alignment horizontal="right"/>
    </xf>
    <xf numFmtId="0" fontId="3" fillId="3" borderId="5" xfId="0" applyFont="1" applyFill="1" applyBorder="1"/>
    <xf numFmtId="2" fontId="2" fillId="4" borderId="0" xfId="0" applyNumberFormat="1" applyFont="1" applyFill="1" applyAlignment="1">
      <alignment horizontal="right"/>
    </xf>
    <xf numFmtId="2" fontId="2" fillId="4" borderId="9" xfId="0" applyNumberFormat="1" applyFont="1" applyFill="1" applyBorder="1"/>
    <xf numFmtId="2" fontId="2" fillId="6" borderId="10" xfId="0" applyNumberFormat="1" applyFont="1" applyFill="1" applyBorder="1" applyAlignment="1">
      <alignment horizontal="right"/>
    </xf>
    <xf numFmtId="2" fontId="2" fillId="4" borderId="8" xfId="0" applyNumberFormat="1" applyFont="1" applyFill="1" applyBorder="1" applyAlignment="1">
      <alignment horizontal="right"/>
    </xf>
    <xf numFmtId="2" fontId="2" fillId="4" borderId="1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164" fontId="2" fillId="4" borderId="9" xfId="0" applyNumberFormat="1" applyFont="1" applyFill="1" applyBorder="1"/>
    <xf numFmtId="0" fontId="5" fillId="4" borderId="7" xfId="0" applyFont="1" applyFill="1" applyBorder="1"/>
    <xf numFmtId="164" fontId="2" fillId="4" borderId="8" xfId="0" applyNumberFormat="1" applyFont="1" applyFill="1" applyBorder="1"/>
    <xf numFmtId="164" fontId="2" fillId="4" borderId="10" xfId="0" applyNumberFormat="1" applyFont="1" applyFill="1" applyBorder="1"/>
    <xf numFmtId="0" fontId="3" fillId="3" borderId="3" xfId="0" applyFont="1" applyFill="1" applyBorder="1" applyProtection="1">
      <protection locked="0"/>
    </xf>
    <xf numFmtId="0" fontId="4" fillId="3" borderId="5" xfId="0" applyFont="1" applyFill="1" applyBorder="1" applyProtection="1">
      <protection locked="0"/>
    </xf>
    <xf numFmtId="2" fontId="2" fillId="4" borderId="9" xfId="0" applyNumberFormat="1" applyFont="1" applyFill="1" applyBorder="1" applyProtection="1">
      <protection locked="0"/>
    </xf>
    <xf numFmtId="2" fontId="2" fillId="4" borderId="10" xfId="0" applyNumberFormat="1" applyFont="1" applyFill="1" applyBorder="1" applyProtection="1">
      <protection locked="0"/>
    </xf>
    <xf numFmtId="0" fontId="6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Sheet1!$H$2:$H$50</c:f>
              <c:numCache>
                <c:formatCode>General</c:formatCode>
                <c:ptCount val="49"/>
                <c:pt idx="0">
                  <c:v>1</c:v>
                </c:pt>
                <c:pt idx="1">
                  <c:v>0.99374406729306386</c:v>
                </c:pt>
                <c:pt idx="2">
                  <c:v>0.98862490843105932</c:v>
                </c:pt>
                <c:pt idx="3">
                  <c:v>0.98441502513434231</c:v>
                </c:pt>
                <c:pt idx="4">
                  <c:v>0.98094315453822345</c:v>
                </c:pt>
                <c:pt idx="5">
                  <c:v>0.97812256970816314</c:v>
                </c:pt>
                <c:pt idx="6">
                  <c:v>0.97587456415961882</c:v>
                </c:pt>
                <c:pt idx="7">
                  <c:v>0.97413526576798148</c:v>
                </c:pt>
                <c:pt idx="8">
                  <c:v>0.97284596218544261</c:v>
                </c:pt>
                <c:pt idx="9">
                  <c:v>0.97195705013782774</c:v>
                </c:pt>
                <c:pt idx="10">
                  <c:v>0.97141466105334129</c:v>
                </c:pt>
                <c:pt idx="11">
                  <c:v>0.97118104228212099</c:v>
                </c:pt>
                <c:pt idx="12">
                  <c:v>0.97120401957615399</c:v>
                </c:pt>
                <c:pt idx="13">
                  <c:v>0.9714527236183581</c:v>
                </c:pt>
                <c:pt idx="14">
                  <c:v>0.97189879503085264</c:v>
                </c:pt>
                <c:pt idx="15">
                  <c:v>0.97251096386675373</c:v>
                </c:pt>
                <c:pt idx="16">
                  <c:v>0.97327343761143303</c:v>
                </c:pt>
                <c:pt idx="17">
                  <c:v>0.97414836458851817</c:v>
                </c:pt>
                <c:pt idx="18">
                  <c:v>0.97511110056891082</c:v>
                </c:pt>
                <c:pt idx="19">
                  <c:v>0.97613773933368919</c:v>
                </c:pt>
                <c:pt idx="20">
                  <c:v>0.97721937882092347</c:v>
                </c:pt>
                <c:pt idx="21">
                  <c:v>0.97835263438772568</c:v>
                </c:pt>
                <c:pt idx="22">
                  <c:v>0.97952220638380794</c:v>
                </c:pt>
                <c:pt idx="23">
                  <c:v>0.98071488509128135</c:v>
                </c:pt>
                <c:pt idx="24">
                  <c:v>0.98190935365504584</c:v>
                </c:pt>
                <c:pt idx="25">
                  <c:v>0.9830998384734535</c:v>
                </c:pt>
                <c:pt idx="26">
                  <c:v>0.98427771998262281</c:v>
                </c:pt>
                <c:pt idx="27">
                  <c:v>0.98543380030348637</c:v>
                </c:pt>
                <c:pt idx="28">
                  <c:v>0.98656201128267118</c:v>
                </c:pt>
                <c:pt idx="29">
                  <c:v>0.98765300598816141</c:v>
                </c:pt>
                <c:pt idx="30">
                  <c:v>0.98871597955975343</c:v>
                </c:pt>
                <c:pt idx="31">
                  <c:v>0.98974950564817232</c:v>
                </c:pt>
                <c:pt idx="32">
                  <c:v>0.99075983786363142</c:v>
                </c:pt>
                <c:pt idx="33">
                  <c:v>0.99173678445859492</c:v>
                </c:pt>
                <c:pt idx="34">
                  <c:v>0.99268611943311336</c:v>
                </c:pt>
                <c:pt idx="35">
                  <c:v>0.99354679935883494</c:v>
                </c:pt>
                <c:pt idx="36">
                  <c:v>0.99441732449055686</c:v>
                </c:pt>
                <c:pt idx="37">
                  <c:v>0.99525752356937136</c:v>
                </c:pt>
                <c:pt idx="38">
                  <c:v>0.9960302009866544</c:v>
                </c:pt>
                <c:pt idx="39">
                  <c:v>0.99673244767365032</c:v>
                </c:pt>
                <c:pt idx="40">
                  <c:v>0.99735960719985517</c:v>
                </c:pt>
                <c:pt idx="41">
                  <c:v>0.99791488917762583</c:v>
                </c:pt>
                <c:pt idx="42">
                  <c:v>0.99840287218234647</c:v>
                </c:pt>
                <c:pt idx="43">
                  <c:v>0.99882712113504435</c:v>
                </c:pt>
                <c:pt idx="44">
                  <c:v>0.99918917193400625</c:v>
                </c:pt>
                <c:pt idx="45">
                  <c:v>0.99948450737598216</c:v>
                </c:pt>
                <c:pt idx="46">
                  <c:v>0.99971638416609598</c:v>
                </c:pt>
                <c:pt idx="47">
                  <c:v>0.99988761233315426</c:v>
                </c:pt>
                <c:pt idx="4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5-4A7A-B403-9BDD7878E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99776"/>
        <c:axId val="1391200256"/>
      </c:lineChart>
      <c:catAx>
        <c:axId val="139119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200256"/>
        <c:crosses val="autoZero"/>
        <c:auto val="1"/>
        <c:lblAlgn val="ctr"/>
        <c:lblOffset val="100"/>
        <c:noMultiLvlLbl val="0"/>
      </c:catAx>
      <c:valAx>
        <c:axId val="13912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9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Sheet1!$AS$1</c:f>
              <c:strCache>
                <c:ptCount val="1"/>
                <c:pt idx="0">
                  <c:v>NFA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Sheet1!$AS$2:$AS$50</c:f>
              <c:numCache>
                <c:formatCode>General</c:formatCode>
                <c:ptCount val="49"/>
                <c:pt idx="0">
                  <c:v>0</c:v>
                </c:pt>
                <c:pt idx="1">
                  <c:v>2.795553645282875E-3</c:v>
                </c:pt>
                <c:pt idx="2">
                  <c:v>4.9979985133439021E-3</c:v>
                </c:pt>
                <c:pt idx="3">
                  <c:v>8.2713854327673177E-3</c:v>
                </c:pt>
                <c:pt idx="4">
                  <c:v>1.3675174166437773E-2</c:v>
                </c:pt>
                <c:pt idx="5">
                  <c:v>2.0737824234175882E-2</c:v>
                </c:pt>
                <c:pt idx="6">
                  <c:v>2.9207816645101983E-2</c:v>
                </c:pt>
                <c:pt idx="7">
                  <c:v>3.8780607806730025E-2</c:v>
                </c:pt>
                <c:pt idx="8">
                  <c:v>4.9196316550401943E-2</c:v>
                </c:pt>
                <c:pt idx="9">
                  <c:v>6.0213874024909721E-2</c:v>
                </c:pt>
                <c:pt idx="10">
                  <c:v>7.1619294030790634E-2</c:v>
                </c:pt>
                <c:pt idx="11">
                  <c:v>8.3217853198282996E-2</c:v>
                </c:pt>
                <c:pt idx="12">
                  <c:v>9.4840093126573405E-2</c:v>
                </c:pt>
                <c:pt idx="13">
                  <c:v>0.10633297406763384</c:v>
                </c:pt>
                <c:pt idx="14">
                  <c:v>0.11755952493455589</c:v>
                </c:pt>
                <c:pt idx="15">
                  <c:v>0.12839916803894691</c:v>
                </c:pt>
                <c:pt idx="16">
                  <c:v>0.13874223022325571</c:v>
                </c:pt>
                <c:pt idx="17">
                  <c:v>0.14849769756284464</c:v>
                </c:pt>
                <c:pt idx="18">
                  <c:v>0.15758765174905107</c:v>
                </c:pt>
                <c:pt idx="19">
                  <c:v>0.16594700876711294</c:v>
                </c:pt>
                <c:pt idx="20">
                  <c:v>0.17351712513308121</c:v>
                </c:pt>
                <c:pt idx="21">
                  <c:v>0.1802445588636272</c:v>
                </c:pt>
                <c:pt idx="22">
                  <c:v>0.18608480673938305</c:v>
                </c:pt>
                <c:pt idx="23">
                  <c:v>0.19100154491185439</c:v>
                </c:pt>
                <c:pt idx="24">
                  <c:v>0.19496922695667315</c:v>
                </c:pt>
                <c:pt idx="25">
                  <c:v>0.19796690568830766</c:v>
                </c:pt>
                <c:pt idx="26">
                  <c:v>0.19997940511722373</c:v>
                </c:pt>
                <c:pt idx="27">
                  <c:v>0.20099683207492355</c:v>
                </c:pt>
                <c:pt idx="28">
                  <c:v>0.20101348692078752</c:v>
                </c:pt>
                <c:pt idx="29">
                  <c:v>0.20002869379497162</c:v>
                </c:pt>
                <c:pt idx="30">
                  <c:v>0.1980400280577338</c:v>
                </c:pt>
                <c:pt idx="31">
                  <c:v>0.19504716115313103</c:v>
                </c:pt>
                <c:pt idx="32">
                  <c:v>0.19104897326482795</c:v>
                </c:pt>
                <c:pt idx="33">
                  <c:v>0.18604934630888684</c:v>
                </c:pt>
                <c:pt idx="34">
                  <c:v>0.18005143366424081</c:v>
                </c:pt>
                <c:pt idx="35">
                  <c:v>0.17308105300232074</c:v>
                </c:pt>
                <c:pt idx="36">
                  <c:v>0.16512979379235709</c:v>
                </c:pt>
                <c:pt idx="37">
                  <c:v>0.15620540136454028</c:v>
                </c:pt>
                <c:pt idx="38">
                  <c:v>0.14632966754998822</c:v>
                </c:pt>
                <c:pt idx="39">
                  <c:v>0.1355254680354453</c:v>
                </c:pt>
                <c:pt idx="40">
                  <c:v>0.12381711176764536</c:v>
                </c:pt>
                <c:pt idx="41">
                  <c:v>0.11122750913235908</c:v>
                </c:pt>
                <c:pt idx="42">
                  <c:v>9.7777321096590278E-2</c:v>
                </c:pt>
                <c:pt idx="43">
                  <c:v>8.3485491206240714E-2</c:v>
                </c:pt>
                <c:pt idx="44">
                  <c:v>6.836966208704677E-2</c:v>
                </c:pt>
                <c:pt idx="45">
                  <c:v>5.2448235576879651E-2</c:v>
                </c:pt>
                <c:pt idx="46">
                  <c:v>3.5737149789964062E-2</c:v>
                </c:pt>
                <c:pt idx="47">
                  <c:v>1.8249944505161451E-2</c:v>
                </c:pt>
                <c:pt idx="48">
                  <c:v>-9.345556587110615E-7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A-4D9F-9F69-53CD0F49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458272"/>
        <c:axId val="1388458752"/>
      </c:lineChart>
      <c:catAx>
        <c:axId val="138845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58752"/>
        <c:crosses val="autoZero"/>
        <c:auto val="1"/>
        <c:lblAlgn val="ctr"/>
        <c:lblOffset val="100"/>
        <c:noMultiLvlLbl val="0"/>
      </c:catAx>
      <c:valAx>
        <c:axId val="138845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5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288130</xdr:colOff>
      <xdr:row>34</xdr:row>
      <xdr:rowOff>95250</xdr:rowOff>
    </xdr:from>
    <xdr:to>
      <xdr:col>15</xdr:col>
      <xdr:colOff>788193</xdr:colOff>
      <xdr:row>49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A12C54-528F-8936-9F62-FEB0CFC46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797718</xdr:colOff>
      <xdr:row>35</xdr:row>
      <xdr:rowOff>95249</xdr:rowOff>
    </xdr:from>
    <xdr:to>
      <xdr:col>42</xdr:col>
      <xdr:colOff>483393</xdr:colOff>
      <xdr:row>50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17C48E-0942-41B6-2C6B-320002AE7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nt110676\Dropbox\ComputMacro\EXCEL-ICM\RB_Investment_NoTaxes.xlsx" TargetMode="External"/><Relationship Id="rId1" Type="http://schemas.openxmlformats.org/officeDocument/2006/relationships/externalLinkPath" Target="RB_Investment_No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bb-Dougles"/>
      <sheetName val="CES"/>
    </sheetNames>
    <sheetDataSet>
      <sheetData sheetId="0">
        <row r="23">
          <cell r="B23">
            <v>1</v>
          </cell>
        </row>
        <row r="29">
          <cell r="B29">
            <v>0.95</v>
          </cell>
        </row>
        <row r="30">
          <cell r="B30">
            <v>0.05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ul McNelis" id="{05E42E74-EB9D-4208-A81A-2BD9B2220FE8}" userId="26a10bb981c8398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4-11-18T15:18:37.49" personId="{05E42E74-EB9D-4208-A81A-2BD9B2220FE8}" id="{06EAE5F7-506B-4565-8AAF-EFE1EEE1F0C2}">
    <text>TFP: Ac times the Gross Shock from 1 to 1.025</text>
  </threadedComment>
  <threadedComment ref="O2" dT="2024-11-18T15:19:45.04" personId="{05E42E74-EB9D-4208-A81A-2BD9B2220FE8}" id="{212648C3-82BF-430C-9F1F-8185FE446CE7}">
    <text>Adjustment Costs</text>
  </threadedComment>
  <threadedComment ref="P2" dT="2024-11-18T15:20:13.46" personId="{05E42E74-EB9D-4208-A81A-2BD9B2220FE8}" id="{A32986EE-A715-4D4F-96C8-33372D85F191}">
    <text>Auxiliary Variable for Calculating MPK and MPL</text>
  </threadedComment>
  <threadedComment ref="R2" dT="2024-11-18T15:20:28.23" personId="{05E42E74-EB9D-4208-A81A-2BD9B2220FE8}" id="{C0F2D8B7-CA15-46C4-92ED-DC3E951125BB}">
    <text>GDP Equation</text>
  </threadedComment>
  <threadedComment ref="S2" dT="2024-11-18T15:20:55.47" personId="{05E42E74-EB9D-4208-A81A-2BD9B2220FE8}" id="{E390CC62-5E46-4AC4-B556-00E24DEA6F1F}">
    <text>Marginal Product of labor without taxes</text>
  </threadedComment>
  <threadedComment ref="T2" dT="2024-11-18T15:21:25.77" personId="{05E42E74-EB9D-4208-A81A-2BD9B2220FE8}" id="{47F7972B-84D0-43EB-A62E-7118F0ED42A8}">
    <text>Adjustment cost derivative with respect to Capital</text>
  </threadedComment>
  <threadedComment ref="Z2" dT="2024-11-18T15:23:12.10" personId="{05E42E74-EB9D-4208-A81A-2BD9B2220FE8}" id="{BE28AB43-24CC-4956-95BC-0F22954FF2E8}">
    <text xml:space="preserve">Consumption from Budget constraint
</text>
  </threadedComment>
  <threadedComment ref="AA2" dT="2024-11-18T15:23:39.20" personId="{05E42E74-EB9D-4208-A81A-2BD9B2220FE8}" id="{488FD31C-3E75-4C04-863B-610FFF11627A}">
    <text>Marginal utility of Income</text>
  </threadedComment>
  <threadedComment ref="K3" dT="2024-11-18T15:19:21.13" personId="{05E42E74-EB9D-4208-A81A-2BD9B2220FE8}" id="{5D381A2D-C121-4748-BCF9-49EC183931BD}">
    <text>Investment equation as function of Q</text>
  </threadedComment>
  <threadedComment ref="P3" dT="2024-11-18T15:20:13.46" personId="{05E42E74-EB9D-4208-A81A-2BD9B2220FE8}" id="{A2A0AD4B-3D7F-496F-B72A-8B1BB2FEC31A}">
    <text>Auxiliary Variable for Calculating MPK and MPL</text>
  </threadedComment>
  <threadedComment ref="U3" dT="2024-11-18T15:22:07.16" personId="{05E42E74-EB9D-4208-A81A-2BD9B2220FE8}" id="{A3E30F7A-0041-4EB4-BC02-CC0AE1DEF474}">
    <text>Euler equation for Q : should be zero at optimal path</text>
  </threadedComment>
  <threadedComment ref="V3" dT="2024-11-18T15:22:41.20" personId="{05E42E74-EB9D-4208-A81A-2BD9B2220FE8}" id="{9D3D6FA6-EEB6-4C6F-9056-AED248043D86}">
    <text>Euler squared, to be minimized at zero</text>
  </threadedComment>
  <threadedComment ref="Z3" dT="2024-11-18T15:23:12.10" personId="{05E42E74-EB9D-4208-A81A-2BD9B2220FE8}" id="{0EF956D6-ADF2-4BA0-B8D1-3F0B02CDE006}">
    <text xml:space="preserve">Consumption from Budget constraint
</text>
  </threadedComment>
  <threadedComment ref="AB3" dT="2024-11-18T15:24:17.45" personId="{05E42E74-EB9D-4208-A81A-2BD9B2220FE8}" id="{71E4F16C-63F9-4753-B4B9-3E30F83227FC}">
    <text>Stochastic Discount Rate</text>
  </threadedComment>
  <threadedComment ref="B12" dT="2024-11-18T15:02:54.21" personId="{05E42E74-EB9D-4208-A81A-2BD9B2220FE8}" id="{91ED4124-6B3E-4D6C-987E-5AFF717E5DD0}">
    <text>Coefficient of Capital in Production</text>
  </threadedComment>
  <threadedComment ref="B13" dT="2024-11-18T15:03:07.30" personId="{05E42E74-EB9D-4208-A81A-2BD9B2220FE8}" id="{25B5A310-F075-441A-B300-1E2DE1CECFA4}">
    <text>Depreciation</text>
  </threadedComment>
  <threadedComment ref="B14" dT="2024-11-18T15:03:29.08" personId="{05E42E74-EB9D-4208-A81A-2BD9B2220FE8}" id="{54156316-0D95-4862-8FFA-03257F83D3E2}">
    <text>Coefficient of Adjustment Costs</text>
  </threadedComment>
  <threadedComment ref="B17" dT="2024-11-18T15:04:08.18" personId="{05E42E74-EB9D-4208-A81A-2BD9B2220FE8}" id="{9D98AD40-50C5-40DE-AEBE-54EDE0E7FC6C}">
    <text>Steady State interest rate (MPK net of taxes less depreciation)</text>
  </threadedComment>
  <threadedComment ref="B18" dT="2024-11-18T15:04:29.40" personId="{05E42E74-EB9D-4208-A81A-2BD9B2220FE8}" id="{FD96E0E0-675B-420D-A93A-8383BED4AB50}">
    <text>Steady state discount factor</text>
  </threadedComment>
  <threadedComment ref="B20" dT="2024-11-18T15:12:08.76" personId="{05E42E74-EB9D-4208-A81A-2BD9B2220FE8}" id="{1E9F099E-400C-41C1-9775-7255C0B0F990}">
    <text>Steady state q</text>
  </threadedComment>
  <threadedComment ref="B21" dT="2024-11-18T15:12:46.10" personId="{05E42E74-EB9D-4208-A81A-2BD9B2220FE8}" id="{39A24B21-741B-459A-A0F2-B06D467598ED}">
    <text>Steady state capital stock</text>
  </threadedComment>
  <threadedComment ref="B22" dT="2024-11-18T15:13:00.70" personId="{05E42E74-EB9D-4208-A81A-2BD9B2220FE8}" id="{DF024810-B7C8-48D7-BB1A-CC3A62F4A21C}">
    <text>Steady state labor</text>
  </threadedComment>
  <threadedComment ref="B31" dT="2024-11-18T14:46:11.41" personId="{05E42E74-EB9D-4208-A81A-2BD9B2220FE8}" id="{4F563C28-E180-484F-8CC8-5D9E632FAA72}">
    <text>CES Coefficient for Elasticity of Substitution</text>
  </threadedComment>
  <threadedComment ref="B34" dT="2024-11-18T15:13:36.05" personId="{05E42E74-EB9D-4208-A81A-2BD9B2220FE8}" id="{21D182C1-65AA-40F3-830D-7FDB787BD8F1}">
    <text>Constant term so that y=1</text>
  </threadedComment>
  <threadedComment ref="B35" dT="2024-11-18T14:44:55.08" personId="{05E42E74-EB9D-4208-A81A-2BD9B2220FE8}" id="{A9CFB250-1062-4B37-A25D-64324EECED98}">
    <text>Auxiliary Variable for Steady State</text>
  </threadedComment>
  <threadedComment ref="B36" dT="2024-11-18T14:45:16.24" personId="{05E42E74-EB9D-4208-A81A-2BD9B2220FE8}" id="{36403C8F-A3EB-4949-9274-BC03D3DE9821}">
    <text>CRRA Coefficient</text>
  </threadedComment>
  <threadedComment ref="B37" dT="2024-11-18T14:44:05.15" personId="{05E42E74-EB9D-4208-A81A-2BD9B2220FE8}" id="{68695D20-31F1-46E5-BCA7-4DE7DB8750A9}">
    <text>Frisch Elasticity of Labor Supply</text>
  </threadedComment>
  <threadedComment ref="B39" dT="2024-11-18T14:42:59.29" personId="{05E42E74-EB9D-4208-A81A-2BD9B2220FE8}" id="{849D766E-8DE9-42E9-AD0D-385F99429DC4}">
    <text>Steady State Consumption</text>
  </threadedComment>
  <threadedComment ref="B42" dT="2024-11-18T15:13:55.43" personId="{05E42E74-EB9D-4208-A81A-2BD9B2220FE8}" id="{20A2E409-B51B-4DB4-A32C-35BF7AE541F8}">
    <text>Consumption tax rate</text>
  </threadedComment>
  <threadedComment ref="B43" dT="2024-11-18T15:14:11.13" personId="{05E42E74-EB9D-4208-A81A-2BD9B2220FE8}" id="{40ABC0E3-112B-4020-BD15-B8C034F301AA}">
    <text>Labor income tax rate</text>
  </threadedComment>
  <threadedComment ref="B44" dT="2024-11-18T15:14:27.13" personId="{05E42E74-EB9D-4208-A81A-2BD9B2220FE8}" id="{044E4EA6-4A62-43C7-B09E-D3FC7CFBC40A}">
    <text>Capital income tax rate</text>
  </threadedComment>
  <threadedComment ref="B46" dT="2024-11-18T15:14:51.04" personId="{05E42E74-EB9D-4208-A81A-2BD9B2220FE8}" id="{BAD252A7-2EDD-4011-AD05-FADBBCB47409}">
    <text>Steady state lambda (marginal utility of income</text>
  </threadedComment>
  <threadedComment ref="B47" dT="2024-11-18T15:15:24.83" personId="{05E42E74-EB9D-4208-A81A-2BD9B2220FE8}" id="{D131F8E9-6E58-4150-9FD1-13BC75721A5E}">
    <text>Steady state marginal prod of capital (gross of taxes)</text>
  </threadedComment>
  <threadedComment ref="B48" dT="2024-11-18T15:15:48.34" personId="{05E42E74-EB9D-4208-A81A-2BD9B2220FE8}" id="{CDE836D4-C952-494E-9291-323ADBEEE348}">
    <text>Steady state marginal product of labor without taxes</text>
  </threadedComment>
  <threadedComment ref="B49" dT="2024-11-18T14:42:03.72" personId="{05E42E74-EB9D-4208-A81A-2BD9B2220FE8}" id="{FB3C09BA-71F6-46CF-9924-61A134C1B541}">
    <text xml:space="preserve">Disutility of Labor
</text>
  </threadedComment>
  <threadedComment ref="B53" dT="2024-11-18T15:17:15.09" personId="{05E42E74-EB9D-4208-A81A-2BD9B2220FE8}" id="{9F3FB98B-430B-4024-B639-8957F71CBFD2}">
    <text>Constant returns to scale property</text>
  </threadedComment>
  <threadedComment ref="B60" dT="2024-11-18T15:20:13.46" personId="{05E42E74-EB9D-4208-A81A-2BD9B2220FE8}" id="{CB2E3DBB-9701-4A6D-AA78-7C43134DE1EE}">
    <text>Auxiliary Variable for Calculating MPK and MPL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3246-20A0-4BA5-832F-0CE6502C9F05}">
  <dimension ref="A1:AT63"/>
  <sheetViews>
    <sheetView tabSelected="1" topLeftCell="AG32" workbookViewId="0">
      <selection activeCell="AS1" sqref="AS1:AS50"/>
    </sheetView>
  </sheetViews>
  <sheetFormatPr defaultColWidth="11.3984375" defaultRowHeight="14.25" x14ac:dyDescent="0.45"/>
  <cols>
    <col min="1" max="1" width="32.265625" style="3" customWidth="1"/>
    <col min="2" max="2" width="18.265625" style="3" customWidth="1"/>
    <col min="3" max="3" width="13.73046875" style="3" bestFit="1" customWidth="1"/>
    <col min="4" max="4" width="11.3984375" style="3" hidden="1" customWidth="1"/>
    <col min="5" max="6" width="11.3984375" style="3"/>
    <col min="10" max="10" width="12" bestFit="1" customWidth="1"/>
    <col min="19" max="19" width="12.3984375" bestFit="1" customWidth="1"/>
    <col min="22" max="22" width="12.3984375" bestFit="1" customWidth="1"/>
    <col min="29" max="29" width="12" bestFit="1" customWidth="1"/>
    <col min="30" max="30" width="12" customWidth="1"/>
  </cols>
  <sheetData>
    <row r="1" spans="1:45" ht="14.65" thickBot="1" x14ac:dyDescent="0.5">
      <c r="A1" s="1"/>
      <c r="B1" s="2"/>
      <c r="C1" s="3" t="s">
        <v>32</v>
      </c>
      <c r="F1" s="3" t="s">
        <v>0</v>
      </c>
      <c r="G1" t="s">
        <v>1</v>
      </c>
      <c r="H1" t="s">
        <v>2</v>
      </c>
      <c r="I1" t="s">
        <v>3</v>
      </c>
      <c r="J1" t="s">
        <v>78</v>
      </c>
      <c r="K1" t="s">
        <v>4</v>
      </c>
      <c r="L1" t="s">
        <v>80</v>
      </c>
      <c r="M1" t="s">
        <v>79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45</v>
      </c>
      <c r="AA1" t="s">
        <v>46</v>
      </c>
      <c r="AB1" t="s">
        <v>49</v>
      </c>
      <c r="AC1" t="s">
        <v>65</v>
      </c>
      <c r="AD1" t="s">
        <v>66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64</v>
      </c>
      <c r="AN1" t="s">
        <v>60</v>
      </c>
      <c r="AO1" t="s">
        <v>61</v>
      </c>
      <c r="AP1" t="s">
        <v>63</v>
      </c>
      <c r="AQ1" t="s">
        <v>70</v>
      </c>
      <c r="AR1" t="s">
        <v>67</v>
      </c>
      <c r="AS1" t="s">
        <v>68</v>
      </c>
    </row>
    <row r="2" spans="1:45" ht="14.65" thickBot="1" x14ac:dyDescent="0.5">
      <c r="A2" s="3" t="s">
        <v>17</v>
      </c>
      <c r="F2" s="3">
        <f>1</f>
        <v>1</v>
      </c>
      <c r="G2">
        <f>$B$60</f>
        <v>1.550088377961665</v>
      </c>
      <c r="H2">
        <v>1</v>
      </c>
      <c r="I2">
        <v>3.71</v>
      </c>
      <c r="J2">
        <v>0.05</v>
      </c>
      <c r="K2">
        <f>Delta*I2</f>
        <v>0.1484</v>
      </c>
      <c r="L2">
        <f>$M$2</f>
        <v>1.2914195408515181</v>
      </c>
      <c r="M2">
        <f t="shared" ref="M2:M33" si="0">G2* 0.05*J2^(rhoc-1)*P2</f>
        <v>1.2914195408515181</v>
      </c>
      <c r="N2">
        <f t="shared" ref="N2:N33" si="1">G2*(0.35*I2^(rhoc-1))*P2</f>
        <v>7.9199255257964035E-2</v>
      </c>
      <c r="O2">
        <f t="shared" ref="O2:O33" si="2">(Phi/2)*((K2-Delta*I2)/I2)^2*I2</f>
        <v>0</v>
      </c>
      <c r="P2">
        <f t="shared" ref="P2:P33" si="3">(0.35* I2^rhoc + 0.6* Q2^rhoc+ 0.05*J2^rhoc)^(1/rhoc-1)</f>
        <v>0.61745867112011033</v>
      </c>
      <c r="Q2">
        <v>0.33</v>
      </c>
      <c r="R2">
        <f t="shared" ref="R2:R33" si="4">G2*(0.35* I2^rhoc + 0.6*Q2^rhoc+0.05*J2^rhoc)^(1/rhoc)</f>
        <v>1</v>
      </c>
      <c r="S2">
        <f t="shared" ref="S2:S33" si="5">G2*0.6*Q2^(rhoc-1)*P2</f>
        <v>1.9442417756072052</v>
      </c>
      <c r="T2">
        <f t="shared" ref="T2:T33" si="6">(Phi/2)*((K2-Delta*I2)/I2)^2 - Phi *((K2-Delta*I2)/I2)* (K2/I2)</f>
        <v>0</v>
      </c>
      <c r="W2">
        <v>0</v>
      </c>
      <c r="X2">
        <v>0</v>
      </c>
      <c r="Y2">
        <v>1</v>
      </c>
      <c r="Z2">
        <f t="shared" ref="Z2" si="7">Cbar</f>
        <v>0.5295951735625205</v>
      </c>
      <c r="AA2">
        <f>Z2^(-sigma_c) /(1+tauc)</f>
        <v>3.241300362461546</v>
      </c>
      <c r="AB2">
        <f>1/(1+0.03)</f>
        <v>0.970873786407767</v>
      </c>
      <c r="AE2">
        <f t="shared" ref="AE2:AE50" si="8">tauw*Q2*S2</f>
        <v>0.16039994648759445</v>
      </c>
      <c r="AF2">
        <f t="shared" ref="AF2:AF33" si="9">tauc*Z2</f>
        <v>5.2959517356252053E-2</v>
      </c>
      <c r="AG2">
        <f t="shared" ref="AG2:AG33" si="10">tauk*I2*N2</f>
        <v>4.4074385551056985E-2</v>
      </c>
      <c r="AH2">
        <f>AE2+AF2+AG2</f>
        <v>0.25743384939490349</v>
      </c>
      <c r="AI2">
        <f>AH2/R2</f>
        <v>0.25743384939490349</v>
      </c>
      <c r="AJ2">
        <f t="shared" ref="AJ2:AJ33" si="11">(N2-Delta)*(1+tauk) *H2*I2/R2</f>
        <v>0.16724362255810354</v>
      </c>
      <c r="AK2">
        <f>S2*Q2/R2</f>
        <v>0.64159978595037781</v>
      </c>
      <c r="AL2">
        <f>P2*(AJ2+AK2)</f>
        <v>0.49942737616190741</v>
      </c>
      <c r="AN2">
        <v>0</v>
      </c>
      <c r="AO2">
        <v>0</v>
      </c>
      <c r="AP2">
        <v>0</v>
      </c>
      <c r="AQ2">
        <v>0.03</v>
      </c>
      <c r="AR2">
        <f>(R2-Z2)+(AH2-$AH$2)-K2-$AH$2-M2*J2</f>
        <v>1.2490009027033011E-16</v>
      </c>
      <c r="AS2">
        <v>0</v>
      </c>
    </row>
    <row r="3" spans="1:45" ht="14.65" thickBot="1" x14ac:dyDescent="0.5">
      <c r="A3" s="4"/>
      <c r="B3" s="5"/>
      <c r="C3" s="6"/>
      <c r="D3" s="5"/>
      <c r="E3" s="5"/>
      <c r="F3" s="7">
        <f>F2+1</f>
        <v>2</v>
      </c>
      <c r="G3">
        <f t="shared" ref="G3:G50" si="12">$B$60</f>
        <v>1.550088377961665</v>
      </c>
      <c r="H3">
        <v>0.99374406729306386</v>
      </c>
      <c r="I3">
        <f t="shared" ref="I3:I34" si="13">(1-Delta)*I2+K2</f>
        <v>3.71</v>
      </c>
      <c r="J3">
        <f>(L2/(G2*J2*P2))^(1/(rhoc-1))</f>
        <v>4.9999999999999982E-2</v>
      </c>
      <c r="K3">
        <f>Delta*I2+ (H3-1)*(I2/Phi)</f>
        <v>0.14607904896572671</v>
      </c>
      <c r="L3">
        <f>$M$2*Y3</f>
        <v>1.3559905178940941</v>
      </c>
      <c r="M3">
        <f t="shared" si="0"/>
        <v>1.291419540851519</v>
      </c>
      <c r="N3">
        <f t="shared" si="1"/>
        <v>7.9199255257964035E-2</v>
      </c>
      <c r="O3">
        <f t="shared" si="2"/>
        <v>7.2598567432537389E-6</v>
      </c>
      <c r="P3">
        <f>(0.35* I3^rhoc + 0.6* Q3^rhoc+ 0.05*J3^rhoc)^(1/rhoc-1)</f>
        <v>0.61745867112011033</v>
      </c>
      <c r="Q3">
        <f t="shared" ref="Q3:Q50" si="14">(S2 *(1-tauw)*AA2/gamma)^phiLL</f>
        <v>0.33</v>
      </c>
      <c r="R3">
        <f t="shared" si="4"/>
        <v>1</v>
      </c>
      <c r="S3">
        <f t="shared" si="5"/>
        <v>1.9442417756072052</v>
      </c>
      <c r="T3">
        <f t="shared" si="6"/>
        <v>2.4828047357575855E-4</v>
      </c>
      <c r="U3">
        <f t="shared" ref="U3:U50" si="15">AB3*((1-Delta)*H3 + (N3*(1-tauk))- T3)-H2</f>
        <v>-8.6743775756941144E-3</v>
      </c>
      <c r="V3">
        <f>U3^2</f>
        <v>7.5244826325704896E-5</v>
      </c>
      <c r="W3">
        <f t="shared" ref="W3:W34" ca="1" si="16">_xlfn.NORM.INV(RAND(),0,sigma)</f>
        <v>1.6201030007936022E-2</v>
      </c>
      <c r="X3">
        <v>0</v>
      </c>
      <c r="Y3">
        <v>1.05</v>
      </c>
      <c r="Z3">
        <v>0.5290678373280655</v>
      </c>
      <c r="AA3">
        <f t="shared" ref="AA3:AA33" si="17">Z3^(-sigma_c) /(1+tauc)</f>
        <v>3.2477649661953163</v>
      </c>
      <c r="AB3">
        <f t="shared" ref="AB3:AB50" si="18">Beta</f>
        <v>0.970873786407767</v>
      </c>
      <c r="AC3">
        <f t="shared" ref="AC3:AC50" si="19">AB2 * (AA3 *(1+N3*(1-tauk)-Delta))-AA2</f>
        <v>-1.9878875715040323E-3</v>
      </c>
      <c r="AD3">
        <f>AC3^2</f>
        <v>3.9516969969401993E-6</v>
      </c>
      <c r="AE3">
        <f t="shared" si="8"/>
        <v>0.16039994648759445</v>
      </c>
      <c r="AF3">
        <f t="shared" si="9"/>
        <v>5.290678373280655E-2</v>
      </c>
      <c r="AG3">
        <f t="shared" si="10"/>
        <v>4.4074385551056985E-2</v>
      </c>
      <c r="AH3">
        <f t="shared" ref="AH3:AH50" si="20">AE3+AF3+AG3</f>
        <v>0.257381115771458</v>
      </c>
      <c r="AI3">
        <f t="shared" ref="AI3:AI50" si="21">AH3/R3</f>
        <v>0.257381115771458</v>
      </c>
      <c r="AJ3">
        <f t="shared" si="11"/>
        <v>0.16619735770971583</v>
      </c>
      <c r="AK3">
        <f t="shared" ref="AK3:AK50" si="22">S3*Q3/R3</f>
        <v>0.64159978595037781</v>
      </c>
      <c r="AL3">
        <f t="shared" ref="AL3:AL50" si="23">P3*(AJ3+AK3)</f>
        <v>0.49878135085898229</v>
      </c>
      <c r="AM3">
        <f>LN(S3)-LN(S2)</f>
        <v>0</v>
      </c>
      <c r="AN3">
        <f>LN(AL3)-LN(AL2)</f>
        <v>-1.2943693550919733E-3</v>
      </c>
      <c r="AO3">
        <f>LN(R3)-LN(R2)</f>
        <v>0</v>
      </c>
      <c r="AP3">
        <f>LN(AH3)-LN(AH2)</f>
        <v>-2.0486437729294593E-4</v>
      </c>
      <c r="AQ3">
        <v>0.03</v>
      </c>
      <c r="AR3">
        <f t="shared" ref="AR3:AR50" si="24">(R3-Z3)+(AH3-$AH$2)-K3-$AH$2-M3*J3</f>
        <v>2.795553645282875E-3</v>
      </c>
      <c r="AS3">
        <f t="shared" ref="AS3:AS50" si="25">(1+Interest)*AS2+AR3</f>
        <v>2.795553645282875E-3</v>
      </c>
    </row>
    <row r="4" spans="1:45" ht="14.65" thickBot="1" x14ac:dyDescent="0.5">
      <c r="A4" s="8"/>
      <c r="B4" s="9"/>
      <c r="C4" s="9"/>
      <c r="D4" s="9"/>
      <c r="E4" s="9"/>
      <c r="F4" s="7">
        <f t="shared" ref="F4:F50" si="26">F3+1</f>
        <v>3</v>
      </c>
      <c r="G4">
        <f t="shared" si="12"/>
        <v>1.550088377961665</v>
      </c>
      <c r="H4">
        <v>0.98862490843105932</v>
      </c>
      <c r="I4">
        <f t="shared" si="13"/>
        <v>3.7076790489657268</v>
      </c>
      <c r="J4">
        <f t="shared" ref="J4:J35" si="27">(L3/(G3*0.05*P3))^(1/(rhoc-1))</f>
        <v>4.7830729558297702E-2</v>
      </c>
      <c r="K4">
        <f t="shared" ref="K4:K34" si="28">Delta*I3+ (H4-1)*(I3/Phi)</f>
        <v>0.144179841027923</v>
      </c>
      <c r="L4">
        <f t="shared" ref="L4:L50" si="29">$M$2*Y4</f>
        <v>1.3559905178940941</v>
      </c>
      <c r="M4">
        <f t="shared" si="0"/>
        <v>1.3523933671808233</v>
      </c>
      <c r="N4">
        <f t="shared" si="1"/>
        <v>7.9043549018071743E-2</v>
      </c>
      <c r="O4">
        <f t="shared" si="2"/>
        <v>2.2972293232603932E-5</v>
      </c>
      <c r="P4">
        <f t="shared" si="3"/>
        <v>0.61582068628915121</v>
      </c>
      <c r="Q4">
        <f t="shared" si="14"/>
        <v>0.33032891993255348</v>
      </c>
      <c r="R4">
        <f t="shared" si="4"/>
        <v>0.99758808659309739</v>
      </c>
      <c r="S4">
        <f t="shared" si="5"/>
        <v>1.9369603323604756</v>
      </c>
      <c r="T4">
        <f t="shared" si="6"/>
        <v>4.3907686117112974E-4</v>
      </c>
      <c r="U4">
        <f t="shared" si="15"/>
        <v>-7.5034343823775496E-3</v>
      </c>
      <c r="V4">
        <f t="shared" ref="V4:V50" si="30">U4^2</f>
        <v>5.6301527530645559E-5</v>
      </c>
      <c r="W4">
        <f t="shared" ca="1" si="16"/>
        <v>-7.3224310663710121E-4</v>
      </c>
      <c r="X4">
        <v>0</v>
      </c>
      <c r="Y4">
        <v>1.05</v>
      </c>
      <c r="Z4">
        <v>0.52850525260815806</v>
      </c>
      <c r="AA4">
        <f t="shared" si="17"/>
        <v>3.2546830258205515</v>
      </c>
      <c r="AB4">
        <f t="shared" si="18"/>
        <v>0.970873786407767</v>
      </c>
      <c r="AC4">
        <f t="shared" si="19"/>
        <v>-1.9706482496828492E-3</v>
      </c>
      <c r="AD4">
        <f t="shared" ref="AD4:AD50" si="31">AC4^2</f>
        <v>3.883454523978077E-6</v>
      </c>
      <c r="AE4">
        <f t="shared" si="8"/>
        <v>0.15995850363520894</v>
      </c>
      <c r="AF4">
        <f t="shared" si="9"/>
        <v>5.2850525260815809E-2</v>
      </c>
      <c r="AG4">
        <f t="shared" si="10"/>
        <v>4.3960216597530001E-2</v>
      </c>
      <c r="AH4">
        <f t="shared" si="20"/>
        <v>0.25676924549355479</v>
      </c>
      <c r="AI4">
        <f t="shared" si="21"/>
        <v>0.25739004800113202</v>
      </c>
      <c r="AJ4">
        <f t="shared" si="11"/>
        <v>0.16497933746718629</v>
      </c>
      <c r="AK4">
        <f t="shared" si="22"/>
        <v>0.64138096990107241</v>
      </c>
      <c r="AL4">
        <f t="shared" si="23"/>
        <v>0.49657335787985196</v>
      </c>
      <c r="AM4">
        <f t="shared" ref="AM4:AM50" si="32">LN(S4)-LN(S3)</f>
        <v>-3.7521631633498087E-3</v>
      </c>
      <c r="AN4">
        <f t="shared" ref="AN4:AN50" si="33">LN(AL4)-LN(AL3)</f>
        <v>-4.4366025126230113E-3</v>
      </c>
      <c r="AO4">
        <f t="shared" ref="AO4:AO50" si="34">LN(R4)-LN(R3)</f>
        <v>-2.4148267554829051E-3</v>
      </c>
      <c r="AP4">
        <f t="shared" ref="AP4:AP50" si="35">LN(AH4)-LN(AH3)</f>
        <v>-2.3801230645865701E-3</v>
      </c>
      <c r="AQ4">
        <v>0.03</v>
      </c>
      <c r="AR4">
        <f t="shared" si="24"/>
        <v>2.1185782587025415E-3</v>
      </c>
      <c r="AS4">
        <f t="shared" si="25"/>
        <v>4.9979985133439021E-3</v>
      </c>
    </row>
    <row r="5" spans="1:45" ht="14.65" thickBot="1" x14ac:dyDescent="0.5">
      <c r="A5" s="10"/>
      <c r="B5" s="11"/>
      <c r="C5" s="11"/>
      <c r="D5" s="11"/>
      <c r="E5" s="11"/>
      <c r="F5" s="7">
        <f t="shared" si="26"/>
        <v>4</v>
      </c>
      <c r="G5">
        <f t="shared" si="12"/>
        <v>1.550088377961665</v>
      </c>
      <c r="H5">
        <v>0.98441502513434231</v>
      </c>
      <c r="I5">
        <f t="shared" si="13"/>
        <v>3.7035517280350208</v>
      </c>
      <c r="J5">
        <f t="shared" si="27"/>
        <v>4.77153659804141E-2</v>
      </c>
      <c r="K5">
        <f t="shared" si="28"/>
        <v>0.14252875347982344</v>
      </c>
      <c r="L5">
        <f t="shared" si="29"/>
        <v>1.3559905178940941</v>
      </c>
      <c r="M5">
        <f t="shared" si="0"/>
        <v>1.35449273514555</v>
      </c>
      <c r="N5">
        <f t="shared" si="1"/>
        <v>7.9053035153209772E-2</v>
      </c>
      <c r="O5">
        <f t="shared" si="2"/>
        <v>4.2539317398295215E-5</v>
      </c>
      <c r="P5">
        <f t="shared" si="3"/>
        <v>0.6151404709130488</v>
      </c>
      <c r="Q5">
        <f t="shared" si="14"/>
        <v>0.33006074726002671</v>
      </c>
      <c r="R5">
        <f t="shared" si="4"/>
        <v>0.99658630613989596</v>
      </c>
      <c r="S5">
        <f t="shared" si="5"/>
        <v>1.9365501348543448</v>
      </c>
      <c r="T5">
        <f t="shared" si="6"/>
        <v>5.9477687932858487E-4</v>
      </c>
      <c r="U5">
        <f t="shared" si="15"/>
        <v>-6.4513869457504258E-3</v>
      </c>
      <c r="V5">
        <f t="shared" si="30"/>
        <v>4.1620393523799008E-5</v>
      </c>
      <c r="W5">
        <f t="shared" ca="1" si="16"/>
        <v>-9.181177956324385E-2</v>
      </c>
      <c r="X5">
        <v>0</v>
      </c>
      <c r="Y5">
        <v>1.05</v>
      </c>
      <c r="Z5">
        <v>0.52794181914145066</v>
      </c>
      <c r="AA5">
        <f t="shared" si="17"/>
        <v>3.2616337003541833</v>
      </c>
      <c r="AB5">
        <f t="shared" si="18"/>
        <v>0.970873786407767</v>
      </c>
      <c r="AC5">
        <f t="shared" si="19"/>
        <v>-1.9314827376777366E-3</v>
      </c>
      <c r="AD5">
        <f t="shared" si="31"/>
        <v>3.7306255659470843E-6</v>
      </c>
      <c r="AE5">
        <f t="shared" si="8"/>
        <v>0.15979479615413264</v>
      </c>
      <c r="AF5">
        <f t="shared" si="9"/>
        <v>5.2794181914145068E-2</v>
      </c>
      <c r="AG5">
        <f t="shared" si="10"/>
        <v>4.3916550742212498E-2</v>
      </c>
      <c r="AH5">
        <f t="shared" si="20"/>
        <v>0.25650552881049021</v>
      </c>
      <c r="AI5">
        <f t="shared" si="21"/>
        <v>0.25738415953558486</v>
      </c>
      <c r="AJ5">
        <f t="shared" si="11"/>
        <v>0.16429879035706113</v>
      </c>
      <c r="AK5">
        <f t="shared" si="22"/>
        <v>0.64136862073921141</v>
      </c>
      <c r="AL5">
        <f t="shared" si="23"/>
        <v>0.49559863066105792</v>
      </c>
      <c r="AM5">
        <f t="shared" si="32"/>
        <v>-2.1179625620537657E-4</v>
      </c>
      <c r="AN5">
        <f t="shared" si="33"/>
        <v>-1.9648358220872852E-3</v>
      </c>
      <c r="AO5">
        <f t="shared" si="34"/>
        <v>-1.0047070518220402E-3</v>
      </c>
      <c r="AP5">
        <f t="shared" si="35"/>
        <v>-1.0275849095748857E-3</v>
      </c>
      <c r="AQ5">
        <v>0.03</v>
      </c>
      <c r="AR5">
        <f t="shared" si="24"/>
        <v>3.1234469640230994E-3</v>
      </c>
      <c r="AS5">
        <f t="shared" si="25"/>
        <v>8.2713854327673177E-3</v>
      </c>
    </row>
    <row r="6" spans="1:45" ht="14.65" thickBot="1" x14ac:dyDescent="0.5">
      <c r="F6" s="7">
        <f t="shared" si="26"/>
        <v>5</v>
      </c>
      <c r="G6">
        <f t="shared" si="12"/>
        <v>1.550088377961665</v>
      </c>
      <c r="H6">
        <v>0.98094315453822345</v>
      </c>
      <c r="I6">
        <f t="shared" si="13"/>
        <v>3.6979384123934431</v>
      </c>
      <c r="J6">
        <f t="shared" si="27"/>
        <v>4.7667450090480241E-2</v>
      </c>
      <c r="K6">
        <f t="shared" si="28"/>
        <v>0.14108426782731492</v>
      </c>
      <c r="L6">
        <f t="shared" si="29"/>
        <v>1.3559905178940941</v>
      </c>
      <c r="M6">
        <f t="shared" si="0"/>
        <v>1.3561476965630479</v>
      </c>
      <c r="N6">
        <f t="shared" si="1"/>
        <v>7.9194222961070676E-2</v>
      </c>
      <c r="O6">
        <f t="shared" si="2"/>
        <v>6.3134584040607118E-5</v>
      </c>
      <c r="P6">
        <f t="shared" si="3"/>
        <v>0.61521177447982289</v>
      </c>
      <c r="Q6">
        <f t="shared" si="14"/>
        <v>0.33037800855015975</v>
      </c>
      <c r="R6">
        <f t="shared" si="4"/>
        <v>0.99669132248420012</v>
      </c>
      <c r="S6">
        <f t="shared" si="5"/>
        <v>1.9347288384012455</v>
      </c>
      <c r="T6">
        <f t="shared" si="6"/>
        <v>7.2207067440051699E-4</v>
      </c>
      <c r="U6">
        <f t="shared" si="15"/>
        <v>-5.4844938729791126E-3</v>
      </c>
      <c r="V6">
        <f t="shared" si="30"/>
        <v>3.0079673042745425E-5</v>
      </c>
      <c r="W6">
        <f t="shared" ca="1" si="16"/>
        <v>-4.175254769650958E-2</v>
      </c>
      <c r="X6">
        <v>0</v>
      </c>
      <c r="Y6">
        <v>1.05</v>
      </c>
      <c r="Z6">
        <v>0.52740652789239206</v>
      </c>
      <c r="AA6">
        <f t="shared" si="17"/>
        <v>3.2682578504085047</v>
      </c>
      <c r="AB6">
        <f t="shared" si="18"/>
        <v>0.970873786407767</v>
      </c>
      <c r="AC6">
        <f t="shared" si="19"/>
        <v>-1.8952477748075403E-3</v>
      </c>
      <c r="AD6">
        <f t="shared" si="31"/>
        <v>3.5919641279129326E-6</v>
      </c>
      <c r="AE6">
        <f t="shared" si="8"/>
        <v>0.15979796517889183</v>
      </c>
      <c r="AF6">
        <f t="shared" si="9"/>
        <v>5.2740652789239208E-2</v>
      </c>
      <c r="AG6">
        <f t="shared" si="10"/>
        <v>4.3928303869109106E-2</v>
      </c>
      <c r="AH6">
        <f t="shared" si="20"/>
        <v>0.25646692183724012</v>
      </c>
      <c r="AI6">
        <f t="shared" si="21"/>
        <v>0.25731830512782028</v>
      </c>
      <c r="AJ6">
        <f t="shared" si="11"/>
        <v>0.1640449013625481</v>
      </c>
      <c r="AK6">
        <f t="shared" si="22"/>
        <v>0.6413137611376164</v>
      </c>
      <c r="AL6">
        <f t="shared" si="23"/>
        <v>0.49546613184942301</v>
      </c>
      <c r="AM6">
        <f t="shared" si="32"/>
        <v>-9.4092758494257467E-4</v>
      </c>
      <c r="AN6">
        <f t="shared" si="33"/>
        <v>-2.6738678931270687E-4</v>
      </c>
      <c r="AO6">
        <f t="shared" si="34"/>
        <v>1.0537051426580228E-4</v>
      </c>
      <c r="AP6">
        <f t="shared" si="35"/>
        <v>-1.5052259931014333E-4</v>
      </c>
      <c r="AQ6">
        <v>0.03</v>
      </c>
      <c r="AR6">
        <f t="shared" si="24"/>
        <v>5.1556471706874357E-3</v>
      </c>
      <c r="AS6">
        <f t="shared" si="25"/>
        <v>1.3675174166437773E-2</v>
      </c>
    </row>
    <row r="7" spans="1:45" ht="14.65" thickBot="1" x14ac:dyDescent="0.5">
      <c r="A7" s="4"/>
      <c r="B7" s="7"/>
      <c r="F7" s="7">
        <f t="shared" si="26"/>
        <v>6</v>
      </c>
      <c r="G7">
        <f t="shared" si="12"/>
        <v>1.550088377961665</v>
      </c>
      <c r="H7">
        <v>0.97812256970816314</v>
      </c>
      <c r="I7">
        <f t="shared" si="13"/>
        <v>3.6911051437250202</v>
      </c>
      <c r="J7">
        <f t="shared" si="27"/>
        <v>4.7672473098843864E-2</v>
      </c>
      <c r="K7">
        <f t="shared" si="28"/>
        <v>0.13982739751167336</v>
      </c>
      <c r="L7">
        <f t="shared" si="29"/>
        <v>1.3559905178940941</v>
      </c>
      <c r="M7">
        <f t="shared" si="0"/>
        <v>1.3557103941630753</v>
      </c>
      <c r="N7">
        <f t="shared" si="1"/>
        <v>7.9339116170006746E-2</v>
      </c>
      <c r="O7">
        <f t="shared" si="2"/>
        <v>8.2769913941663377E-5</v>
      </c>
      <c r="P7">
        <f t="shared" si="3"/>
        <v>0.61508468257515259</v>
      </c>
      <c r="Q7">
        <f t="shared" si="14"/>
        <v>0.33055777365415334</v>
      </c>
      <c r="R7">
        <f t="shared" si="4"/>
        <v>0.99650413995122411</v>
      </c>
      <c r="S7">
        <f t="shared" si="5"/>
        <v>1.9331720618693851</v>
      </c>
      <c r="T7">
        <f t="shared" si="6"/>
        <v>8.2467262851184785E-4</v>
      </c>
      <c r="U7">
        <f t="shared" si="15"/>
        <v>-4.6215593578056158E-3</v>
      </c>
      <c r="V7">
        <f t="shared" si="30"/>
        <v>2.1358810897720656E-5</v>
      </c>
      <c r="W7">
        <f t="shared" ca="1" si="16"/>
        <v>-4.8623797492758504E-2</v>
      </c>
      <c r="X7">
        <v>0</v>
      </c>
      <c r="Y7">
        <v>1.05</v>
      </c>
      <c r="Z7">
        <v>0.52690021966220135</v>
      </c>
      <c r="AA7">
        <f t="shared" si="17"/>
        <v>3.2745419278270123</v>
      </c>
      <c r="AB7">
        <f t="shared" si="18"/>
        <v>0.970873786407767</v>
      </c>
      <c r="AC7">
        <f t="shared" si="19"/>
        <v>-1.8601574307930413E-3</v>
      </c>
      <c r="AD7">
        <f t="shared" si="31"/>
        <v>3.4601856673345684E-6</v>
      </c>
      <c r="AE7">
        <f t="shared" si="8"/>
        <v>0.15975626321548828</v>
      </c>
      <c r="AF7">
        <f t="shared" si="9"/>
        <v>5.2690021966220135E-2</v>
      </c>
      <c r="AG7">
        <f t="shared" si="10"/>
        <v>4.3927352969056317E-2</v>
      </c>
      <c r="AH7">
        <f t="shared" si="20"/>
        <v>0.25637363815076475</v>
      </c>
      <c r="AI7">
        <f t="shared" si="21"/>
        <v>0.25727302865326124</v>
      </c>
      <c r="AJ7">
        <f t="shared" si="11"/>
        <v>0.16390531175566542</v>
      </c>
      <c r="AK7">
        <f t="shared" si="22"/>
        <v>0.64126683196040857</v>
      </c>
      <c r="AL7">
        <f t="shared" si="23"/>
        <v>0.49524905243595646</v>
      </c>
      <c r="AM7">
        <f t="shared" si="32"/>
        <v>-8.0497233825971293E-4</v>
      </c>
      <c r="AN7">
        <f t="shared" si="33"/>
        <v>-4.3822769729162658E-4</v>
      </c>
      <c r="AO7">
        <f t="shared" si="34"/>
        <v>-1.8782155293245624E-4</v>
      </c>
      <c r="AP7">
        <f t="shared" si="35"/>
        <v>-3.6379215991155789E-4</v>
      </c>
      <c r="AQ7">
        <v>0.03</v>
      </c>
      <c r="AR7">
        <f t="shared" si="24"/>
        <v>6.6523948427449769E-3</v>
      </c>
      <c r="AS7">
        <f t="shared" si="25"/>
        <v>2.0737824234175882E-2</v>
      </c>
    </row>
    <row r="8" spans="1:45" ht="14.65" thickBot="1" x14ac:dyDescent="0.5">
      <c r="A8" s="8"/>
      <c r="B8" s="12"/>
      <c r="F8" s="7">
        <f t="shared" si="26"/>
        <v>7</v>
      </c>
      <c r="G8">
        <f t="shared" si="12"/>
        <v>1.550088377961665</v>
      </c>
      <c r="H8">
        <v>0.97587456415961882</v>
      </c>
      <c r="I8">
        <f t="shared" si="13"/>
        <v>3.6832883354876924</v>
      </c>
      <c r="J8">
        <f t="shared" si="27"/>
        <v>4.7663520021731028E-2</v>
      </c>
      <c r="K8">
        <f t="shared" si="28"/>
        <v>0.13873925371649692</v>
      </c>
      <c r="L8">
        <f t="shared" si="29"/>
        <v>1.3559905178940941</v>
      </c>
      <c r="M8">
        <f t="shared" si="0"/>
        <v>1.3555767250393489</v>
      </c>
      <c r="N8">
        <f t="shared" si="1"/>
        <v>7.9500082219629467E-2</v>
      </c>
      <c r="O8">
        <f t="shared" si="2"/>
        <v>1.0021923858561509E-4</v>
      </c>
      <c r="P8">
        <f t="shared" si="3"/>
        <v>0.61489698388304936</v>
      </c>
      <c r="Q8">
        <f t="shared" si="14"/>
        <v>0.33074226679189533</v>
      </c>
      <c r="R8">
        <f t="shared" si="4"/>
        <v>0.99622768855906263</v>
      </c>
      <c r="S8">
        <f t="shared" si="5"/>
        <v>1.9313963433534067</v>
      </c>
      <c r="T8">
        <f t="shared" si="6"/>
        <v>9.0590047226831924E-4</v>
      </c>
      <c r="U8">
        <f t="shared" si="15"/>
        <v>-3.842228924036184E-3</v>
      </c>
      <c r="V8">
        <f t="shared" si="30"/>
        <v>1.4762723104700252E-5</v>
      </c>
      <c r="W8">
        <f t="shared" ca="1" si="16"/>
        <v>1.322802910111978E-2</v>
      </c>
      <c r="X8">
        <v>0</v>
      </c>
      <c r="Y8">
        <v>1.05</v>
      </c>
      <c r="Z8">
        <v>0.52642575554333804</v>
      </c>
      <c r="AA8">
        <f t="shared" si="17"/>
        <v>3.2804472346347739</v>
      </c>
      <c r="AB8">
        <f t="shared" si="18"/>
        <v>0.970873786407767</v>
      </c>
      <c r="AC8">
        <f t="shared" si="19"/>
        <v>-1.817853662536173E-3</v>
      </c>
      <c r="AD8">
        <f t="shared" si="31"/>
        <v>3.3045919383961783E-6</v>
      </c>
      <c r="AE8">
        <f t="shared" si="8"/>
        <v>0.15969860116857088</v>
      </c>
      <c r="AF8">
        <f t="shared" si="9"/>
        <v>5.2642575554333805E-2</v>
      </c>
      <c r="AG8">
        <f t="shared" si="10"/>
        <v>4.3923258826481057E-2</v>
      </c>
      <c r="AH8">
        <f t="shared" si="20"/>
        <v>0.25626443554938572</v>
      </c>
      <c r="AI8">
        <f t="shared" si="21"/>
        <v>0.2572348053486096</v>
      </c>
      <c r="AJ8">
        <f t="shared" si="11"/>
        <v>0.16389546921868936</v>
      </c>
      <c r="AK8">
        <f t="shared" si="22"/>
        <v>0.64121326079405772</v>
      </c>
      <c r="AL8">
        <f t="shared" si="23"/>
        <v>0.49505892978275046</v>
      </c>
      <c r="AM8">
        <f t="shared" si="32"/>
        <v>-9.1897384377859215E-4</v>
      </c>
      <c r="AN8">
        <f t="shared" si="33"/>
        <v>-3.8396672339424676E-4</v>
      </c>
      <c r="AO8">
        <f t="shared" si="34"/>
        <v>-2.7745970629843757E-4</v>
      </c>
      <c r="AP8">
        <f t="shared" si="35"/>
        <v>-4.2604171883930952E-4</v>
      </c>
      <c r="AQ8">
        <v>0.03</v>
      </c>
      <c r="AR8">
        <f t="shared" si="24"/>
        <v>7.8478576839008246E-3</v>
      </c>
      <c r="AS8">
        <f t="shared" si="25"/>
        <v>2.9207816645101983E-2</v>
      </c>
    </row>
    <row r="9" spans="1:45" ht="14.65" thickBot="1" x14ac:dyDescent="0.5">
      <c r="A9" s="10"/>
      <c r="B9" s="13"/>
      <c r="F9" s="7">
        <f t="shared" si="26"/>
        <v>8</v>
      </c>
      <c r="G9">
        <f t="shared" si="12"/>
        <v>1.550088377961665</v>
      </c>
      <c r="H9">
        <v>0.97413526576798148</v>
      </c>
      <c r="I9">
        <f t="shared" si="13"/>
        <v>3.6746960557846813</v>
      </c>
      <c r="J9">
        <f t="shared" si="27"/>
        <v>4.7650297149956541E-2</v>
      </c>
      <c r="K9">
        <f t="shared" si="28"/>
        <v>0.1378048060297794</v>
      </c>
      <c r="L9">
        <f t="shared" si="29"/>
        <v>1.3559905178940941</v>
      </c>
      <c r="M9">
        <f t="shared" si="0"/>
        <v>1.3553619357643494</v>
      </c>
      <c r="N9">
        <f t="shared" si="1"/>
        <v>7.9667636610065748E-2</v>
      </c>
      <c r="O9">
        <f t="shared" si="2"/>
        <v>1.1474167196398662E-4</v>
      </c>
      <c r="P9">
        <f t="shared" si="3"/>
        <v>0.61461194261572283</v>
      </c>
      <c r="Q9">
        <f t="shared" si="14"/>
        <v>0.33088828887500377</v>
      </c>
      <c r="R9">
        <f t="shared" si="4"/>
        <v>0.99580785180775089</v>
      </c>
      <c r="S9">
        <f t="shared" si="5"/>
        <v>1.9295639170817911</v>
      </c>
      <c r="T9">
        <f t="shared" si="6"/>
        <v>9.6837201081635812E-4</v>
      </c>
      <c r="U9">
        <f t="shared" si="15"/>
        <v>-3.137695960588105E-3</v>
      </c>
      <c r="V9">
        <f t="shared" si="30"/>
        <v>9.8451359410909102E-6</v>
      </c>
      <c r="W9">
        <f t="shared" ca="1" si="16"/>
        <v>-1.7964548232101554E-2</v>
      </c>
      <c r="X9">
        <v>0</v>
      </c>
      <c r="Y9">
        <v>1.05</v>
      </c>
      <c r="Z9">
        <v>0.52598452171579801</v>
      </c>
      <c r="AA9">
        <f t="shared" si="17"/>
        <v>3.2859532955169177</v>
      </c>
      <c r="AB9">
        <f t="shared" si="18"/>
        <v>0.970873786407767</v>
      </c>
      <c r="AC9">
        <f t="shared" si="19"/>
        <v>-1.7757037596308756E-3</v>
      </c>
      <c r="AD9">
        <f t="shared" si="31"/>
        <v>3.1531238419672264E-6</v>
      </c>
      <c r="AE9">
        <f t="shared" si="8"/>
        <v>0.15961752569953588</v>
      </c>
      <c r="AF9">
        <f t="shared" si="9"/>
        <v>5.2598452171579803E-2</v>
      </c>
      <c r="AG9">
        <f t="shared" si="10"/>
        <v>4.3913152503704374E-2</v>
      </c>
      <c r="AH9">
        <f t="shared" si="20"/>
        <v>0.25612913037482005</v>
      </c>
      <c r="AI9">
        <f t="shared" si="21"/>
        <v>0.25720738183561537</v>
      </c>
      <c r="AJ9">
        <f t="shared" si="11"/>
        <v>0.16398318198060025</v>
      </c>
      <c r="AK9">
        <f t="shared" si="22"/>
        <v>0.64115793186314984</v>
      </c>
      <c r="AL9">
        <f t="shared" si="23"/>
        <v>0.49484934405929409</v>
      </c>
      <c r="AM9">
        <f t="shared" si="32"/>
        <v>-9.4920759893712958E-4</v>
      </c>
      <c r="AN9">
        <f t="shared" si="33"/>
        <v>-4.2344474155076028E-4</v>
      </c>
      <c r="AO9">
        <f t="shared" si="34"/>
        <v>-4.215153284370084E-4</v>
      </c>
      <c r="AP9">
        <f t="shared" si="35"/>
        <v>-5.2812988573180952E-4</v>
      </c>
      <c r="AQ9">
        <v>0.03</v>
      </c>
      <c r="AR9">
        <f t="shared" si="24"/>
        <v>8.696556662274979E-3</v>
      </c>
      <c r="AS9">
        <f t="shared" si="25"/>
        <v>3.8780607806730025E-2</v>
      </c>
    </row>
    <row r="10" spans="1:45" ht="14.65" thickBot="1" x14ac:dyDescent="0.5">
      <c r="F10" s="7">
        <f t="shared" si="26"/>
        <v>9</v>
      </c>
      <c r="G10">
        <f t="shared" si="12"/>
        <v>1.550088377961665</v>
      </c>
      <c r="H10">
        <v>0.97284596218544261</v>
      </c>
      <c r="I10">
        <f t="shared" si="13"/>
        <v>3.6655130195830732</v>
      </c>
      <c r="J10">
        <f t="shared" si="27"/>
        <v>4.7630216051845913E-2</v>
      </c>
      <c r="K10">
        <f t="shared" si="28"/>
        <v>0.13700955866580905</v>
      </c>
      <c r="L10">
        <f t="shared" si="29"/>
        <v>1.3559905178940941</v>
      </c>
      <c r="M10">
        <f t="shared" si="0"/>
        <v>1.3552006794021176</v>
      </c>
      <c r="N10">
        <f t="shared" si="1"/>
        <v>7.9840677634587215E-2</v>
      </c>
      <c r="O10">
        <f t="shared" si="2"/>
        <v>1.2599954267082859E-4</v>
      </c>
      <c r="P10">
        <f t="shared" si="3"/>
        <v>0.61425394293688984</v>
      </c>
      <c r="Q10">
        <f t="shared" si="14"/>
        <v>0.33100872659878638</v>
      </c>
      <c r="R10">
        <f t="shared" si="4"/>
        <v>0.99528052966982228</v>
      </c>
      <c r="S10">
        <f t="shared" si="5"/>
        <v>1.9276681666697664</v>
      </c>
      <c r="T10">
        <f t="shared" si="6"/>
        <v>1.0144242523404453E-3</v>
      </c>
      <c r="U10">
        <f t="shared" si="15"/>
        <v>-2.5019886465409424E-3</v>
      </c>
      <c r="V10">
        <f t="shared" si="30"/>
        <v>6.259947187419777E-6</v>
      </c>
      <c r="W10">
        <f t="shared" ca="1" si="16"/>
        <v>-0.10201477741383354</v>
      </c>
      <c r="X10">
        <v>0</v>
      </c>
      <c r="Y10">
        <v>1.05</v>
      </c>
      <c r="Z10">
        <v>0.5255775370489848</v>
      </c>
      <c r="AA10">
        <f t="shared" si="17"/>
        <v>3.2910442680159036</v>
      </c>
      <c r="AB10">
        <f t="shared" si="18"/>
        <v>0.970873786407767</v>
      </c>
      <c r="AC10">
        <f t="shared" si="19"/>
        <v>-1.7321099766176573E-3</v>
      </c>
      <c r="AD10">
        <f t="shared" si="31"/>
        <v>3.0002049710984214E-6</v>
      </c>
      <c r="AE10">
        <f t="shared" si="8"/>
        <v>0.15951874628859411</v>
      </c>
      <c r="AF10">
        <f t="shared" si="9"/>
        <v>5.2557753704898486E-2</v>
      </c>
      <c r="AG10">
        <f t="shared" si="10"/>
        <v>4.389855650428718E-2</v>
      </c>
      <c r="AH10">
        <f t="shared" si="20"/>
        <v>0.2559750564977798</v>
      </c>
      <c r="AI10">
        <f t="shared" si="21"/>
        <v>0.25718885165240579</v>
      </c>
      <c r="AJ10">
        <f t="shared" si="11"/>
        <v>0.16415642891629234</v>
      </c>
      <c r="AK10">
        <f t="shared" si="22"/>
        <v>0.64110064060637617</v>
      </c>
      <c r="AL10">
        <f t="shared" si="23"/>
        <v>0.49463233003210438</v>
      </c>
      <c r="AM10">
        <f t="shared" si="32"/>
        <v>-9.8295903565215337E-4</v>
      </c>
      <c r="AN10">
        <f t="shared" si="33"/>
        <v>-4.3864183915998112E-4</v>
      </c>
      <c r="AO10">
        <f t="shared" si="34"/>
        <v>-5.2968231361606027E-4</v>
      </c>
      <c r="AP10">
        <f t="shared" si="35"/>
        <v>-6.0172865459295899E-4</v>
      </c>
      <c r="AQ10">
        <v>0.03</v>
      </c>
      <c r="AR10">
        <f t="shared" si="24"/>
        <v>9.2522905094700181E-3</v>
      </c>
      <c r="AS10">
        <f t="shared" si="25"/>
        <v>4.9196316550401943E-2</v>
      </c>
    </row>
    <row r="11" spans="1:45" ht="14.65" thickBot="1" x14ac:dyDescent="0.5">
      <c r="A11" s="4" t="s">
        <v>18</v>
      </c>
      <c r="B11" s="14" t="s">
        <v>19</v>
      </c>
      <c r="C11" s="15"/>
      <c r="F11" s="7">
        <f t="shared" si="26"/>
        <v>10</v>
      </c>
      <c r="G11">
        <f t="shared" si="12"/>
        <v>1.550088377961665</v>
      </c>
      <c r="H11">
        <v>0.97195705013782774</v>
      </c>
      <c r="I11">
        <f t="shared" si="13"/>
        <v>3.6559020574655592</v>
      </c>
      <c r="J11">
        <f t="shared" si="27"/>
        <v>4.7604993849276571E-2</v>
      </c>
      <c r="K11">
        <f t="shared" si="28"/>
        <v>0.13634134100059217</v>
      </c>
      <c r="L11">
        <f t="shared" si="29"/>
        <v>1.3559905178940941</v>
      </c>
      <c r="M11">
        <f t="shared" si="0"/>
        <v>1.3550581869189182</v>
      </c>
      <c r="N11">
        <f t="shared" si="1"/>
        <v>8.0016535115514861E-2</v>
      </c>
      <c r="O11">
        <f t="shared" si="2"/>
        <v>1.3390116011862912E-4</v>
      </c>
      <c r="P11">
        <f t="shared" si="3"/>
        <v>0.6138316037169127</v>
      </c>
      <c r="Q11">
        <f t="shared" si="14"/>
        <v>0.33110227555459698</v>
      </c>
      <c r="R11">
        <f t="shared" si="4"/>
        <v>0.99465840150972018</v>
      </c>
      <c r="S11">
        <f t="shared" si="5"/>
        <v>1.9257440874664649</v>
      </c>
      <c r="T11">
        <f t="shared" si="6"/>
        <v>1.0459786118407178E-3</v>
      </c>
      <c r="U11">
        <f t="shared" si="15"/>
        <v>-1.9266958081012309E-3</v>
      </c>
      <c r="V11">
        <f t="shared" si="30"/>
        <v>3.7121567369548551E-6</v>
      </c>
      <c r="W11">
        <f t="shared" ca="1" si="16"/>
        <v>-4.0108030337023697E-2</v>
      </c>
      <c r="X11">
        <v>0</v>
      </c>
      <c r="Y11">
        <v>1.05</v>
      </c>
      <c r="Z11">
        <v>0.52520512418404341</v>
      </c>
      <c r="AA11">
        <f t="shared" si="17"/>
        <v>3.295713155284536</v>
      </c>
      <c r="AB11">
        <f t="shared" si="18"/>
        <v>0.970873786407767</v>
      </c>
      <c r="AC11">
        <f t="shared" si="19"/>
        <v>-1.6855841512724012E-3</v>
      </c>
      <c r="AD11">
        <f t="shared" si="31"/>
        <v>2.8411939310207012E-6</v>
      </c>
      <c r="AE11">
        <f t="shared" si="8"/>
        <v>0.15940456237398934</v>
      </c>
      <c r="AF11">
        <f t="shared" si="9"/>
        <v>5.2520512418404344E-2</v>
      </c>
      <c r="AG11">
        <f t="shared" si="10"/>
        <v>4.3879892304011389E-2</v>
      </c>
      <c r="AH11">
        <f t="shared" si="20"/>
        <v>0.2558049670964051</v>
      </c>
      <c r="AI11">
        <f t="shared" si="21"/>
        <v>0.25717871251892832</v>
      </c>
      <c r="AJ11">
        <f t="shared" si="11"/>
        <v>0.16440120395059454</v>
      </c>
      <c r="AK11">
        <f t="shared" si="22"/>
        <v>0.64104244083010076</v>
      </c>
      <c r="AL11">
        <f t="shared" si="23"/>
        <v>0.49440676417932955</v>
      </c>
      <c r="AM11">
        <f t="shared" si="32"/>
        <v>-9.9863665567534454E-4</v>
      </c>
      <c r="AN11">
        <f t="shared" si="33"/>
        <v>-4.5613132586141969E-4</v>
      </c>
      <c r="AO11">
        <f t="shared" si="34"/>
        <v>-6.2527364093794939E-4</v>
      </c>
      <c r="AP11">
        <f t="shared" si="35"/>
        <v>-6.6469733008567289E-4</v>
      </c>
      <c r="AQ11">
        <v>0.03</v>
      </c>
      <c r="AR11">
        <f t="shared" si="24"/>
        <v>9.5416679779957159E-3</v>
      </c>
      <c r="AS11">
        <f t="shared" si="25"/>
        <v>6.0213874024909721E-2</v>
      </c>
    </row>
    <row r="12" spans="1:45" ht="14.65" thickBot="1" x14ac:dyDescent="0.5">
      <c r="A12" s="16"/>
      <c r="B12" s="17"/>
      <c r="C12" s="18"/>
      <c r="F12" s="7">
        <f t="shared" si="26"/>
        <v>11</v>
      </c>
      <c r="G12">
        <f t="shared" si="12"/>
        <v>1.550088377961665</v>
      </c>
      <c r="H12">
        <v>0.97141466105334129</v>
      </c>
      <c r="I12">
        <f t="shared" si="13"/>
        <v>3.6460073161675286</v>
      </c>
      <c r="J12">
        <f t="shared" si="27"/>
        <v>4.7575237005500086E-2</v>
      </c>
      <c r="K12">
        <f t="shared" si="28"/>
        <v>0.13578556235177835</v>
      </c>
      <c r="L12">
        <f t="shared" si="29"/>
        <v>1.3559905178940941</v>
      </c>
      <c r="M12">
        <f t="shared" si="0"/>
        <v>1.3549417309424188</v>
      </c>
      <c r="N12">
        <f t="shared" si="1"/>
        <v>8.0193362915316049E-2</v>
      </c>
      <c r="O12">
        <f t="shared" si="2"/>
        <v>1.3864152281776836E-4</v>
      </c>
      <c r="P12">
        <f t="shared" si="3"/>
        <v>0.61335683743498881</v>
      </c>
      <c r="Q12">
        <f t="shared" si="14"/>
        <v>0.3311716524518194</v>
      </c>
      <c r="R12">
        <f t="shared" si="4"/>
        <v>0.99395899903378382</v>
      </c>
      <c r="S12">
        <f t="shared" si="5"/>
        <v>1.9238112092064585</v>
      </c>
      <c r="T12">
        <f t="shared" si="6"/>
        <v>1.0650693370613409E-3</v>
      </c>
      <c r="U12">
        <f t="shared" si="15"/>
        <v>-1.4159202813567306E-3</v>
      </c>
      <c r="V12">
        <f t="shared" si="30"/>
        <v>2.0048302431573232E-6</v>
      </c>
      <c r="W12">
        <f t="shared" ca="1" si="16"/>
        <v>-3.8853390587361626E-2</v>
      </c>
      <c r="X12">
        <v>0</v>
      </c>
      <c r="Y12">
        <v>1.05</v>
      </c>
      <c r="Z12">
        <v>0.52486759178110409</v>
      </c>
      <c r="AA12">
        <f t="shared" si="17"/>
        <v>3.2999533396015597</v>
      </c>
      <c r="AB12">
        <f t="shared" si="18"/>
        <v>0.970873786407767</v>
      </c>
      <c r="AC12">
        <f t="shared" si="19"/>
        <v>-1.6409141012028172E-3</v>
      </c>
      <c r="AD12">
        <f t="shared" si="31"/>
        <v>2.6925990875262493E-6</v>
      </c>
      <c r="AE12">
        <f t="shared" si="8"/>
        <v>0.15927793428955891</v>
      </c>
      <c r="AF12">
        <f t="shared" si="9"/>
        <v>5.2486759178110409E-2</v>
      </c>
      <c r="AG12">
        <f t="shared" si="10"/>
        <v>4.3857838184598014E-2</v>
      </c>
      <c r="AH12">
        <f t="shared" si="20"/>
        <v>0.25562253165226734</v>
      </c>
      <c r="AI12">
        <f t="shared" si="21"/>
        <v>0.25717613291972313</v>
      </c>
      <c r="AJ12">
        <f t="shared" si="11"/>
        <v>0.16470466661221278</v>
      </c>
      <c r="AK12">
        <f t="shared" si="22"/>
        <v>0.64098392164824169</v>
      </c>
      <c r="AL12">
        <f t="shared" si="23"/>
        <v>0.49417460445289324</v>
      </c>
      <c r="AM12">
        <f t="shared" si="32"/>
        <v>-1.0042086804721295E-3</v>
      </c>
      <c r="AN12">
        <f t="shared" si="33"/>
        <v>-4.6968259380697486E-4</v>
      </c>
      <c r="AO12">
        <f t="shared" si="34"/>
        <v>-7.0340579800088569E-4</v>
      </c>
      <c r="AP12">
        <f t="shared" si="35"/>
        <v>-7.134362243810255E-4</v>
      </c>
      <c r="AQ12">
        <v>0.03</v>
      </c>
      <c r="AR12">
        <f t="shared" si="24"/>
        <v>9.5990037851336196E-3</v>
      </c>
      <c r="AS12">
        <f t="shared" si="25"/>
        <v>7.1619294030790634E-2</v>
      </c>
    </row>
    <row r="13" spans="1:45" ht="14.65" thickBot="1" x14ac:dyDescent="0.5">
      <c r="A13" s="16" t="s">
        <v>20</v>
      </c>
      <c r="B13" s="17">
        <v>0.04</v>
      </c>
      <c r="C13" s="18"/>
      <c r="F13" s="7">
        <f t="shared" si="26"/>
        <v>12</v>
      </c>
      <c r="G13">
        <f t="shared" si="12"/>
        <v>1.550088377961665</v>
      </c>
      <c r="H13">
        <v>0.97118104228212099</v>
      </c>
      <c r="I13">
        <f t="shared" si="13"/>
        <v>3.6359525858726056</v>
      </c>
      <c r="J13">
        <f t="shared" si="27"/>
        <v>4.7541784074821201E-2</v>
      </c>
      <c r="K13">
        <f t="shared" si="28"/>
        <v>0.13533287957833018</v>
      </c>
      <c r="L13">
        <f t="shared" si="29"/>
        <v>1.3559905178940941</v>
      </c>
      <c r="M13">
        <f t="shared" si="0"/>
        <v>1.3548457353949463</v>
      </c>
      <c r="N13">
        <f t="shared" si="1"/>
        <v>8.0369428308167234E-2</v>
      </c>
      <c r="O13">
        <f t="shared" si="2"/>
        <v>1.404247535958536E-4</v>
      </c>
      <c r="P13">
        <f t="shared" si="3"/>
        <v>0.61283901657712703</v>
      </c>
      <c r="Q13">
        <f t="shared" si="14"/>
        <v>0.33121827477454557</v>
      </c>
      <c r="R13">
        <f t="shared" si="4"/>
        <v>0.99319611454553869</v>
      </c>
      <c r="S13">
        <f t="shared" si="5"/>
        <v>1.9218894274170555</v>
      </c>
      <c r="T13">
        <f t="shared" si="6"/>
        <v>1.0730791166511859E-3</v>
      </c>
      <c r="U13">
        <f t="shared" si="15"/>
        <v>-9.5375276583919977E-4</v>
      </c>
      <c r="V13">
        <f t="shared" si="30"/>
        <v>9.0964433834592344E-7</v>
      </c>
      <c r="W13">
        <f t="shared" ca="1" si="16"/>
        <v>2.7525727369236919E-2</v>
      </c>
      <c r="X13">
        <v>0</v>
      </c>
      <c r="Y13">
        <v>1.05</v>
      </c>
      <c r="Z13">
        <v>0.5245643468227229</v>
      </c>
      <c r="AA13">
        <f t="shared" si="17"/>
        <v>3.3037697768582079</v>
      </c>
      <c r="AB13">
        <f t="shared" si="18"/>
        <v>0.970873786407767</v>
      </c>
      <c r="AC13">
        <f t="shared" si="19"/>
        <v>-1.5914359339954665E-3</v>
      </c>
      <c r="AD13">
        <f t="shared" si="31"/>
        <v>2.5326683320120226E-6</v>
      </c>
      <c r="AE13">
        <f t="shared" si="8"/>
        <v>0.15914122511412909</v>
      </c>
      <c r="AF13">
        <f t="shared" si="9"/>
        <v>5.245643468227229E-2</v>
      </c>
      <c r="AG13">
        <f t="shared" si="10"/>
        <v>4.3832914602327543E-2</v>
      </c>
      <c r="AH13">
        <f t="shared" si="20"/>
        <v>0.2554305743987289</v>
      </c>
      <c r="AI13">
        <f t="shared" si="21"/>
        <v>0.25718040038407464</v>
      </c>
      <c r="AJ13">
        <f t="shared" si="11"/>
        <v>0.16505695737252538</v>
      </c>
      <c r="AK13">
        <f t="shared" si="22"/>
        <v>0.64092568540483297</v>
      </c>
      <c r="AL13">
        <f t="shared" si="23"/>
        <v>0.49393761017791016</v>
      </c>
      <c r="AM13">
        <f t="shared" si="32"/>
        <v>-9.9944438268129154E-4</v>
      </c>
      <c r="AN13">
        <f t="shared" si="33"/>
        <v>-4.7969102297973354E-4</v>
      </c>
      <c r="AO13">
        <f t="shared" si="34"/>
        <v>-7.6781577896081928E-4</v>
      </c>
      <c r="AP13">
        <f t="shared" si="35"/>
        <v>-7.5122236923319541E-4</v>
      </c>
      <c r="AQ13">
        <v>0.03</v>
      </c>
      <c r="AR13">
        <f t="shared" si="24"/>
        <v>9.4499803465686455E-3</v>
      </c>
      <c r="AS13">
        <f t="shared" si="25"/>
        <v>8.3217853198282996E-2</v>
      </c>
    </row>
    <row r="14" spans="1:45" ht="14.65" thickBot="1" x14ac:dyDescent="0.5">
      <c r="A14" s="19" t="s">
        <v>21</v>
      </c>
      <c r="B14" s="20">
        <v>10</v>
      </c>
      <c r="C14" s="21"/>
      <c r="F14" s="7">
        <f t="shared" si="26"/>
        <v>13</v>
      </c>
      <c r="G14">
        <f t="shared" si="12"/>
        <v>1.550088377961665</v>
      </c>
      <c r="H14">
        <v>0.97120401957615399</v>
      </c>
      <c r="I14">
        <f t="shared" si="13"/>
        <v>3.6258473620160316</v>
      </c>
      <c r="J14">
        <f t="shared" si="27"/>
        <v>4.7505294753179717E-2</v>
      </c>
      <c r="K14">
        <f t="shared" si="28"/>
        <v>0.13496802148642226</v>
      </c>
      <c r="L14">
        <f t="shared" si="29"/>
        <v>1.3559905178940941</v>
      </c>
      <c r="M14">
        <f t="shared" si="0"/>
        <v>1.3547700365563455</v>
      </c>
      <c r="N14">
        <f t="shared" si="1"/>
        <v>8.0543291250568749E-2</v>
      </c>
      <c r="O14">
        <f t="shared" si="2"/>
        <v>1.3972154508927131E-4</v>
      </c>
      <c r="P14">
        <f t="shared" si="3"/>
        <v>0.61228742084477761</v>
      </c>
      <c r="Q14">
        <f t="shared" si="14"/>
        <v>0.33124417703367975</v>
      </c>
      <c r="R14">
        <f t="shared" si="4"/>
        <v>0.99238340644129264</v>
      </c>
      <c r="S14">
        <f t="shared" si="5"/>
        <v>1.9199944346743303</v>
      </c>
      <c r="T14">
        <f t="shared" si="6"/>
        <v>1.0719225782403882E-3</v>
      </c>
      <c r="U14">
        <f t="shared" si="15"/>
        <v>-5.5411628420742876E-4</v>
      </c>
      <c r="V14">
        <f t="shared" si="30"/>
        <v>3.0704485642384794E-7</v>
      </c>
      <c r="W14">
        <f t="shared" ca="1" si="16"/>
        <v>-4.569184619486602E-2</v>
      </c>
      <c r="X14">
        <v>0</v>
      </c>
      <c r="Y14">
        <v>1.05</v>
      </c>
      <c r="Z14">
        <v>0.52429514227268526</v>
      </c>
      <c r="AA14">
        <f t="shared" si="17"/>
        <v>3.3071633547020922</v>
      </c>
      <c r="AB14">
        <f t="shared" si="18"/>
        <v>0.970873786407767</v>
      </c>
      <c r="AC14">
        <f t="shared" si="19"/>
        <v>-1.5453413132178184E-3</v>
      </c>
      <c r="AD14">
        <f t="shared" si="31"/>
        <v>2.3880797743377715E-6</v>
      </c>
      <c r="AE14">
        <f t="shared" si="8"/>
        <v>0.15899674410573594</v>
      </c>
      <c r="AF14">
        <f t="shared" si="9"/>
        <v>5.2429514227268527E-2</v>
      </c>
      <c r="AG14">
        <f t="shared" si="10"/>
        <v>4.3805652016344544E-2</v>
      </c>
      <c r="AH14">
        <f t="shared" si="20"/>
        <v>0.255231910349349</v>
      </c>
      <c r="AI14">
        <f t="shared" si="21"/>
        <v>0.25719082835596363</v>
      </c>
      <c r="AJ14">
        <f t="shared" si="11"/>
        <v>0.16544640564697061</v>
      </c>
      <c r="AK14">
        <f t="shared" si="22"/>
        <v>0.64086820909632713</v>
      </c>
      <c r="AL14">
        <f t="shared" si="23"/>
        <v>0.4936962958506243</v>
      </c>
      <c r="AM14">
        <f t="shared" si="32"/>
        <v>-9.8649150491081361E-4</v>
      </c>
      <c r="AN14">
        <f t="shared" si="33"/>
        <v>-4.8867162339205628E-4</v>
      </c>
      <c r="AO14">
        <f t="shared" si="34"/>
        <v>-8.1861052759718382E-4</v>
      </c>
      <c r="AP14">
        <f t="shared" si="35"/>
        <v>-7.7806404557101416E-4</v>
      </c>
      <c r="AQ14">
        <v>0.03</v>
      </c>
      <c r="AR14">
        <f t="shared" si="24"/>
        <v>9.1257043323419162E-3</v>
      </c>
      <c r="AS14">
        <f t="shared" si="25"/>
        <v>9.4840093126573405E-2</v>
      </c>
    </row>
    <row r="15" spans="1:45" ht="14.65" thickBot="1" x14ac:dyDescent="0.5">
      <c r="F15" s="7">
        <f t="shared" si="26"/>
        <v>14</v>
      </c>
      <c r="G15">
        <f t="shared" si="12"/>
        <v>1.550088377961665</v>
      </c>
      <c r="H15">
        <v>0.9714527236183581</v>
      </c>
      <c r="I15">
        <f t="shared" si="13"/>
        <v>3.6157814890218125</v>
      </c>
      <c r="J15">
        <f t="shared" si="27"/>
        <v>4.7466422331635699E-2</v>
      </c>
      <c r="K15">
        <f t="shared" si="28"/>
        <v>0.13468308780452939</v>
      </c>
      <c r="L15">
        <f t="shared" si="29"/>
        <v>1.3559905178940941</v>
      </c>
      <c r="M15">
        <f t="shared" si="0"/>
        <v>1.3547107490056975</v>
      </c>
      <c r="N15">
        <f t="shared" si="1"/>
        <v>8.0713721309320779E-2</v>
      </c>
      <c r="O15">
        <f t="shared" si="2"/>
        <v>1.3685301724424204E-4</v>
      </c>
      <c r="P15">
        <f t="shared" si="3"/>
        <v>0.61170955073314104</v>
      </c>
      <c r="Q15">
        <f t="shared" si="14"/>
        <v>0.33125082928111887</v>
      </c>
      <c r="R15">
        <f t="shared" si="4"/>
        <v>0.9915319148938001</v>
      </c>
      <c r="S15">
        <f t="shared" si="5"/>
        <v>1.9181399916881605</v>
      </c>
      <c r="T15">
        <f t="shared" si="6"/>
        <v>1.062679173771781E-3</v>
      </c>
      <c r="U15">
        <f t="shared" si="15"/>
        <v>-1.956714084115907E-4</v>
      </c>
      <c r="V15">
        <f t="shared" si="30"/>
        <v>3.8287300069775524E-8</v>
      </c>
      <c r="W15">
        <f t="shared" ca="1" si="16"/>
        <v>-2.5252561053721079E-2</v>
      </c>
      <c r="X15">
        <v>0</v>
      </c>
      <c r="Y15">
        <v>1.05</v>
      </c>
      <c r="Z15">
        <v>0.52405891138525673</v>
      </c>
      <c r="AA15">
        <f t="shared" si="17"/>
        <v>3.3101455775048101</v>
      </c>
      <c r="AB15">
        <f t="shared" si="18"/>
        <v>0.970873786407767</v>
      </c>
      <c r="AC15">
        <f t="shared" si="19"/>
        <v>-1.495590726149576E-3</v>
      </c>
      <c r="AD15">
        <f t="shared" si="31"/>
        <v>2.2367916201446161E-6</v>
      </c>
      <c r="AE15">
        <f t="shared" si="8"/>
        <v>0.15884636573099542</v>
      </c>
      <c r="AF15">
        <f t="shared" si="9"/>
        <v>5.2405891138525673E-2</v>
      </c>
      <c r="AG15">
        <f t="shared" si="10"/>
        <v>4.377647691304612E-2</v>
      </c>
      <c r="AH15">
        <f t="shared" si="20"/>
        <v>0.25502873378256719</v>
      </c>
      <c r="AI15">
        <f t="shared" si="21"/>
        <v>0.25720678270843406</v>
      </c>
      <c r="AJ15">
        <f t="shared" si="11"/>
        <v>0.16586539585932619</v>
      </c>
      <c r="AK15">
        <f t="shared" si="22"/>
        <v>0.64081191273811478</v>
      </c>
      <c r="AL15">
        <f t="shared" si="23"/>
        <v>0.49345221402875999</v>
      </c>
      <c r="AM15">
        <f t="shared" si="32"/>
        <v>-9.6632526351170256E-4</v>
      </c>
      <c r="AN15">
        <f t="shared" si="33"/>
        <v>-4.9451895919550015E-4</v>
      </c>
      <c r="AO15">
        <f t="shared" si="34"/>
        <v>-8.583951044887194E-4</v>
      </c>
      <c r="AP15">
        <f t="shared" si="35"/>
        <v>-7.9636389698545251E-4</v>
      </c>
      <c r="AQ15">
        <v>0.03</v>
      </c>
      <c r="AR15">
        <f t="shared" si="24"/>
        <v>8.6476781472632352E-3</v>
      </c>
      <c r="AS15">
        <f t="shared" si="25"/>
        <v>0.10633297406763384</v>
      </c>
    </row>
    <row r="16" spans="1:45" ht="14.65" thickBot="1" x14ac:dyDescent="0.5">
      <c r="A16" s="4" t="s">
        <v>22</v>
      </c>
      <c r="B16" s="14" t="s">
        <v>19</v>
      </c>
      <c r="C16" s="15"/>
      <c r="F16" s="7">
        <f t="shared" si="26"/>
        <v>15</v>
      </c>
      <c r="G16">
        <f t="shared" si="12"/>
        <v>1.550088377961665</v>
      </c>
      <c r="H16">
        <v>0.97189879503085264</v>
      </c>
      <c r="I16">
        <f t="shared" si="13"/>
        <v>3.6058333172654691</v>
      </c>
      <c r="J16">
        <f t="shared" si="27"/>
        <v>4.7425694869706408E-2</v>
      </c>
      <c r="K16">
        <f t="shared" si="28"/>
        <v>0.13447047788620742</v>
      </c>
      <c r="L16">
        <f t="shared" si="29"/>
        <v>1.3559905178940941</v>
      </c>
      <c r="M16">
        <f t="shared" si="0"/>
        <v>1.3546673885437188</v>
      </c>
      <c r="N16">
        <f t="shared" si="1"/>
        <v>8.0879708460096761E-2</v>
      </c>
      <c r="O16">
        <f t="shared" si="2"/>
        <v>1.321654740329207E-4</v>
      </c>
      <c r="P16">
        <f t="shared" si="3"/>
        <v>0.6111126653937532</v>
      </c>
      <c r="Q16">
        <f t="shared" si="14"/>
        <v>0.33124006626419383</v>
      </c>
      <c r="R16">
        <f t="shared" si="4"/>
        <v>0.99065232763095157</v>
      </c>
      <c r="S16">
        <f t="shared" si="5"/>
        <v>1.9163368281949205</v>
      </c>
      <c r="T16">
        <f t="shared" si="6"/>
        <v>1.0463535376596133E-3</v>
      </c>
      <c r="U16">
        <f t="shared" si="15"/>
        <v>1.2421024867215191E-4</v>
      </c>
      <c r="V16">
        <f t="shared" si="30"/>
        <v>1.5428185875197815E-8</v>
      </c>
      <c r="W16">
        <f t="shared" ca="1" si="16"/>
        <v>4.5156999733831665E-2</v>
      </c>
      <c r="X16">
        <v>0</v>
      </c>
      <c r="Y16">
        <v>1.05</v>
      </c>
      <c r="Z16">
        <v>0.52385471522044225</v>
      </c>
      <c r="AA16">
        <f t="shared" si="17"/>
        <v>3.3127266395715651</v>
      </c>
      <c r="AB16">
        <f t="shared" si="18"/>
        <v>0.970873786407767</v>
      </c>
      <c r="AC16">
        <f t="shared" si="19"/>
        <v>-1.4464667448441659E-3</v>
      </c>
      <c r="AD16">
        <f t="shared" si="31"/>
        <v>2.0922660439400774E-6</v>
      </c>
      <c r="AE16">
        <f t="shared" si="8"/>
        <v>0.15869188448895011</v>
      </c>
      <c r="AF16">
        <f t="shared" si="9"/>
        <v>5.238547152204423E-2</v>
      </c>
      <c r="AG16">
        <f t="shared" si="10"/>
        <v>4.3745812118420213E-2</v>
      </c>
      <c r="AH16">
        <f t="shared" si="20"/>
        <v>0.25482316812941452</v>
      </c>
      <c r="AI16">
        <f t="shared" si="21"/>
        <v>0.25722764790630359</v>
      </c>
      <c r="AJ16">
        <f t="shared" si="11"/>
        <v>0.16630720197706703</v>
      </c>
      <c r="AK16">
        <f t="shared" si="22"/>
        <v>0.64075712563436371</v>
      </c>
      <c r="AL16">
        <f t="shared" si="23"/>
        <v>0.49320723239083869</v>
      </c>
      <c r="AM16">
        <f t="shared" si="32"/>
        <v>-9.4050047026206229E-4</v>
      </c>
      <c r="AN16">
        <f t="shared" si="33"/>
        <v>-4.9658804533758705E-4</v>
      </c>
      <c r="AO16">
        <f t="shared" si="34"/>
        <v>-8.8749300061193373E-4</v>
      </c>
      <c r="AP16">
        <f t="shared" si="35"/>
        <v>-8.0637402163530325E-4</v>
      </c>
      <c r="AQ16">
        <v>0.03</v>
      </c>
      <c r="AR16">
        <f t="shared" si="24"/>
        <v>8.0365616448930255E-3</v>
      </c>
      <c r="AS16">
        <f t="shared" si="25"/>
        <v>0.11755952493455589</v>
      </c>
    </row>
    <row r="17" spans="1:45" ht="14.65" thickBot="1" x14ac:dyDescent="0.5">
      <c r="A17" s="10" t="s">
        <v>23</v>
      </c>
      <c r="B17" s="11">
        <v>0.03</v>
      </c>
      <c r="C17" s="13"/>
      <c r="F17" s="7">
        <f t="shared" si="26"/>
        <v>16</v>
      </c>
      <c r="G17">
        <f t="shared" si="12"/>
        <v>1.550088377961665</v>
      </c>
      <c r="H17">
        <v>0.97251096386675373</v>
      </c>
      <c r="I17">
        <f t="shared" si="13"/>
        <v>3.5960704624610575</v>
      </c>
      <c r="J17">
        <f t="shared" si="27"/>
        <v>4.7383623569214169E-2</v>
      </c>
      <c r="K17">
        <f t="shared" si="28"/>
        <v>0.1343212444557414</v>
      </c>
      <c r="L17">
        <f t="shared" si="29"/>
        <v>1.3559905178940941</v>
      </c>
      <c r="M17">
        <f t="shared" si="0"/>
        <v>1.3546377620822865</v>
      </c>
      <c r="N17">
        <f t="shared" si="1"/>
        <v>8.1040348918393193E-2</v>
      </c>
      <c r="O17">
        <f t="shared" si="2"/>
        <v>1.2605477728680264E-4</v>
      </c>
      <c r="P17">
        <f t="shared" si="3"/>
        <v>0.61050301053343425</v>
      </c>
      <c r="Q17">
        <f t="shared" si="14"/>
        <v>0.33121339231962138</v>
      </c>
      <c r="R17">
        <f t="shared" si="4"/>
        <v>0.98975384220856011</v>
      </c>
      <c r="S17">
        <f t="shared" si="5"/>
        <v>1.9145946574300747</v>
      </c>
      <c r="T17">
        <f t="shared" si="6"/>
        <v>1.0240552509288984E-3</v>
      </c>
      <c r="U17">
        <f t="shared" si="15"/>
        <v>4.0292015535026149E-4</v>
      </c>
      <c r="V17">
        <f t="shared" si="30"/>
        <v>1.6234465158747886E-7</v>
      </c>
      <c r="W17">
        <f t="shared" ca="1" si="16"/>
        <v>3.8965513522760085E-2</v>
      </c>
      <c r="X17">
        <v>0</v>
      </c>
      <c r="Y17">
        <v>1.05</v>
      </c>
      <c r="Z17">
        <v>0.52368140490951443</v>
      </c>
      <c r="AA17">
        <f t="shared" si="17"/>
        <v>3.3149196702254144</v>
      </c>
      <c r="AB17">
        <f t="shared" si="18"/>
        <v>0.970873786407767</v>
      </c>
      <c r="AC17">
        <f t="shared" si="19"/>
        <v>-1.3977142111931684E-3</v>
      </c>
      <c r="AD17">
        <f t="shared" si="31"/>
        <v>1.953605016171341E-6</v>
      </c>
      <c r="AE17">
        <f t="shared" si="8"/>
        <v>0.15853484785110961</v>
      </c>
      <c r="AF17">
        <f t="shared" si="9"/>
        <v>5.2368140490951447E-2</v>
      </c>
      <c r="AG17">
        <f t="shared" si="10"/>
        <v>4.3714020751945755E-2</v>
      </c>
      <c r="AH17">
        <f t="shared" si="20"/>
        <v>0.25461700909400681</v>
      </c>
      <c r="AI17">
        <f t="shared" si="21"/>
        <v>0.25725286251564167</v>
      </c>
      <c r="AJ17">
        <f t="shared" si="11"/>
        <v>0.16676480017972375</v>
      </c>
      <c r="AK17">
        <f t="shared" si="22"/>
        <v>0.64070414719422031</v>
      </c>
      <c r="AL17">
        <f t="shared" si="23"/>
        <v>0.49296222328405603</v>
      </c>
      <c r="AM17">
        <f t="shared" si="32"/>
        <v>-9.0952860497905963E-4</v>
      </c>
      <c r="AN17">
        <f t="shared" si="33"/>
        <v>-4.9689048958845294E-4</v>
      </c>
      <c r="AO17">
        <f t="shared" si="34"/>
        <v>-9.0737495946102004E-4</v>
      </c>
      <c r="AP17">
        <f t="shared" si="35"/>
        <v>-8.0935527223280346E-4</v>
      </c>
      <c r="AQ17">
        <v>0.03</v>
      </c>
      <c r="AR17">
        <f t="shared" si="24"/>
        <v>7.3128573563543547E-3</v>
      </c>
      <c r="AS17">
        <f t="shared" si="25"/>
        <v>0.12839916803894691</v>
      </c>
    </row>
    <row r="18" spans="1:45" ht="14.65" thickBot="1" x14ac:dyDescent="0.5">
      <c r="A18" s="3" t="s">
        <v>24</v>
      </c>
      <c r="B18" s="3">
        <f>1/(1+Interest)</f>
        <v>0.970873786407767</v>
      </c>
      <c r="D18" s="22"/>
      <c r="F18" s="7">
        <f t="shared" si="26"/>
        <v>17</v>
      </c>
      <c r="G18">
        <f t="shared" si="12"/>
        <v>1.550088377961665</v>
      </c>
      <c r="H18">
        <v>0.97327343761143303</v>
      </c>
      <c r="I18">
        <f t="shared" si="13"/>
        <v>3.5865488884183563</v>
      </c>
      <c r="J18">
        <f t="shared" si="27"/>
        <v>4.7340648355963695E-2</v>
      </c>
      <c r="K18">
        <f t="shared" si="28"/>
        <v>0.13423175834157747</v>
      </c>
      <c r="L18">
        <f t="shared" si="29"/>
        <v>1.3559905178940941</v>
      </c>
      <c r="M18">
        <f t="shared" si="0"/>
        <v>1.3546205450489048</v>
      </c>
      <c r="N18">
        <f t="shared" si="1"/>
        <v>8.1194925787655192E-2</v>
      </c>
      <c r="O18">
        <f t="shared" si="2"/>
        <v>1.1877231136677897E-4</v>
      </c>
      <c r="P18">
        <f t="shared" si="3"/>
        <v>0.60988621230711937</v>
      </c>
      <c r="Q18">
        <f t="shared" si="14"/>
        <v>0.33117236647481807</v>
      </c>
      <c r="R18">
        <f t="shared" si="4"/>
        <v>0.98884474616318607</v>
      </c>
      <c r="S18">
        <f t="shared" si="5"/>
        <v>1.9129209577439412</v>
      </c>
      <c r="T18">
        <f t="shared" si="6"/>
        <v>9.9630778162116025E-4</v>
      </c>
      <c r="U18">
        <f t="shared" si="15"/>
        <v>6.5590918651003971E-4</v>
      </c>
      <c r="V18">
        <f t="shared" si="30"/>
        <v>4.3021686094826206E-7</v>
      </c>
      <c r="W18">
        <f t="shared" ca="1" si="16"/>
        <v>-3.8810060511936161E-2</v>
      </c>
      <c r="X18">
        <v>0</v>
      </c>
      <c r="Y18">
        <v>1.05</v>
      </c>
      <c r="Z18">
        <v>0.52353740305323349</v>
      </c>
      <c r="AA18">
        <f t="shared" si="17"/>
        <v>3.3167434949709205</v>
      </c>
      <c r="AB18">
        <f t="shared" si="18"/>
        <v>0.970873786407767</v>
      </c>
      <c r="AC18">
        <f t="shared" si="19"/>
        <v>-1.3458005037563225E-3</v>
      </c>
      <c r="AD18">
        <f t="shared" si="31"/>
        <v>1.8111789959107716E-6</v>
      </c>
      <c r="AE18">
        <f t="shared" si="8"/>
        <v>0.15837664011383412</v>
      </c>
      <c r="AF18">
        <f t="shared" si="9"/>
        <v>5.2353740305323353E-2</v>
      </c>
      <c r="AG18">
        <f t="shared" si="10"/>
        <v>4.3681435624338849E-2</v>
      </c>
      <c r="AH18">
        <f t="shared" si="20"/>
        <v>0.25441181604349633</v>
      </c>
      <c r="AI18">
        <f t="shared" si="21"/>
        <v>0.25728186050503776</v>
      </c>
      <c r="AJ18">
        <f t="shared" si="11"/>
        <v>0.16723419373073228</v>
      </c>
      <c r="AK18">
        <f t="shared" si="22"/>
        <v>0.64065320963013017</v>
      </c>
      <c r="AL18">
        <f t="shared" si="23"/>
        <v>0.4927193884063904</v>
      </c>
      <c r="AM18">
        <f t="shared" si="32"/>
        <v>-8.7456196712920597E-4</v>
      </c>
      <c r="AN18">
        <f t="shared" si="33"/>
        <v>-4.9272479003048542E-4</v>
      </c>
      <c r="AO18">
        <f t="shared" si="34"/>
        <v>-9.1892930146540881E-4</v>
      </c>
      <c r="AP18">
        <f t="shared" si="35"/>
        <v>-8.062139175295524E-4</v>
      </c>
      <c r="AQ18">
        <v>0.03</v>
      </c>
      <c r="AR18">
        <f t="shared" si="24"/>
        <v>6.491087143140381E-3</v>
      </c>
      <c r="AS18">
        <f t="shared" si="25"/>
        <v>0.13874223022325571</v>
      </c>
    </row>
    <row r="19" spans="1:45" ht="14.65" thickBot="1" x14ac:dyDescent="0.5">
      <c r="A19" s="4" t="s">
        <v>25</v>
      </c>
      <c r="B19" s="6" t="s">
        <v>26</v>
      </c>
      <c r="C19" s="23"/>
      <c r="D19" s="22" t="e">
        <f>_PK1</f>
        <v>#NAME?</v>
      </c>
      <c r="F19" s="7">
        <f t="shared" si="26"/>
        <v>18</v>
      </c>
      <c r="G19">
        <f t="shared" si="12"/>
        <v>1.550088377961665</v>
      </c>
      <c r="H19">
        <v>0.97414836458851817</v>
      </c>
      <c r="I19">
        <f t="shared" si="13"/>
        <v>3.5773186912231991</v>
      </c>
      <c r="J19">
        <f t="shared" si="27"/>
        <v>4.7297165628874878E-2</v>
      </c>
      <c r="K19">
        <f t="shared" si="28"/>
        <v>0.13419014011184957</v>
      </c>
      <c r="L19">
        <f t="shared" si="29"/>
        <v>1.3559905178940941</v>
      </c>
      <c r="M19">
        <f t="shared" si="0"/>
        <v>1.3546152476281543</v>
      </c>
      <c r="N19">
        <f t="shared" si="1"/>
        <v>8.1342821417435818E-2</v>
      </c>
      <c r="O19">
        <f t="shared" si="2"/>
        <v>1.107762933642133E-4</v>
      </c>
      <c r="P19">
        <f t="shared" si="3"/>
        <v>0.60926765460902033</v>
      </c>
      <c r="Q19">
        <f t="shared" si="14"/>
        <v>0.33111863372078082</v>
      </c>
      <c r="R19">
        <f t="shared" si="4"/>
        <v>0.98793297289683502</v>
      </c>
      <c r="S19">
        <f t="shared" si="5"/>
        <v>1.9113219591459814</v>
      </c>
      <c r="T19">
        <f t="shared" si="6"/>
        <v>9.6448402260951099E-4</v>
      </c>
      <c r="U19">
        <f t="shared" si="15"/>
        <v>8.6184800719624199E-4</v>
      </c>
      <c r="V19">
        <f t="shared" si="30"/>
        <v>7.4278198750813358E-7</v>
      </c>
      <c r="W19">
        <f t="shared" ca="1" si="16"/>
        <v>-5.315124356942285E-2</v>
      </c>
      <c r="X19">
        <v>0</v>
      </c>
      <c r="Y19">
        <v>1.05</v>
      </c>
      <c r="Z19">
        <v>0.52342158897563162</v>
      </c>
      <c r="AA19">
        <f t="shared" si="17"/>
        <v>3.3182114057070611</v>
      </c>
      <c r="AB19">
        <f t="shared" si="18"/>
        <v>0.970873786407767</v>
      </c>
      <c r="AC19">
        <f t="shared" si="19"/>
        <v>-1.298130302428202E-3</v>
      </c>
      <c r="AD19">
        <f t="shared" si="31"/>
        <v>1.6851422820823352E-6</v>
      </c>
      <c r="AE19">
        <f t="shared" si="8"/>
        <v>0.15821857892823585</v>
      </c>
      <c r="AF19">
        <f t="shared" si="9"/>
        <v>5.2342158897563162E-2</v>
      </c>
      <c r="AG19">
        <f t="shared" si="10"/>
        <v>4.3648379318013589E-2</v>
      </c>
      <c r="AH19">
        <f t="shared" si="20"/>
        <v>0.25420911714381261</v>
      </c>
      <c r="AI19">
        <f t="shared" si="21"/>
        <v>0.25731413377004314</v>
      </c>
      <c r="AJ19">
        <f t="shared" si="11"/>
        <v>0.16770777949131427</v>
      </c>
      <c r="AK19">
        <f t="shared" si="22"/>
        <v>0.64060450766939969</v>
      </c>
      <c r="AL19">
        <f t="shared" si="23"/>
        <v>0.49247853139006115</v>
      </c>
      <c r="AM19">
        <f t="shared" si="32"/>
        <v>-8.3624326481968048E-4</v>
      </c>
      <c r="AN19">
        <f t="shared" si="33"/>
        <v>-4.8895154219885661E-4</v>
      </c>
      <c r="AO19">
        <f t="shared" si="34"/>
        <v>-9.2248442727574549E-4</v>
      </c>
      <c r="AP19">
        <f t="shared" si="35"/>
        <v>-7.9705296101217904E-4</v>
      </c>
      <c r="AQ19">
        <v>0.03</v>
      </c>
      <c r="AR19">
        <f t="shared" si="24"/>
        <v>5.5932004328912571E-3</v>
      </c>
      <c r="AS19">
        <f t="shared" si="25"/>
        <v>0.14849769756284464</v>
      </c>
    </row>
    <row r="20" spans="1:45" ht="14.65" thickBot="1" x14ac:dyDescent="0.5">
      <c r="A20" s="8" t="s">
        <v>27</v>
      </c>
      <c r="B20" s="24">
        <v>1</v>
      </c>
      <c r="C20" s="25"/>
      <c r="D20" s="26" t="e">
        <f>((R_1)/Alpha1)^(1/(Alpha1-1))</f>
        <v>#REF!</v>
      </c>
      <c r="F20" s="7">
        <f t="shared" si="26"/>
        <v>19</v>
      </c>
      <c r="G20">
        <f t="shared" si="12"/>
        <v>1.550088377961665</v>
      </c>
      <c r="H20">
        <v>0.97511110056891082</v>
      </c>
      <c r="I20">
        <f t="shared" si="13"/>
        <v>3.5684160836861207</v>
      </c>
      <c r="J20">
        <f t="shared" si="27"/>
        <v>4.7253554848353564E-2</v>
      </c>
      <c r="K20">
        <f t="shared" si="28"/>
        <v>0.13418919513504698</v>
      </c>
      <c r="L20">
        <f t="shared" si="29"/>
        <v>1.3559905178940941</v>
      </c>
      <c r="M20">
        <f t="shared" si="0"/>
        <v>1.3546190627449666</v>
      </c>
      <c r="N20">
        <f t="shared" si="1"/>
        <v>8.1483583492788378E-2</v>
      </c>
      <c r="O20">
        <f t="shared" si="2"/>
        <v>1.023687670247162E-4</v>
      </c>
      <c r="P20">
        <f t="shared" si="3"/>
        <v>0.60865143845478897</v>
      </c>
      <c r="Q20">
        <f t="shared" si="14"/>
        <v>0.33105344862829444</v>
      </c>
      <c r="R20">
        <f t="shared" si="4"/>
        <v>0.98702456746002165</v>
      </c>
      <c r="S20">
        <f t="shared" si="5"/>
        <v>1.9098024020218387</v>
      </c>
      <c r="T20">
        <f t="shared" si="6"/>
        <v>9.2943492018688809E-4</v>
      </c>
      <c r="U20">
        <f t="shared" si="15"/>
        <v>1.0344194841396259E-3</v>
      </c>
      <c r="V20">
        <f t="shared" si="30"/>
        <v>1.0700236691676898E-6</v>
      </c>
      <c r="W20">
        <f t="shared" ca="1" si="16"/>
        <v>-2.006482264706758E-2</v>
      </c>
      <c r="X20">
        <v>0</v>
      </c>
      <c r="Y20">
        <v>1.05</v>
      </c>
      <c r="Z20">
        <v>0.52333205714065734</v>
      </c>
      <c r="AA20">
        <f t="shared" si="17"/>
        <v>3.3193468644074522</v>
      </c>
      <c r="AB20">
        <f t="shared" si="18"/>
        <v>0.970873786407767</v>
      </c>
      <c r="AC20">
        <f t="shared" si="19"/>
        <v>-1.2459439657956928E-3</v>
      </c>
      <c r="AD20">
        <f t="shared" si="31"/>
        <v>1.5523763659026986E-6</v>
      </c>
      <c r="AE20">
        <f t="shared" si="8"/>
        <v>0.15806166784698253</v>
      </c>
      <c r="AF20">
        <f t="shared" si="9"/>
        <v>5.2333205714065738E-2</v>
      </c>
      <c r="AG20">
        <f t="shared" si="10"/>
        <v>4.361509948380704E-2</v>
      </c>
      <c r="AH20">
        <f t="shared" si="20"/>
        <v>0.25400997304485529</v>
      </c>
      <c r="AI20">
        <f t="shared" si="21"/>
        <v>0.25734919010021873</v>
      </c>
      <c r="AJ20">
        <f t="shared" si="11"/>
        <v>0.16818053572144115</v>
      </c>
      <c r="AK20">
        <f t="shared" si="22"/>
        <v>0.64055819098296007</v>
      </c>
      <c r="AL20">
        <f t="shared" si="23"/>
        <v>0.49223998934272828</v>
      </c>
      <c r="AM20">
        <f t="shared" si="32"/>
        <v>-7.9534558973692882E-4</v>
      </c>
      <c r="AN20">
        <f t="shared" si="33"/>
        <v>-4.844877941797554E-4</v>
      </c>
      <c r="AO20">
        <f t="shared" si="34"/>
        <v>-9.199240817212833E-4</v>
      </c>
      <c r="AP20">
        <f t="shared" si="35"/>
        <v>-7.8369393434574164E-4</v>
      </c>
      <c r="AQ20">
        <v>0.03</v>
      </c>
      <c r="AR20">
        <f t="shared" si="24"/>
        <v>4.6350232593210805E-3</v>
      </c>
      <c r="AS20">
        <f t="shared" si="25"/>
        <v>0.15758765174905107</v>
      </c>
    </row>
    <row r="21" spans="1:45" ht="14.65" thickBot="1" x14ac:dyDescent="0.5">
      <c r="A21" s="10" t="s">
        <v>28</v>
      </c>
      <c r="B21" s="27">
        <v>3.71</v>
      </c>
      <c r="C21" s="28"/>
      <c r="F21" s="7">
        <f t="shared" si="26"/>
        <v>20</v>
      </c>
      <c r="G21">
        <f t="shared" si="12"/>
        <v>1.550088377961665</v>
      </c>
      <c r="H21">
        <v>0.97613773933368919</v>
      </c>
      <c r="I21">
        <f t="shared" si="13"/>
        <v>3.5598686354737228</v>
      </c>
      <c r="J21">
        <f t="shared" si="27"/>
        <v>4.7210105153576064E-2</v>
      </c>
      <c r="K21">
        <f t="shared" si="28"/>
        <v>0.13422159587196741</v>
      </c>
      <c r="L21">
        <f t="shared" si="29"/>
        <v>1.3559905178940941</v>
      </c>
      <c r="M21">
        <f t="shared" si="0"/>
        <v>1.3546318528715757</v>
      </c>
      <c r="N21">
        <f t="shared" si="1"/>
        <v>8.1616960769700667E-2</v>
      </c>
      <c r="O21">
        <f t="shared" si="2"/>
        <v>9.3824211449356859E-5</v>
      </c>
      <c r="P21">
        <f t="shared" si="3"/>
        <v>0.60804158653516183</v>
      </c>
      <c r="Q21">
        <f t="shared" si="14"/>
        <v>0.33097843807530153</v>
      </c>
      <c r="R21">
        <f t="shared" si="4"/>
        <v>0.986125461645597</v>
      </c>
      <c r="S21">
        <f t="shared" si="5"/>
        <v>1.9083644672850173</v>
      </c>
      <c r="T21">
        <f t="shared" si="6"/>
        <v>8.9200920946923669E-4</v>
      </c>
      <c r="U21">
        <f t="shared" si="15"/>
        <v>1.1749549700384998E-3</v>
      </c>
      <c r="V21">
        <f t="shared" si="30"/>
        <v>1.380519181618172E-6</v>
      </c>
      <c r="W21">
        <f t="shared" ca="1" si="16"/>
        <v>4.0568466027456888E-2</v>
      </c>
      <c r="X21">
        <v>0</v>
      </c>
      <c r="Y21">
        <v>1.05</v>
      </c>
      <c r="Z21">
        <v>0.52326760975543729</v>
      </c>
      <c r="AA21">
        <f t="shared" si="17"/>
        <v>3.3201645584355566</v>
      </c>
      <c r="AB21">
        <f t="shared" si="18"/>
        <v>0.970873786407767</v>
      </c>
      <c r="AC21">
        <f t="shared" si="19"/>
        <v>-1.1988493242465204E-3</v>
      </c>
      <c r="AD21">
        <f t="shared" si="31"/>
        <v>1.4372397022463386E-6</v>
      </c>
      <c r="AE21">
        <f t="shared" si="8"/>
        <v>0.15790687266509998</v>
      </c>
      <c r="AF21">
        <f t="shared" si="9"/>
        <v>5.2326760975543729E-2</v>
      </c>
      <c r="AG21">
        <f t="shared" si="10"/>
        <v>4.3581848815012002E-2</v>
      </c>
      <c r="AH21">
        <f t="shared" si="20"/>
        <v>0.25381548245565572</v>
      </c>
      <c r="AI21">
        <f t="shared" si="21"/>
        <v>0.25738660274738379</v>
      </c>
      <c r="AJ21">
        <f t="shared" si="11"/>
        <v>0.16864796493880715</v>
      </c>
      <c r="AK21">
        <f t="shared" si="22"/>
        <v>0.64051433131679969</v>
      </c>
      <c r="AL21">
        <f t="shared" si="23"/>
        <v>0.49200432637969382</v>
      </c>
      <c r="AM21">
        <f t="shared" si="32"/>
        <v>-7.5320689431424004E-4</v>
      </c>
      <c r="AN21">
        <f t="shared" si="33"/>
        <v>-4.7887087336639933E-4</v>
      </c>
      <c r="AO21">
        <f t="shared" si="34"/>
        <v>-9.1134061109477034E-4</v>
      </c>
      <c r="AP21">
        <f t="shared" si="35"/>
        <v>-7.6597420078949874E-4</v>
      </c>
      <c r="AQ21">
        <v>0.03</v>
      </c>
      <c r="AR21">
        <f t="shared" si="24"/>
        <v>3.6317274655903592E-3</v>
      </c>
      <c r="AS21">
        <f t="shared" si="25"/>
        <v>0.16594700876711294</v>
      </c>
    </row>
    <row r="22" spans="1:45" ht="14.65" thickBot="1" x14ac:dyDescent="0.5">
      <c r="A22" s="3" t="s">
        <v>29</v>
      </c>
      <c r="B22" s="3">
        <v>0.33</v>
      </c>
      <c r="F22" s="7">
        <f t="shared" si="26"/>
        <v>21</v>
      </c>
      <c r="G22">
        <f t="shared" si="12"/>
        <v>1.550088377961665</v>
      </c>
      <c r="H22">
        <v>0.97721937882092347</v>
      </c>
      <c r="I22">
        <f t="shared" si="13"/>
        <v>3.5516954859267411</v>
      </c>
      <c r="J22">
        <f t="shared" si="27"/>
        <v>4.716710026652203E-2</v>
      </c>
      <c r="K22">
        <f t="shared" si="28"/>
        <v>0.13428514353574864</v>
      </c>
      <c r="L22">
        <f t="shared" si="29"/>
        <v>1.3559905178940941</v>
      </c>
      <c r="M22">
        <f t="shared" si="0"/>
        <v>1.3546506704297356</v>
      </c>
      <c r="N22">
        <f t="shared" si="1"/>
        <v>8.1742733389691805E-2</v>
      </c>
      <c r="O22">
        <f t="shared" si="2"/>
        <v>8.5269196676637744E-5</v>
      </c>
      <c r="P22">
        <f t="shared" si="3"/>
        <v>0.607440783677625</v>
      </c>
      <c r="Q22">
        <f t="shared" si="14"/>
        <v>0.33089456298294873</v>
      </c>
      <c r="R22">
        <f t="shared" si="4"/>
        <v>0.98523961671231097</v>
      </c>
      <c r="S22">
        <f t="shared" si="5"/>
        <v>1.9070104079016736</v>
      </c>
      <c r="T22">
        <f t="shared" si="6"/>
        <v>8.5249458345996781E-4</v>
      </c>
      <c r="U22">
        <f t="shared" si="15"/>
        <v>1.2986028661794435E-3</v>
      </c>
      <c r="V22">
        <f t="shared" si="30"/>
        <v>1.6863694040494657E-6</v>
      </c>
      <c r="W22">
        <f t="shared" ca="1" si="16"/>
        <v>6.0720029947637734E-2</v>
      </c>
      <c r="X22">
        <v>0</v>
      </c>
      <c r="Y22">
        <v>1.05</v>
      </c>
      <c r="Z22">
        <v>0.52322640305032431</v>
      </c>
      <c r="AA22">
        <f t="shared" si="17"/>
        <v>3.3206875382716095</v>
      </c>
      <c r="AB22">
        <f t="shared" si="18"/>
        <v>0.970873786407767</v>
      </c>
      <c r="AC22">
        <f t="shared" si="19"/>
        <v>-1.1492172360982877E-3</v>
      </c>
      <c r="AD22">
        <f t="shared" si="31"/>
        <v>1.3207002557453876E-6</v>
      </c>
      <c r="AE22">
        <f t="shared" si="8"/>
        <v>0.15775484388163977</v>
      </c>
      <c r="AF22">
        <f t="shared" si="9"/>
        <v>5.2322640305032433E-2</v>
      </c>
      <c r="AG22">
        <f t="shared" si="10"/>
        <v>4.3548794578122219E-2</v>
      </c>
      <c r="AH22">
        <f t="shared" si="20"/>
        <v>0.25362627876479443</v>
      </c>
      <c r="AI22">
        <f t="shared" si="21"/>
        <v>0.25742598497117991</v>
      </c>
      <c r="AJ22">
        <f t="shared" si="11"/>
        <v>0.1691081941220671</v>
      </c>
      <c r="AK22">
        <f t="shared" si="22"/>
        <v>0.64047300252930872</v>
      </c>
      <c r="AL22">
        <f t="shared" si="23"/>
        <v>0.4917726365445812</v>
      </c>
      <c r="AM22">
        <f t="shared" si="32"/>
        <v>-7.0979103468871152E-4</v>
      </c>
      <c r="AN22">
        <f t="shared" si="33"/>
        <v>-4.7102107109209257E-4</v>
      </c>
      <c r="AO22">
        <f t="shared" si="34"/>
        <v>-8.9871227063376656E-4</v>
      </c>
      <c r="AP22">
        <f t="shared" si="35"/>
        <v>-7.4571591890326694E-4</v>
      </c>
      <c r="AQ22">
        <v>0.03</v>
      </c>
      <c r="AR22">
        <f t="shared" si="24"/>
        <v>2.5917061029548799E-3</v>
      </c>
      <c r="AS22">
        <f t="shared" si="25"/>
        <v>0.17351712513308121</v>
      </c>
    </row>
    <row r="23" spans="1:45" ht="14.65" thickBot="1" x14ac:dyDescent="0.5">
      <c r="A23" s="4" t="s">
        <v>30</v>
      </c>
      <c r="B23" s="14">
        <f>1</f>
        <v>1</v>
      </c>
      <c r="C23" s="15"/>
      <c r="F23" s="7">
        <f t="shared" si="26"/>
        <v>22</v>
      </c>
      <c r="G23">
        <f t="shared" si="12"/>
        <v>1.550088377961665</v>
      </c>
      <c r="H23">
        <v>0.97835263438772568</v>
      </c>
      <c r="I23">
        <f t="shared" si="13"/>
        <v>3.5439128100254202</v>
      </c>
      <c r="J23">
        <f t="shared" si="27"/>
        <v>4.712472965708743E-2</v>
      </c>
      <c r="K23">
        <f t="shared" si="28"/>
        <v>0.1343793343643376</v>
      </c>
      <c r="L23">
        <f t="shared" si="29"/>
        <v>1.3559905178940941</v>
      </c>
      <c r="M23">
        <f t="shared" si="0"/>
        <v>1.3546761704200281</v>
      </c>
      <c r="N23">
        <f t="shared" si="1"/>
        <v>8.1860795179162921E-2</v>
      </c>
      <c r="O23">
        <f t="shared" si="2"/>
        <v>7.6783429365001235E-5</v>
      </c>
      <c r="P23">
        <f t="shared" si="3"/>
        <v>0.60685199765800635</v>
      </c>
      <c r="Q23">
        <f t="shared" si="14"/>
        <v>0.33080320118226064</v>
      </c>
      <c r="R23">
        <f t="shared" si="4"/>
        <v>0.98437141254837779</v>
      </c>
      <c r="S23">
        <f t="shared" si="5"/>
        <v>1.9057407586052701</v>
      </c>
      <c r="T23">
        <f t="shared" si="6"/>
        <v>8.1099280354080233E-4</v>
      </c>
      <c r="U23">
        <f t="shared" si="15"/>
        <v>1.4109241994301192E-3</v>
      </c>
      <c r="V23">
        <f t="shared" si="30"/>
        <v>1.9907070965375226E-6</v>
      </c>
      <c r="W23">
        <f t="shared" ca="1" si="16"/>
        <v>1.572300190460664E-2</v>
      </c>
      <c r="X23">
        <v>0</v>
      </c>
      <c r="Y23">
        <v>1.05</v>
      </c>
      <c r="Z23">
        <v>0.52320680567490674</v>
      </c>
      <c r="AA23">
        <f t="shared" si="17"/>
        <v>3.320936304068967</v>
      </c>
      <c r="AB23">
        <f t="shared" si="18"/>
        <v>0.970873786407767</v>
      </c>
      <c r="AC23">
        <f t="shared" si="19"/>
        <v>-1.0999989433773116E-3</v>
      </c>
      <c r="AD23">
        <f t="shared" si="31"/>
        <v>1.209997675431202E-6</v>
      </c>
      <c r="AE23">
        <f t="shared" si="8"/>
        <v>0.15760628589253331</v>
      </c>
      <c r="AF23">
        <f t="shared" si="9"/>
        <v>5.2320680567490674E-2</v>
      </c>
      <c r="AG23">
        <f t="shared" si="10"/>
        <v>4.3516128101145399E-2</v>
      </c>
      <c r="AH23">
        <f t="shared" si="20"/>
        <v>0.25344309456116937</v>
      </c>
      <c r="AI23">
        <f t="shared" si="21"/>
        <v>0.25746693913534763</v>
      </c>
      <c r="AJ23">
        <f t="shared" si="11"/>
        <v>0.16956053131396498</v>
      </c>
      <c r="AK23">
        <f t="shared" si="22"/>
        <v>0.64043422587625221</v>
      </c>
      <c r="AL23">
        <f t="shared" si="23"/>
        <v>0.49154693649339509</v>
      </c>
      <c r="AM23">
        <f t="shared" si="32"/>
        <v>-6.6600168114139269E-4</v>
      </c>
      <c r="AN23">
        <f t="shared" si="33"/>
        <v>-4.5905738345541902E-4</v>
      </c>
      <c r="AO23">
        <f t="shared" si="34"/>
        <v>-8.8159967350615563E-4</v>
      </c>
      <c r="AP23">
        <f t="shared" si="35"/>
        <v>-7.2252130075445287E-4</v>
      </c>
      <c r="AQ23">
        <v>0.03</v>
      </c>
      <c r="AR23">
        <f t="shared" si="24"/>
        <v>1.5219199765535429E-3</v>
      </c>
      <c r="AS23">
        <f t="shared" si="25"/>
        <v>0.1802445588636272</v>
      </c>
    </row>
    <row r="24" spans="1:45" ht="14.65" thickBot="1" x14ac:dyDescent="0.5">
      <c r="A24" s="8" t="s">
        <v>47</v>
      </c>
      <c r="B24" s="29">
        <f>(ybar - B50* 0.05- Delta*kbar - tauw * lbar *mpl - tauk * mpk *kbar)/(1+tauc)</f>
        <v>0.5295951735625205</v>
      </c>
      <c r="C24" s="30"/>
      <c r="F24" s="7">
        <f t="shared" si="26"/>
        <v>23</v>
      </c>
      <c r="G24">
        <f t="shared" si="12"/>
        <v>1.550088377961665</v>
      </c>
      <c r="H24">
        <v>0.97952220638380794</v>
      </c>
      <c r="I24">
        <f t="shared" si="13"/>
        <v>3.5365356319887411</v>
      </c>
      <c r="J24">
        <f t="shared" si="27"/>
        <v>4.7083202818520936E-2</v>
      </c>
      <c r="K24">
        <f t="shared" si="28"/>
        <v>0.13449936088926881</v>
      </c>
      <c r="L24">
        <f t="shared" si="29"/>
        <v>1.3559905178940941</v>
      </c>
      <c r="M24">
        <f t="shared" si="0"/>
        <v>1.3547074448275547</v>
      </c>
      <c r="N24">
        <f t="shared" si="1"/>
        <v>8.1971015098033839E-2</v>
      </c>
      <c r="O24">
        <f t="shared" si="2"/>
        <v>6.8527996913125174E-5</v>
      </c>
      <c r="P24">
        <f t="shared" si="3"/>
        <v>0.60627777870640154</v>
      </c>
      <c r="Q24">
        <f t="shared" si="14"/>
        <v>0.33070544830611176</v>
      </c>
      <c r="R24">
        <f t="shared" si="4"/>
        <v>0.98352461473340114</v>
      </c>
      <c r="S24">
        <f t="shared" si="5"/>
        <v>1.9045565680591217</v>
      </c>
      <c r="T24">
        <f t="shared" si="6"/>
        <v>7.6806740885902453E-4</v>
      </c>
      <c r="U24">
        <f t="shared" si="15"/>
        <v>1.5003884791920941E-3</v>
      </c>
      <c r="V24">
        <f t="shared" si="30"/>
        <v>2.2511655884923648E-6</v>
      </c>
      <c r="W24">
        <f t="shared" ca="1" si="16"/>
        <v>-5.4495855947886501E-2</v>
      </c>
      <c r="X24">
        <v>0</v>
      </c>
      <c r="Y24">
        <v>1.05</v>
      </c>
      <c r="Z24">
        <v>0.52320722147628917</v>
      </c>
      <c r="AA24">
        <f t="shared" si="17"/>
        <v>3.3209310256656845</v>
      </c>
      <c r="AB24">
        <f t="shared" si="18"/>
        <v>0.970873786407767</v>
      </c>
      <c r="AC24">
        <f t="shared" si="19"/>
        <v>-1.0519751400615007E-3</v>
      </c>
      <c r="AD24">
        <f t="shared" si="31"/>
        <v>1.106651695307414E-6</v>
      </c>
      <c r="AE24">
        <f t="shared" si="8"/>
        <v>0.15746180841608537</v>
      </c>
      <c r="AF24">
        <f t="shared" si="9"/>
        <v>5.2320722147628923E-2</v>
      </c>
      <c r="AG24">
        <f t="shared" si="10"/>
        <v>4.348401235267256E-2</v>
      </c>
      <c r="AH24">
        <f t="shared" si="20"/>
        <v>0.25326654291638684</v>
      </c>
      <c r="AI24">
        <f t="shared" si="21"/>
        <v>0.25750910462473631</v>
      </c>
      <c r="AJ24">
        <f t="shared" si="11"/>
        <v>0.17000214620516721</v>
      </c>
      <c r="AK24">
        <f t="shared" si="22"/>
        <v>0.64039803806544371</v>
      </c>
      <c r="AL24">
        <f t="shared" si="23"/>
        <v>0.49132762358284443</v>
      </c>
      <c r="AM24">
        <f t="shared" si="32"/>
        <v>-6.2157384726280185E-4</v>
      </c>
      <c r="AN24">
        <f t="shared" si="33"/>
        <v>-4.4626837055061763E-4</v>
      </c>
      <c r="AO24">
        <f t="shared" si="34"/>
        <v>-8.6061240584102069E-4</v>
      </c>
      <c r="AP24">
        <f t="shared" si="35"/>
        <v>-6.9685531463736794E-4</v>
      </c>
      <c r="AQ24">
        <v>0.03</v>
      </c>
      <c r="AR24">
        <f t="shared" si="24"/>
        <v>4.3291110984701453E-4</v>
      </c>
      <c r="AS24">
        <f t="shared" si="25"/>
        <v>0.18608480673938305</v>
      </c>
    </row>
    <row r="25" spans="1:45" ht="14.65" thickBot="1" x14ac:dyDescent="0.5">
      <c r="A25" s="31"/>
      <c r="B25" s="32"/>
      <c r="C25" s="33"/>
      <c r="F25" s="7">
        <f t="shared" si="26"/>
        <v>24</v>
      </c>
      <c r="G25">
        <f t="shared" si="12"/>
        <v>1.550088377961665</v>
      </c>
      <c r="H25">
        <v>0.98071488509128135</v>
      </c>
      <c r="I25">
        <f t="shared" si="13"/>
        <v>3.5295735675984599</v>
      </c>
      <c r="J25">
        <f t="shared" si="27"/>
        <v>4.7042699861242231E-2</v>
      </c>
      <c r="K25">
        <f t="shared" si="28"/>
        <v>0.13464117567538156</v>
      </c>
      <c r="L25">
        <f t="shared" si="29"/>
        <v>1.3559905178940941</v>
      </c>
      <c r="M25">
        <f t="shared" si="0"/>
        <v>1.3547438300617327</v>
      </c>
      <c r="N25">
        <f t="shared" si="1"/>
        <v>8.2073361649660212E-2</v>
      </c>
      <c r="O25">
        <f t="shared" si="2"/>
        <v>6.0623068249333836E-5</v>
      </c>
      <c r="P25">
        <f t="shared" si="3"/>
        <v>0.60572037132060486</v>
      </c>
      <c r="Q25">
        <f t="shared" si="14"/>
        <v>0.33060242261133327</v>
      </c>
      <c r="R25">
        <f t="shared" si="4"/>
        <v>0.98270253910782679</v>
      </c>
      <c r="S25">
        <f t="shared" si="5"/>
        <v>1.9034578115556759</v>
      </c>
      <c r="T25">
        <f t="shared" si="6"/>
        <v>7.2419052733120094E-4</v>
      </c>
      <c r="U25">
        <f t="shared" si="15"/>
        <v>1.5694990166872369E-3</v>
      </c>
      <c r="V25">
        <f t="shared" si="30"/>
        <v>2.4633271633822034E-6</v>
      </c>
      <c r="W25">
        <f t="shared" ca="1" si="16"/>
        <v>2.3613950779656508E-2</v>
      </c>
      <c r="X25">
        <v>0</v>
      </c>
      <c r="Y25">
        <v>1.05</v>
      </c>
      <c r="Z25">
        <v>0.52322577714218488</v>
      </c>
      <c r="AA25">
        <f t="shared" si="17"/>
        <v>3.320695483012456</v>
      </c>
      <c r="AB25">
        <f t="shared" si="18"/>
        <v>0.970873786407767</v>
      </c>
      <c r="AC25">
        <f t="shared" si="19"/>
        <v>-1.0016967319161907E-3</v>
      </c>
      <c r="AD25">
        <f t="shared" si="31"/>
        <v>1.0033963427315767E-6</v>
      </c>
      <c r="AE25">
        <f t="shared" si="8"/>
        <v>0.15732194095969329</v>
      </c>
      <c r="AF25">
        <f t="shared" si="9"/>
        <v>5.2322577714218492E-2</v>
      </c>
      <c r="AG25">
        <f t="shared" si="10"/>
        <v>4.3452595182388476E-2</v>
      </c>
      <c r="AH25">
        <f t="shared" si="20"/>
        <v>0.25309711385630029</v>
      </c>
      <c r="AI25">
        <f t="shared" si="21"/>
        <v>0.25755211143148299</v>
      </c>
      <c r="AJ25">
        <f t="shared" si="11"/>
        <v>0.17043076012877217</v>
      </c>
      <c r="AK25">
        <f t="shared" si="22"/>
        <v>0.64036444274387361</v>
      </c>
      <c r="AL25">
        <f t="shared" si="23"/>
        <v>0.49111517134898414</v>
      </c>
      <c r="AM25">
        <f t="shared" si="32"/>
        <v>-5.7707583239163807E-4</v>
      </c>
      <c r="AN25">
        <f t="shared" si="33"/>
        <v>-4.3249792917809948E-4</v>
      </c>
      <c r="AO25">
        <f t="shared" si="34"/>
        <v>-8.3619603347413404E-4</v>
      </c>
      <c r="AP25">
        <f t="shared" si="35"/>
        <v>-6.6919915812801989E-4</v>
      </c>
      <c r="AQ25">
        <v>0.03</v>
      </c>
      <c r="AR25">
        <f t="shared" si="24"/>
        <v>-6.658060297101559E-4</v>
      </c>
      <c r="AS25">
        <f t="shared" si="25"/>
        <v>0.19100154491185439</v>
      </c>
    </row>
    <row r="26" spans="1:45" ht="14.65" thickBot="1" x14ac:dyDescent="0.5">
      <c r="A26" s="3" t="s">
        <v>74</v>
      </c>
      <c r="B26" s="3">
        <v>0.05</v>
      </c>
      <c r="F26" s="7">
        <f t="shared" si="26"/>
        <v>25</v>
      </c>
      <c r="G26">
        <f t="shared" si="12"/>
        <v>1.550088377961665</v>
      </c>
      <c r="H26">
        <v>0.98190935365504584</v>
      </c>
      <c r="I26">
        <f t="shared" si="13"/>
        <v>3.5230318005699028</v>
      </c>
      <c r="J26">
        <f t="shared" si="27"/>
        <v>4.7003379384318922E-2</v>
      </c>
      <c r="K26">
        <f t="shared" si="28"/>
        <v>0.13479771598794618</v>
      </c>
      <c r="L26">
        <f t="shared" si="29"/>
        <v>1.3559905178940941</v>
      </c>
      <c r="M26">
        <f t="shared" si="0"/>
        <v>1.3547849620272214</v>
      </c>
      <c r="N26">
        <f t="shared" si="1"/>
        <v>8.2167898437583278E-2</v>
      </c>
      <c r="O26">
        <f t="shared" si="2"/>
        <v>5.3218279928499581E-5</v>
      </c>
      <c r="P26">
        <f t="shared" si="3"/>
        <v>0.60518185004210501</v>
      </c>
      <c r="Q26">
        <f t="shared" si="14"/>
        <v>0.33049532394431608</v>
      </c>
      <c r="R26">
        <f t="shared" si="4"/>
        <v>0.98190825177374375</v>
      </c>
      <c r="S26">
        <f t="shared" si="5"/>
        <v>1.9024434401490657</v>
      </c>
      <c r="T26">
        <f t="shared" si="6"/>
        <v>6.801539894200928E-4</v>
      </c>
      <c r="U26">
        <f t="shared" si="15"/>
        <v>1.6108811139318169E-3</v>
      </c>
      <c r="V26">
        <f t="shared" si="30"/>
        <v>2.5949379632222111E-6</v>
      </c>
      <c r="W26">
        <f t="shared" ca="1" si="16"/>
        <v>8.2566500676774599E-3</v>
      </c>
      <c r="X26">
        <v>0</v>
      </c>
      <c r="Y26">
        <v>1.05</v>
      </c>
      <c r="Z26">
        <v>0.52326101431209282</v>
      </c>
      <c r="AA26">
        <f t="shared" si="17"/>
        <v>3.320248256989994</v>
      </c>
      <c r="AB26">
        <f t="shared" si="18"/>
        <v>0.970873786407767</v>
      </c>
      <c r="AC26">
        <f t="shared" si="19"/>
        <v>-9.5424510651120897E-4</v>
      </c>
      <c r="AD26">
        <f t="shared" si="31"/>
        <v>9.1058372330058854E-7</v>
      </c>
      <c r="AE26">
        <f t="shared" si="8"/>
        <v>0.15718716525945114</v>
      </c>
      <c r="AF26">
        <f t="shared" si="9"/>
        <v>5.2326101431209283E-2</v>
      </c>
      <c r="AG26">
        <f t="shared" si="10"/>
        <v>4.3422017877240586E-2</v>
      </c>
      <c r="AH26">
        <f t="shared" si="20"/>
        <v>0.25293528456790099</v>
      </c>
      <c r="AI26">
        <f t="shared" si="21"/>
        <v>0.25759564003153279</v>
      </c>
      <c r="AJ26">
        <f t="shared" si="11"/>
        <v>0.17084286594947012</v>
      </c>
      <c r="AK26">
        <f t="shared" si="22"/>
        <v>0.64033341190688353</v>
      </c>
      <c r="AL26">
        <f t="shared" si="23"/>
        <v>0.49090916054337669</v>
      </c>
      <c r="AM26">
        <f t="shared" si="32"/>
        <v>-5.3305189154595478E-4</v>
      </c>
      <c r="AN26">
        <f t="shared" si="33"/>
        <v>-4.1956355242755983E-4</v>
      </c>
      <c r="AO26">
        <f t="shared" si="34"/>
        <v>-8.085951487661093E-4</v>
      </c>
      <c r="AP26">
        <f t="shared" si="35"/>
        <v>-6.3960052526335076E-4</v>
      </c>
      <c r="AQ26">
        <v>0.03</v>
      </c>
      <c r="AR26">
        <f t="shared" si="24"/>
        <v>-1.7623643025368729E-3</v>
      </c>
      <c r="AS26">
        <f t="shared" si="25"/>
        <v>0.19496922695667315</v>
      </c>
    </row>
    <row r="27" spans="1:45" ht="14.65" thickBot="1" x14ac:dyDescent="0.5">
      <c r="A27" s="34"/>
      <c r="B27" s="35"/>
      <c r="F27" s="7">
        <f t="shared" si="26"/>
        <v>26</v>
      </c>
      <c r="G27">
        <f t="shared" si="12"/>
        <v>1.550088377961665</v>
      </c>
      <c r="H27">
        <v>0.9830998384734535</v>
      </c>
      <c r="I27">
        <f t="shared" si="13"/>
        <v>3.5169082445350526</v>
      </c>
      <c r="J27">
        <f t="shared" si="27"/>
        <v>4.6965388041650818E-2</v>
      </c>
      <c r="K27">
        <f t="shared" si="28"/>
        <v>0.13496729137351698</v>
      </c>
      <c r="L27">
        <f t="shared" si="29"/>
        <v>1.3559905178940941</v>
      </c>
      <c r="M27">
        <f t="shared" si="0"/>
        <v>1.3548288827290058</v>
      </c>
      <c r="N27">
        <f t="shared" si="1"/>
        <v>8.2254762246875696E-2</v>
      </c>
      <c r="O27">
        <f t="shared" si="2"/>
        <v>4.6337745082422999E-5</v>
      </c>
      <c r="P27">
        <f t="shared" si="3"/>
        <v>0.60466340945641872</v>
      </c>
      <c r="Q27">
        <f t="shared" si="14"/>
        <v>0.33038499999057858</v>
      </c>
      <c r="R27">
        <f t="shared" si="4"/>
        <v>0.98114352157830587</v>
      </c>
      <c r="S27">
        <f t="shared" si="5"/>
        <v>1.9015118903415982</v>
      </c>
      <c r="T27">
        <f t="shared" si="6"/>
        <v>6.3614898726691081E-4</v>
      </c>
      <c r="U27">
        <f t="shared" si="15"/>
        <v>1.6403976625198879E-3</v>
      </c>
      <c r="V27">
        <f t="shared" si="30"/>
        <v>2.6909044912007123E-6</v>
      </c>
      <c r="W27">
        <f t="shared" ca="1" si="16"/>
        <v>-8.0380599208248818E-2</v>
      </c>
      <c r="X27">
        <v>0</v>
      </c>
      <c r="Y27">
        <v>1.05</v>
      </c>
      <c r="Z27">
        <v>0.52331109386393138</v>
      </c>
      <c r="AA27">
        <f t="shared" si="17"/>
        <v>3.3196128086284773</v>
      </c>
      <c r="AB27">
        <f t="shared" si="18"/>
        <v>0.970873786407767</v>
      </c>
      <c r="AC27">
        <f t="shared" si="19"/>
        <v>-9.0440819393222682E-4</v>
      </c>
      <c r="AD27">
        <f t="shared" si="31"/>
        <v>8.1795418125175245E-7</v>
      </c>
      <c r="AE27">
        <f t="shared" si="8"/>
        <v>0.15705775146814849</v>
      </c>
      <c r="AF27">
        <f t="shared" si="9"/>
        <v>5.233110938639314E-2</v>
      </c>
      <c r="AG27">
        <f t="shared" si="10"/>
        <v>4.3392367724746153E-2</v>
      </c>
      <c r="AH27">
        <f t="shared" si="20"/>
        <v>0.25278122857928775</v>
      </c>
      <c r="AI27">
        <f t="shared" si="21"/>
        <v>0.25763940037299943</v>
      </c>
      <c r="AJ27">
        <f t="shared" si="11"/>
        <v>0.17123779416511775</v>
      </c>
      <c r="AK27">
        <f t="shared" si="22"/>
        <v>0.6403049014297082</v>
      </c>
      <c r="AL27">
        <f t="shared" si="23"/>
        <v>0.49071017323782001</v>
      </c>
      <c r="AM27">
        <f t="shared" si="32"/>
        <v>-4.8977958212215178E-4</v>
      </c>
      <c r="AN27">
        <f t="shared" si="33"/>
        <v>-4.0542662809184282E-4</v>
      </c>
      <c r="AO27">
        <f t="shared" si="34"/>
        <v>-7.7912385654181279E-4</v>
      </c>
      <c r="AP27">
        <f t="shared" si="35"/>
        <v>-6.0925830726743513E-4</v>
      </c>
      <c r="AQ27">
        <v>0.03</v>
      </c>
      <c r="AR27">
        <f t="shared" si="24"/>
        <v>-2.851398077065706E-3</v>
      </c>
      <c r="AS27">
        <f t="shared" si="25"/>
        <v>0.19796690568830766</v>
      </c>
    </row>
    <row r="28" spans="1:45" ht="14.65" thickBot="1" x14ac:dyDescent="0.5">
      <c r="A28" s="8"/>
      <c r="B28" s="36"/>
      <c r="F28" s="7">
        <f t="shared" si="26"/>
        <v>27</v>
      </c>
      <c r="G28">
        <f t="shared" si="12"/>
        <v>1.550088377961665</v>
      </c>
      <c r="H28">
        <v>0.98427771998262281</v>
      </c>
      <c r="I28">
        <f t="shared" si="13"/>
        <v>3.5111992061271673</v>
      </c>
      <c r="J28">
        <f t="shared" si="27"/>
        <v>4.6928810438487761E-2</v>
      </c>
      <c r="K28">
        <f t="shared" si="28"/>
        <v>0.13514694815980186</v>
      </c>
      <c r="L28">
        <f t="shared" si="29"/>
        <v>1.3559905178940941</v>
      </c>
      <c r="M28">
        <f t="shared" si="0"/>
        <v>1.3548758082372092</v>
      </c>
      <c r="N28">
        <f t="shared" si="1"/>
        <v>8.2334151102707587E-2</v>
      </c>
      <c r="O28">
        <f t="shared" si="2"/>
        <v>4.0015977868126231E-5</v>
      </c>
      <c r="P28">
        <f t="shared" si="3"/>
        <v>0.60416633802944963</v>
      </c>
      <c r="Q28">
        <f t="shared" si="14"/>
        <v>0.33027249271341458</v>
      </c>
      <c r="R28">
        <f t="shared" si="4"/>
        <v>0.98041025616795452</v>
      </c>
      <c r="S28">
        <f t="shared" si="5"/>
        <v>1.9006606788510794</v>
      </c>
      <c r="T28">
        <f t="shared" si="6"/>
        <v>5.9250185879953978E-4</v>
      </c>
      <c r="U28">
        <f t="shared" si="15"/>
        <v>1.6556350817114041E-3</v>
      </c>
      <c r="V28">
        <f t="shared" si="30"/>
        <v>2.7411275237935275E-6</v>
      </c>
      <c r="W28">
        <f t="shared" ca="1" si="16"/>
        <v>-2.0299981951897212E-2</v>
      </c>
      <c r="X28">
        <v>0</v>
      </c>
      <c r="Y28">
        <v>1.05</v>
      </c>
      <c r="Z28">
        <v>0.52337459215288706</v>
      </c>
      <c r="AA28">
        <f t="shared" si="17"/>
        <v>3.3188073551368547</v>
      </c>
      <c r="AB28">
        <f t="shared" si="18"/>
        <v>0.970873786407767</v>
      </c>
      <c r="AC28">
        <f t="shared" si="19"/>
        <v>-8.5691615158101087E-4</v>
      </c>
      <c r="AD28">
        <f t="shared" si="31"/>
        <v>7.3430529084041003E-7</v>
      </c>
      <c r="AE28">
        <f t="shared" si="8"/>
        <v>0.15693398505162917</v>
      </c>
      <c r="AF28">
        <f t="shared" si="9"/>
        <v>5.2337459215288706E-2</v>
      </c>
      <c r="AG28">
        <f t="shared" si="10"/>
        <v>4.3363740898347158E-2</v>
      </c>
      <c r="AH28">
        <f t="shared" si="20"/>
        <v>0.25263518516526506</v>
      </c>
      <c r="AI28">
        <f t="shared" si="21"/>
        <v>0.25768313170520935</v>
      </c>
      <c r="AJ28">
        <f t="shared" si="11"/>
        <v>0.17161449803002918</v>
      </c>
      <c r="AK28">
        <f t="shared" si="22"/>
        <v>0.64027883863648505</v>
      </c>
      <c r="AL28">
        <f t="shared" si="23"/>
        <v>0.49051862408431895</v>
      </c>
      <c r="AM28">
        <f t="shared" si="32"/>
        <v>-4.4775006354880187E-4</v>
      </c>
      <c r="AN28">
        <f t="shared" si="33"/>
        <v>-3.9042709805703346E-4</v>
      </c>
      <c r="AO28">
        <f t="shared" si="34"/>
        <v>-7.4763736057182131E-4</v>
      </c>
      <c r="AP28">
        <f t="shared" si="35"/>
        <v>-5.7791323793932037E-4</v>
      </c>
      <c r="AQ28">
        <v>0.03</v>
      </c>
      <c r="AR28">
        <f t="shared" si="24"/>
        <v>-3.9265077417331706E-3</v>
      </c>
      <c r="AS28">
        <f t="shared" si="25"/>
        <v>0.19997940511722373</v>
      </c>
    </row>
    <row r="29" spans="1:45" ht="14.65" thickBot="1" x14ac:dyDescent="0.5">
      <c r="A29" s="10"/>
      <c r="B29" s="37"/>
      <c r="F29" s="7">
        <f t="shared" si="26"/>
        <v>28</v>
      </c>
      <c r="G29">
        <f t="shared" si="12"/>
        <v>1.550088377961665</v>
      </c>
      <c r="H29">
        <v>0.98543380030348637</v>
      </c>
      <c r="I29">
        <f t="shared" si="13"/>
        <v>3.5058981860418825</v>
      </c>
      <c r="J29">
        <f t="shared" si="27"/>
        <v>4.6893737818950801E-2</v>
      </c>
      <c r="K29">
        <f t="shared" si="28"/>
        <v>0.13533348536401787</v>
      </c>
      <c r="L29">
        <f t="shared" si="29"/>
        <v>1.3559905178940941</v>
      </c>
      <c r="M29">
        <f t="shared" si="0"/>
        <v>1.3549243888512468</v>
      </c>
      <c r="N29">
        <f t="shared" si="1"/>
        <v>8.2406260467870043E-2</v>
      </c>
      <c r="O29">
        <f t="shared" si="2"/>
        <v>3.427643509511076E-5</v>
      </c>
      <c r="P29">
        <f t="shared" si="3"/>
        <v>0.60369132048973673</v>
      </c>
      <c r="Q29">
        <f t="shared" si="14"/>
        <v>0.33015849996837554</v>
      </c>
      <c r="R29">
        <f t="shared" si="4"/>
        <v>0.9797094727655512</v>
      </c>
      <c r="S29">
        <f t="shared" si="5"/>
        <v>1.8998876136084373</v>
      </c>
      <c r="T29">
        <f t="shared" si="6"/>
        <v>5.4955971158508982E-4</v>
      </c>
      <c r="U29">
        <f t="shared" si="15"/>
        <v>1.656464461504803E-3</v>
      </c>
      <c r="V29">
        <f t="shared" si="30"/>
        <v>2.7438745122283969E-6</v>
      </c>
      <c r="W29">
        <f t="shared" ca="1" si="16"/>
        <v>-2.119873679155742E-2</v>
      </c>
      <c r="X29">
        <v>0</v>
      </c>
      <c r="Y29">
        <v>1.05</v>
      </c>
      <c r="Z29">
        <v>0.52344997752281708</v>
      </c>
      <c r="AA29">
        <f t="shared" si="17"/>
        <v>3.3178514987408607</v>
      </c>
      <c r="AB29">
        <f t="shared" si="18"/>
        <v>0.970873786407767</v>
      </c>
      <c r="AC29">
        <f t="shared" si="19"/>
        <v>-8.0986642779112827E-4</v>
      </c>
      <c r="AD29">
        <f t="shared" si="31"/>
        <v>6.5588363086316274E-7</v>
      </c>
      <c r="AE29">
        <f t="shared" si="8"/>
        <v>0.15681601115436458</v>
      </c>
      <c r="AF29">
        <f t="shared" si="9"/>
        <v>5.2344997752281713E-2</v>
      </c>
      <c r="AG29">
        <f t="shared" si="10"/>
        <v>4.3336193863920069E-2</v>
      </c>
      <c r="AH29">
        <f t="shared" si="20"/>
        <v>0.25249720277056636</v>
      </c>
      <c r="AI29">
        <f t="shared" si="21"/>
        <v>0.25772661160232557</v>
      </c>
      <c r="AJ29">
        <f t="shared" si="11"/>
        <v>0.17197181062823952</v>
      </c>
      <c r="AK29">
        <f t="shared" si="22"/>
        <v>0.64025515936556165</v>
      </c>
      <c r="AL29">
        <f t="shared" si="23"/>
        <v>0.49033437205293562</v>
      </c>
      <c r="AM29">
        <f t="shared" si="32"/>
        <v>-4.0681775039552726E-4</v>
      </c>
      <c r="AN29">
        <f t="shared" si="33"/>
        <v>-3.756975495332604E-4</v>
      </c>
      <c r="AO29">
        <f t="shared" si="34"/>
        <v>-7.1504145580219419E-4</v>
      </c>
      <c r="AP29">
        <f t="shared" si="35"/>
        <v>-5.4632172248725297E-4</v>
      </c>
      <c r="AQ29">
        <v>0.03</v>
      </c>
      <c r="AR29">
        <f t="shared" si="24"/>
        <v>-4.9819551958169006E-3</v>
      </c>
      <c r="AS29">
        <f t="shared" si="25"/>
        <v>0.20099683207492355</v>
      </c>
    </row>
    <row r="30" spans="1:45" ht="14.65" thickBot="1" x14ac:dyDescent="0.5">
      <c r="F30" s="7">
        <f t="shared" si="26"/>
        <v>29</v>
      </c>
      <c r="G30">
        <f t="shared" si="12"/>
        <v>1.550088377961665</v>
      </c>
      <c r="H30">
        <v>0.98656201128267118</v>
      </c>
      <c r="I30">
        <f t="shared" si="13"/>
        <v>3.500995743964225</v>
      </c>
      <c r="J30">
        <f t="shared" si="27"/>
        <v>4.6860218837551502E-2</v>
      </c>
      <c r="K30">
        <f t="shared" si="28"/>
        <v>0.13552470541486189</v>
      </c>
      <c r="L30">
        <f t="shared" si="29"/>
        <v>1.3559905178940941</v>
      </c>
      <c r="M30">
        <f t="shared" si="0"/>
        <v>1.3549744118897344</v>
      </c>
      <c r="N30">
        <f t="shared" si="1"/>
        <v>8.2471356207088092E-2</v>
      </c>
      <c r="O30">
        <f t="shared" si="2"/>
        <v>2.9115070868456314E-5</v>
      </c>
      <c r="P30">
        <f t="shared" si="3"/>
        <v>0.60323894684299306</v>
      </c>
      <c r="Q30">
        <f t="shared" si="14"/>
        <v>0.33004381106833142</v>
      </c>
      <c r="R30">
        <f t="shared" si="4"/>
        <v>0.97904204882078738</v>
      </c>
      <c r="S30">
        <f t="shared" si="5"/>
        <v>1.8991896325867001</v>
      </c>
      <c r="T30">
        <f t="shared" si="6"/>
        <v>5.0755122158541567E-4</v>
      </c>
      <c r="U30">
        <f t="shared" si="15"/>
        <v>1.6464253137987717E-3</v>
      </c>
      <c r="V30">
        <f t="shared" si="30"/>
        <v>2.7107163139173836E-6</v>
      </c>
      <c r="W30">
        <f t="shared" ca="1" si="16"/>
        <v>7.542709304620776E-2</v>
      </c>
      <c r="X30">
        <v>0</v>
      </c>
      <c r="Y30">
        <v>1.05</v>
      </c>
      <c r="Z30">
        <v>0.52353580378239695</v>
      </c>
      <c r="AA30">
        <f t="shared" si="17"/>
        <v>3.3167637586442247</v>
      </c>
      <c r="AB30">
        <f t="shared" si="18"/>
        <v>0.970873786407767</v>
      </c>
      <c r="AC30">
        <f t="shared" si="19"/>
        <v>-7.6362215515457521E-4</v>
      </c>
      <c r="AD30">
        <f t="shared" si="31"/>
        <v>5.8311879584291813E-7</v>
      </c>
      <c r="AE30">
        <f t="shared" si="8"/>
        <v>0.15670394607009466</v>
      </c>
      <c r="AF30">
        <f t="shared" si="9"/>
        <v>5.23535803782397E-2</v>
      </c>
      <c r="AG30">
        <f t="shared" si="10"/>
        <v>4.3309780061995949E-2</v>
      </c>
      <c r="AH30">
        <f t="shared" si="20"/>
        <v>0.25236730651033029</v>
      </c>
      <c r="AI30">
        <f t="shared" si="21"/>
        <v>0.25776962982774387</v>
      </c>
      <c r="AJ30">
        <f t="shared" si="11"/>
        <v>0.17230925159439262</v>
      </c>
      <c r="AK30">
        <f t="shared" si="22"/>
        <v>0.64023377242616941</v>
      </c>
      <c r="AL30">
        <f t="shared" si="23"/>
        <v>0.49015759807478465</v>
      </c>
      <c r="AM30">
        <f t="shared" si="32"/>
        <v>-3.6744766392393657E-4</v>
      </c>
      <c r="AN30">
        <f t="shared" si="33"/>
        <v>-3.6058220863000034E-4</v>
      </c>
      <c r="AO30">
        <f t="shared" si="34"/>
        <v>-6.8147895558836116E-4</v>
      </c>
      <c r="AP30">
        <f t="shared" si="35"/>
        <v>-5.1457870662119376E-4</v>
      </c>
      <c r="AQ30">
        <v>0.03</v>
      </c>
      <c r="AR30">
        <f t="shared" si="24"/>
        <v>-6.0132501163837476E-3</v>
      </c>
      <c r="AS30">
        <f t="shared" si="25"/>
        <v>0.20101348692078752</v>
      </c>
    </row>
    <row r="31" spans="1:45" ht="14.65" thickBot="1" x14ac:dyDescent="0.5">
      <c r="A31" s="3" t="s">
        <v>41</v>
      </c>
      <c r="B31" s="3">
        <v>-0.1</v>
      </c>
      <c r="F31" s="7">
        <f t="shared" si="26"/>
        <v>30</v>
      </c>
      <c r="G31">
        <f t="shared" si="12"/>
        <v>1.550088377961665</v>
      </c>
      <c r="H31">
        <v>0.98765300598816141</v>
      </c>
      <c r="I31">
        <f t="shared" si="13"/>
        <v>3.4964806196205176</v>
      </c>
      <c r="J31">
        <f t="shared" si="27"/>
        <v>4.6828295463348754E-2</v>
      </c>
      <c r="K31">
        <f t="shared" si="28"/>
        <v>0.13571715240994914</v>
      </c>
      <c r="L31">
        <f t="shared" si="29"/>
        <v>1.3559905178940941</v>
      </c>
      <c r="M31">
        <f t="shared" si="0"/>
        <v>1.3550252327806358</v>
      </c>
      <c r="N31">
        <f t="shared" si="1"/>
        <v>8.2529719593059533E-2</v>
      </c>
      <c r="O31">
        <f t="shared" si="2"/>
        <v>2.4534332411852922E-5</v>
      </c>
      <c r="P31">
        <f t="shared" si="3"/>
        <v>0.60280952084954997</v>
      </c>
      <c r="Q31">
        <f t="shared" si="14"/>
        <v>0.32992908366875656</v>
      </c>
      <c r="R31">
        <f t="shared" si="4"/>
        <v>0.9784084393332948</v>
      </c>
      <c r="S31">
        <f t="shared" si="5"/>
        <v>1.8985636104193486</v>
      </c>
      <c r="T31">
        <f t="shared" si="6"/>
        <v>4.6683931504643505E-4</v>
      </c>
      <c r="U31">
        <f t="shared" si="15"/>
        <v>1.62275385100763E-3</v>
      </c>
      <c r="V31">
        <f t="shared" si="30"/>
        <v>2.6333300609600937E-6</v>
      </c>
      <c r="W31">
        <f t="shared" ca="1" si="16"/>
        <v>-9.0739778531434556E-3</v>
      </c>
      <c r="X31">
        <v>0</v>
      </c>
      <c r="Y31">
        <v>1.05</v>
      </c>
      <c r="Z31">
        <v>0.52363070748792928</v>
      </c>
      <c r="AA31">
        <f t="shared" si="17"/>
        <v>3.3155615959690352</v>
      </c>
      <c r="AB31">
        <f t="shared" si="18"/>
        <v>0.970873786407767</v>
      </c>
      <c r="AC31">
        <f t="shared" si="19"/>
        <v>-7.1847163666260982E-4</v>
      </c>
      <c r="AD31">
        <f t="shared" si="31"/>
        <v>5.1620149268864926E-7</v>
      </c>
      <c r="AE31">
        <f t="shared" si="8"/>
        <v>0.15659783806812544</v>
      </c>
      <c r="AF31">
        <f t="shared" si="9"/>
        <v>5.2363070748792928E-2</v>
      </c>
      <c r="AG31">
        <f t="shared" si="10"/>
        <v>4.3284534764977255E-2</v>
      </c>
      <c r="AH31">
        <f t="shared" si="20"/>
        <v>0.2522454435818956</v>
      </c>
      <c r="AI31">
        <f t="shared" si="21"/>
        <v>0.2578120071754289</v>
      </c>
      <c r="AJ31">
        <f t="shared" si="11"/>
        <v>0.17262579228983108</v>
      </c>
      <c r="AK31">
        <f t="shared" si="22"/>
        <v>0.64021458430932598</v>
      </c>
      <c r="AL31">
        <f t="shared" si="23"/>
        <v>0.48998791794490565</v>
      </c>
      <c r="AM31">
        <f t="shared" si="32"/>
        <v>-3.2968027829316515E-4</v>
      </c>
      <c r="AN31">
        <f t="shared" si="33"/>
        <v>-3.4623457190963158E-4</v>
      </c>
      <c r="AO31">
        <f t="shared" si="34"/>
        <v>-6.4738241243497349E-4</v>
      </c>
      <c r="AP31">
        <f t="shared" si="35"/>
        <v>-4.8299584495836712E-4</v>
      </c>
      <c r="AQ31">
        <v>0.03</v>
      </c>
      <c r="AR31">
        <f t="shared" si="24"/>
        <v>-7.0151977334395321E-3</v>
      </c>
      <c r="AS31">
        <f t="shared" si="25"/>
        <v>0.20002869379497162</v>
      </c>
    </row>
    <row r="32" spans="1:45" ht="14.65" thickBot="1" x14ac:dyDescent="0.5">
      <c r="A32" s="38" t="s">
        <v>31</v>
      </c>
      <c r="B32" s="39"/>
      <c r="C32" s="39"/>
      <c r="F32" s="7">
        <f t="shared" si="26"/>
        <v>31</v>
      </c>
      <c r="G32">
        <f t="shared" si="12"/>
        <v>1.550088377961665</v>
      </c>
      <c r="H32">
        <v>0.98871597955975343</v>
      </c>
      <c r="I32">
        <f t="shared" si="13"/>
        <v>3.4923385472456459</v>
      </c>
      <c r="J32">
        <f t="shared" si="27"/>
        <v>4.6797989459306959E-2</v>
      </c>
      <c r="K32">
        <f t="shared" si="28"/>
        <v>0.13591378890674832</v>
      </c>
      <c r="L32">
        <f t="shared" si="29"/>
        <v>1.3559905178940941</v>
      </c>
      <c r="M32">
        <f t="shared" si="0"/>
        <v>1.3550762365034146</v>
      </c>
      <c r="N32">
        <f t="shared" si="1"/>
        <v>8.258167982026407E-2</v>
      </c>
      <c r="O32">
        <f t="shared" si="2"/>
        <v>2.0454106066479253E-5</v>
      </c>
      <c r="P32">
        <f t="shared" si="3"/>
        <v>0.60240307440338092</v>
      </c>
      <c r="Q32">
        <f t="shared" si="14"/>
        <v>0.32981491555188647</v>
      </c>
      <c r="R32">
        <f t="shared" si="4"/>
        <v>0.97780869791028358</v>
      </c>
      <c r="S32">
        <f t="shared" si="5"/>
        <v>1.8980059458431382</v>
      </c>
      <c r="T32">
        <f t="shared" si="6"/>
        <v>4.2706257339821891E-4</v>
      </c>
      <c r="U32">
        <f t="shared" si="15"/>
        <v>1.6039897896924504E-3</v>
      </c>
      <c r="V32">
        <f t="shared" si="30"/>
        <v>2.5727832454376313E-6</v>
      </c>
      <c r="W32">
        <f t="shared" ca="1" si="16"/>
        <v>-4.1555084395239195E-2</v>
      </c>
      <c r="X32">
        <v>0</v>
      </c>
      <c r="Y32">
        <v>1.05</v>
      </c>
      <c r="Z32">
        <v>0.52373337619841143</v>
      </c>
      <c r="AA32">
        <f t="shared" si="17"/>
        <v>3.3142618083904631</v>
      </c>
      <c r="AB32">
        <f t="shared" si="18"/>
        <v>0.970873786407767</v>
      </c>
      <c r="AC32">
        <f t="shared" si="19"/>
        <v>-6.7417127901547858E-4</v>
      </c>
      <c r="AD32">
        <f t="shared" si="31"/>
        <v>4.5450691344936626E-7</v>
      </c>
      <c r="AE32">
        <f t="shared" si="8"/>
        <v>0.15649766768630827</v>
      </c>
      <c r="AF32">
        <f t="shared" si="9"/>
        <v>5.2373337619841143E-2</v>
      </c>
      <c r="AG32">
        <f t="shared" si="10"/>
        <v>4.3260477559890917E-2</v>
      </c>
      <c r="AH32">
        <f t="shared" si="20"/>
        <v>0.25213148286604031</v>
      </c>
      <c r="AI32">
        <f t="shared" si="21"/>
        <v>0.25785358977157924</v>
      </c>
      <c r="AJ32">
        <f t="shared" si="11"/>
        <v>0.17292374208432676</v>
      </c>
      <c r="AK32">
        <f t="shared" si="22"/>
        <v>0.64019748656671216</v>
      </c>
      <c r="AL32">
        <f t="shared" si="23"/>
        <v>0.48982672800204036</v>
      </c>
      <c r="AM32">
        <f t="shared" si="32"/>
        <v>-2.9377287678100661E-4</v>
      </c>
      <c r="AN32">
        <f t="shared" si="33"/>
        <v>-3.2902130007173014E-4</v>
      </c>
      <c r="AO32">
        <f t="shared" si="34"/>
        <v>-6.1316449016158431E-4</v>
      </c>
      <c r="AP32">
        <f t="shared" si="35"/>
        <v>-4.5188711782317981E-4</v>
      </c>
      <c r="AQ32">
        <v>0.03</v>
      </c>
      <c r="AR32">
        <f t="shared" si="24"/>
        <v>-7.9895265510869784E-3</v>
      </c>
      <c r="AS32">
        <f t="shared" si="25"/>
        <v>0.1980400280577338</v>
      </c>
    </row>
    <row r="33" spans="1:45" ht="14.65" thickBot="1" x14ac:dyDescent="0.5">
      <c r="F33" s="7">
        <f t="shared" si="26"/>
        <v>32</v>
      </c>
      <c r="G33">
        <f t="shared" si="12"/>
        <v>1.550088377961665</v>
      </c>
      <c r="H33">
        <v>0.98974950564817232</v>
      </c>
      <c r="I33">
        <f t="shared" si="13"/>
        <v>3.4885587942625684</v>
      </c>
      <c r="J33">
        <f t="shared" si="27"/>
        <v>4.6769303389497981E-2</v>
      </c>
      <c r="K33">
        <f t="shared" si="28"/>
        <v>0.13611372223450466</v>
      </c>
      <c r="L33">
        <f t="shared" si="29"/>
        <v>1.3559905178940941</v>
      </c>
      <c r="M33">
        <f t="shared" si="0"/>
        <v>1.3551275873490376</v>
      </c>
      <c r="N33">
        <f t="shared" si="1"/>
        <v>8.262749121939246E-2</v>
      </c>
      <c r="O33">
        <f t="shared" si="2"/>
        <v>1.6848648952759679E-5</v>
      </c>
      <c r="P33">
        <f t="shared" si="3"/>
        <v>0.60201971478067051</v>
      </c>
      <c r="Q33">
        <f t="shared" si="14"/>
        <v>0.32970182885826227</v>
      </c>
      <c r="R33">
        <f t="shared" si="4"/>
        <v>0.97724298906978513</v>
      </c>
      <c r="S33">
        <f t="shared" si="5"/>
        <v>1.8975137530500756</v>
      </c>
      <c r="T33">
        <f t="shared" si="6"/>
        <v>3.8829879194649572E-4</v>
      </c>
      <c r="U33">
        <f t="shared" si="15"/>
        <v>1.5797429322682577E-3</v>
      </c>
      <c r="V33">
        <f t="shared" si="30"/>
        <v>2.495587732051513E-6</v>
      </c>
      <c r="W33">
        <f t="shared" ca="1" si="16"/>
        <v>-0.10991796313447572</v>
      </c>
      <c r="X33">
        <v>0</v>
      </c>
      <c r="Y33">
        <v>1.05</v>
      </c>
      <c r="Z33">
        <v>0.52384258929430128</v>
      </c>
      <c r="AA33">
        <f t="shared" si="17"/>
        <v>3.3128800075653273</v>
      </c>
      <c r="AB33">
        <f t="shared" si="18"/>
        <v>0.970873786407767</v>
      </c>
      <c r="AC33">
        <f t="shared" si="19"/>
        <v>-6.3120019792073379E-4</v>
      </c>
      <c r="AD33">
        <f t="shared" si="31"/>
        <v>3.9841368985517348E-7</v>
      </c>
      <c r="AE33">
        <f t="shared" si="8"/>
        <v>0.15640343866607875</v>
      </c>
      <c r="AF33">
        <f t="shared" si="9"/>
        <v>5.2384258929430133E-2</v>
      </c>
      <c r="AG33">
        <f t="shared" si="10"/>
        <v>4.3237629171189708E-2</v>
      </c>
      <c r="AH33">
        <f t="shared" si="20"/>
        <v>0.25202532676669859</v>
      </c>
      <c r="AI33">
        <f t="shared" si="21"/>
        <v>0.25789422854452571</v>
      </c>
      <c r="AJ33">
        <f t="shared" si="11"/>
        <v>0.17320339114615993</v>
      </c>
      <c r="AK33">
        <f t="shared" si="22"/>
        <v>0.64018239236468932</v>
      </c>
      <c r="AL33">
        <f t="shared" si="23"/>
        <v>0.48967427739585367</v>
      </c>
      <c r="AM33">
        <f t="shared" si="32"/>
        <v>-2.5935462591064606E-4</v>
      </c>
      <c r="AN33">
        <f t="shared" si="33"/>
        <v>-3.1128218670029018E-4</v>
      </c>
      <c r="AO33">
        <f t="shared" si="34"/>
        <v>-5.7871498749048275E-4</v>
      </c>
      <c r="AP33">
        <f t="shared" si="35"/>
        <v>-4.211233444924023E-4</v>
      </c>
      <c r="AQ33">
        <v>0.03</v>
      </c>
      <c r="AR33">
        <f t="shared" si="24"/>
        <v>-8.9340677463347895E-3</v>
      </c>
      <c r="AS33">
        <f t="shared" si="25"/>
        <v>0.19504716115313103</v>
      </c>
    </row>
    <row r="34" spans="1:45" ht="14.65" thickBot="1" x14ac:dyDescent="0.5">
      <c r="F34" s="7">
        <f t="shared" si="26"/>
        <v>33</v>
      </c>
      <c r="G34">
        <f t="shared" si="12"/>
        <v>1.550088377961665</v>
      </c>
      <c r="H34">
        <v>0.99075983786363142</v>
      </c>
      <c r="I34">
        <f t="shared" si="13"/>
        <v>3.48513016472657</v>
      </c>
      <c r="J34">
        <f t="shared" si="27"/>
        <v>4.6742245122939376E-2</v>
      </c>
      <c r="K34">
        <f t="shared" si="28"/>
        <v>0.13631886688237868</v>
      </c>
      <c r="L34">
        <f t="shared" si="29"/>
        <v>1.3559905178940941</v>
      </c>
      <c r="M34">
        <f t="shared" ref="M34:M50" si="36">G34* 0.05*J34^(rhoc-1)*P34</f>
        <v>1.3551792251144577</v>
      </c>
      <c r="N34">
        <f t="shared" ref="N34:N50" si="37">G34*(0.35*I34^(rhoc-1))*P34</f>
        <v>8.2667422600595009E-2</v>
      </c>
      <c r="O34">
        <f t="shared" ref="O34:O50" si="38">(Phi/2)*((K34-Delta*I34)/I34)^2*I34</f>
        <v>1.3665906773674782E-5</v>
      </c>
      <c r="P34">
        <f t="shared" ref="P34:P50" si="39">(0.35* I34^rhoc + 0.6* Q34^rhoc+ 0.05*J34^rhoc)^(1/rhoc-1)</f>
        <v>0.60165952476359086</v>
      </c>
      <c r="Q34">
        <f t="shared" si="14"/>
        <v>0.32959034795288072</v>
      </c>
      <c r="R34">
        <f t="shared" ref="R34:R50" si="40">G34*(0.35* I34^rhoc + 0.6*Q34^rhoc+0.05*J34^rhoc)^(1/rhoc)</f>
        <v>0.97671144087230255</v>
      </c>
      <c r="S34">
        <f t="shared" ref="S34:S50" si="41">G34*0.6*Q34^(rhoc-1)*P34</f>
        <v>1.8970840532330897</v>
      </c>
      <c r="T34">
        <f t="shared" ref="T34:T50" si="42">(Phi/2)*((K34-Delta*I34)/I34)^2 - Phi *((K34-Delta*I34)/I34)* (K34/I34)</f>
        <v>3.5030828640391932E-4</v>
      </c>
      <c r="U34">
        <f t="shared" si="15"/>
        <v>1.5577227723985176E-3</v>
      </c>
      <c r="V34">
        <f t="shared" si="30"/>
        <v>2.4265002356489239E-6</v>
      </c>
      <c r="W34">
        <f t="shared" ca="1" si="16"/>
        <v>-2.016468070428161E-2</v>
      </c>
      <c r="X34">
        <v>0</v>
      </c>
      <c r="Y34">
        <v>1.05</v>
      </c>
      <c r="Z34">
        <v>0.5239572399102973</v>
      </c>
      <c r="AA34">
        <f t="shared" ref="AA34:AA50" si="43">Z34^(-sigma_c) /(1+tauc)</f>
        <v>3.3114303389711592</v>
      </c>
      <c r="AB34">
        <f t="shared" si="18"/>
        <v>0.970873786407767</v>
      </c>
      <c r="AC34">
        <f t="shared" si="19"/>
        <v>-5.9027458489113727E-4</v>
      </c>
      <c r="AD34">
        <f t="shared" si="31"/>
        <v>3.4842408556840441E-7</v>
      </c>
      <c r="AE34">
        <f t="shared" si="8"/>
        <v>0.15631514830023882</v>
      </c>
      <c r="AF34">
        <f t="shared" ref="AF34:AF50" si="44">tauc*Z34</f>
        <v>5.2395723991029736E-2</v>
      </c>
      <c r="AG34">
        <f t="shared" ref="AG34:AG50" si="45">tauk*I34*N34</f>
        <v>4.3216009221829901E-2</v>
      </c>
      <c r="AH34">
        <f t="shared" si="20"/>
        <v>0.25192688151309844</v>
      </c>
      <c r="AI34">
        <f t="shared" si="21"/>
        <v>0.25793378778086407</v>
      </c>
      <c r="AJ34">
        <f t="shared" ref="AJ34:AJ50" si="46">(N34-Delta)*(1+tauk) *H34*I34/R34</f>
        <v>0.17346640226119667</v>
      </c>
      <c r="AK34">
        <f t="shared" si="22"/>
        <v>0.64016921174030073</v>
      </c>
      <c r="AL34">
        <f t="shared" si="23"/>
        <v>0.48953161685087337</v>
      </c>
      <c r="AM34">
        <f t="shared" si="32"/>
        <v>-2.2647976979861539E-4</v>
      </c>
      <c r="AN34">
        <f t="shared" si="33"/>
        <v>-2.9138008018103623E-4</v>
      </c>
      <c r="AO34">
        <f t="shared" si="34"/>
        <v>-5.4407431662631053E-4</v>
      </c>
      <c r="AP34">
        <f t="shared" si="35"/>
        <v>-3.9069282060855137E-4</v>
      </c>
      <c r="AQ34">
        <v>0.03</v>
      </c>
      <c r="AR34">
        <f t="shared" si="24"/>
        <v>-9.849602722897019E-3</v>
      </c>
      <c r="AS34">
        <f t="shared" si="25"/>
        <v>0.19104897326482795</v>
      </c>
    </row>
    <row r="35" spans="1:45" ht="14.65" thickBot="1" x14ac:dyDescent="0.5">
      <c r="F35" s="7">
        <f t="shared" si="26"/>
        <v>34</v>
      </c>
      <c r="G35">
        <f t="shared" si="12"/>
        <v>1.550088377961665</v>
      </c>
      <c r="H35">
        <v>0.99173678445859492</v>
      </c>
      <c r="I35">
        <f t="shared" ref="I35:I50" si="47">(1-Delta)*I34+K34</f>
        <v>3.4820438250198857</v>
      </c>
      <c r="J35">
        <f t="shared" si="27"/>
        <v>4.6716820784858393E-2</v>
      </c>
      <c r="K35">
        <f t="shared" ref="K35:K50" si="48">Delta*I34+ (H35-1)*(I34/Phi)</f>
        <v>0.13652536841496399</v>
      </c>
      <c r="L35">
        <f t="shared" si="29"/>
        <v>1.3559905178940941</v>
      </c>
      <c r="M35">
        <f t="shared" si="36"/>
        <v>1.3552311900250269</v>
      </c>
      <c r="N35">
        <f t="shared" si="37"/>
        <v>8.2701689198310946E-2</v>
      </c>
      <c r="O35">
        <f t="shared" si="38"/>
        <v>1.0909765021360359E-5</v>
      </c>
      <c r="P35">
        <f t="shared" si="39"/>
        <v>0.60132260733030951</v>
      </c>
      <c r="Q35">
        <f t="shared" si="14"/>
        <v>0.32948091557331821</v>
      </c>
      <c r="R35">
        <f t="shared" si="40"/>
        <v>0.97621421086107163</v>
      </c>
      <c r="S35">
        <f t="shared" si="41"/>
        <v>1.8967144453738967</v>
      </c>
      <c r="T35">
        <f t="shared" si="42"/>
        <v>3.1350670013608498E-4</v>
      </c>
      <c r="U35">
        <f t="shared" si="15"/>
        <v>1.5219506787755854E-3</v>
      </c>
      <c r="V35">
        <f t="shared" si="30"/>
        <v>2.3163338686254654E-6</v>
      </c>
      <c r="W35">
        <f t="shared" ref="W35:W50" ca="1" si="49">_xlfn.NORM.INV(RAND(),0,sigma)</f>
        <v>1.8041447055824614E-2</v>
      </c>
      <c r="X35">
        <v>0</v>
      </c>
      <c r="Y35">
        <v>1.05</v>
      </c>
      <c r="Z35">
        <v>0.52407620680358158</v>
      </c>
      <c r="AA35">
        <f t="shared" si="43"/>
        <v>3.3099271000885273</v>
      </c>
      <c r="AB35">
        <f t="shared" si="18"/>
        <v>0.970873786407767</v>
      </c>
      <c r="AC35">
        <f t="shared" si="19"/>
        <v>-5.5063601923155403E-4</v>
      </c>
      <c r="AD35">
        <f t="shared" si="31"/>
        <v>3.0320002567517234E-7</v>
      </c>
      <c r="AE35">
        <f t="shared" si="8"/>
        <v>0.15623280301073247</v>
      </c>
      <c r="AF35">
        <f t="shared" si="44"/>
        <v>5.2407620680358161E-2</v>
      </c>
      <c r="AG35">
        <f t="shared" si="45"/>
        <v>4.3195635928753862E-2</v>
      </c>
      <c r="AH35">
        <f t="shared" si="20"/>
        <v>0.25183605961984451</v>
      </c>
      <c r="AI35">
        <f t="shared" si="21"/>
        <v>0.25797213031524302</v>
      </c>
      <c r="AJ35">
        <f t="shared" si="46"/>
        <v>0.17371144179538764</v>
      </c>
      <c r="AK35">
        <f t="shared" si="22"/>
        <v>0.64015787220686748</v>
      </c>
      <c r="AL35">
        <f t="shared" si="23"/>
        <v>0.48939801792196647</v>
      </c>
      <c r="AM35">
        <f t="shared" si="32"/>
        <v>-1.9484844042094718E-4</v>
      </c>
      <c r="AN35">
        <f t="shared" si="33"/>
        <v>-2.7294899447460885E-4</v>
      </c>
      <c r="AO35">
        <f t="shared" si="34"/>
        <v>-5.0921551625267639E-4</v>
      </c>
      <c r="AP35">
        <f t="shared" si="35"/>
        <v>-3.6057393993171871E-4</v>
      </c>
      <c r="AQ35">
        <v>0.03</v>
      </c>
      <c r="AR35">
        <f t="shared" si="24"/>
        <v>-1.0731096153885955E-2</v>
      </c>
      <c r="AS35">
        <f t="shared" si="25"/>
        <v>0.18604934630888684</v>
      </c>
    </row>
    <row r="36" spans="1:45" ht="14.65" thickBot="1" x14ac:dyDescent="0.5">
      <c r="A36" s="3" t="s">
        <v>33</v>
      </c>
      <c r="B36" s="3">
        <v>2</v>
      </c>
      <c r="F36" s="7">
        <f t="shared" si="26"/>
        <v>35</v>
      </c>
      <c r="G36">
        <f t="shared" si="12"/>
        <v>1.550088377961665</v>
      </c>
      <c r="H36">
        <v>0.99268611943311336</v>
      </c>
      <c r="I36">
        <f t="shared" si="47"/>
        <v>3.4792874404340544</v>
      </c>
      <c r="J36">
        <f t="shared" ref="J36:J50" si="50">(L35/(G35*0.05*P35))^(1/(rhoc-1))</f>
        <v>4.669303791066292E-2</v>
      </c>
      <c r="K36">
        <f t="shared" si="48"/>
        <v>0.13673502773430937</v>
      </c>
      <c r="L36">
        <f t="shared" si="29"/>
        <v>1.3559905178940941</v>
      </c>
      <c r="M36">
        <f t="shared" si="36"/>
        <v>1.3552831925843085</v>
      </c>
      <c r="N36">
        <f t="shared" si="37"/>
        <v>8.2730585115845731E-2</v>
      </c>
      <c r="O36">
        <f t="shared" si="38"/>
        <v>8.5310363007586265E-6</v>
      </c>
      <c r="P36">
        <f t="shared" si="39"/>
        <v>0.60100893942931877</v>
      </c>
      <c r="Q36">
        <f t="shared" si="14"/>
        <v>0.32937403183175634</v>
      </c>
      <c r="R36">
        <f t="shared" si="40"/>
        <v>0.9757512702450013</v>
      </c>
      <c r="S36">
        <f t="shared" si="41"/>
        <v>1.8964017641187714</v>
      </c>
      <c r="T36">
        <f t="shared" si="42"/>
        <v>2.776594154577352E-4</v>
      </c>
      <c r="U36">
        <f t="shared" si="15"/>
        <v>1.488470481987747E-3</v>
      </c>
      <c r="V36">
        <f t="shared" si="30"/>
        <v>2.2155443757488359E-6</v>
      </c>
      <c r="W36">
        <f t="shared" ca="1" si="49"/>
        <v>-5.7431099199123287E-2</v>
      </c>
      <c r="X36">
        <v>0</v>
      </c>
      <c r="Y36">
        <v>1.05</v>
      </c>
      <c r="Z36">
        <v>0.52419838208770708</v>
      </c>
      <c r="AA36">
        <f t="shared" si="43"/>
        <v>3.3083843858344402</v>
      </c>
      <c r="AB36">
        <f t="shared" si="18"/>
        <v>0.970873786407767</v>
      </c>
      <c r="AC36">
        <f t="shared" si="19"/>
        <v>-5.1166317101092318E-4</v>
      </c>
      <c r="AD36">
        <f t="shared" si="31"/>
        <v>2.6179920056895323E-7</v>
      </c>
      <c r="AE36">
        <f t="shared" si="8"/>
        <v>0.15615637375516378</v>
      </c>
      <c r="AF36">
        <f t="shared" si="44"/>
        <v>5.2419838208770712E-2</v>
      </c>
      <c r="AG36">
        <f t="shared" si="45"/>
        <v>4.317652285999838E-2</v>
      </c>
      <c r="AH36">
        <f t="shared" si="20"/>
        <v>0.2517527348239329</v>
      </c>
      <c r="AI36">
        <f t="shared" si="21"/>
        <v>0.25800912845414009</v>
      </c>
      <c r="AJ36">
        <f t="shared" si="46"/>
        <v>0.17394013922350202</v>
      </c>
      <c r="AK36">
        <f t="shared" si="22"/>
        <v>0.64014827760748694</v>
      </c>
      <c r="AL36">
        <f t="shared" si="23"/>
        <v>0.48927441600128585</v>
      </c>
      <c r="AM36">
        <f t="shared" si="32"/>
        <v>-1.6486774386237357E-4</v>
      </c>
      <c r="AN36">
        <f t="shared" si="33"/>
        <v>-2.5259099378593941E-4</v>
      </c>
      <c r="AO36">
        <f t="shared" si="34"/>
        <v>-4.7433279863926328E-4</v>
      </c>
      <c r="AP36">
        <f t="shared" si="35"/>
        <v>-3.3092395061751212E-4</v>
      </c>
      <c r="AQ36">
        <v>0.03</v>
      </c>
      <c r="AR36">
        <f t="shared" si="24"/>
        <v>-1.1579393033912658E-2</v>
      </c>
      <c r="AS36">
        <f t="shared" si="25"/>
        <v>0.18005143366424081</v>
      </c>
    </row>
    <row r="37" spans="1:45" ht="14.65" thickBot="1" x14ac:dyDescent="0.5">
      <c r="A37" s="3" t="s">
        <v>34</v>
      </c>
      <c r="B37" s="3">
        <f>0.5</f>
        <v>0.5</v>
      </c>
      <c r="F37" s="7">
        <f t="shared" si="26"/>
        <v>36</v>
      </c>
      <c r="G37">
        <f t="shared" si="12"/>
        <v>1.550088377961665</v>
      </c>
      <c r="H37">
        <v>0.99354679935883494</v>
      </c>
      <c r="I37">
        <f t="shared" si="47"/>
        <v>3.4768509705510016</v>
      </c>
      <c r="J37">
        <f t="shared" si="50"/>
        <v>4.6670895123254105E-2</v>
      </c>
      <c r="K37">
        <f t="shared" si="48"/>
        <v>0.13692624362322151</v>
      </c>
      <c r="L37">
        <f t="shared" si="29"/>
        <v>1.3559905178940941</v>
      </c>
      <c r="M37">
        <f t="shared" si="36"/>
        <v>1.3553352663343348</v>
      </c>
      <c r="N37">
        <f t="shared" si="37"/>
        <v>8.2754351405149626E-2</v>
      </c>
      <c r="O37">
        <f t="shared" si="38"/>
        <v>6.6339113398020723E-6</v>
      </c>
      <c r="P37">
        <f t="shared" si="39"/>
        <v>0.60071851553638322</v>
      </c>
      <c r="Q37">
        <f t="shared" si="14"/>
        <v>0.32927012026571645</v>
      </c>
      <c r="R37">
        <f t="shared" si="40"/>
        <v>0.97532261574060719</v>
      </c>
      <c r="S37">
        <f t="shared" si="41"/>
        <v>1.8961433796802467</v>
      </c>
      <c r="T37">
        <f t="shared" si="42"/>
        <v>2.4518858455774414E-4</v>
      </c>
      <c r="U37">
        <f t="shared" si="15"/>
        <v>1.3924606584408972E-3</v>
      </c>
      <c r="V37">
        <f t="shared" si="30"/>
        <v>1.9389466853056569E-6</v>
      </c>
      <c r="W37">
        <f t="shared" ca="1" si="49"/>
        <v>-5.2235815692394175E-2</v>
      </c>
      <c r="X37">
        <v>0</v>
      </c>
      <c r="Y37">
        <v>1.05</v>
      </c>
      <c r="Z37">
        <v>0.52432267627180529</v>
      </c>
      <c r="AA37">
        <f t="shared" si="43"/>
        <v>3.3068160226255068</v>
      </c>
      <c r="AB37">
        <f t="shared" si="18"/>
        <v>0.970873786407767</v>
      </c>
      <c r="AC37">
        <f t="shared" si="19"/>
        <v>-4.729444618796208E-4</v>
      </c>
      <c r="AD37">
        <f t="shared" si="31"/>
        <v>2.2367646402260409E-7</v>
      </c>
      <c r="AE37">
        <f t="shared" si="8"/>
        <v>0.15608583966708922</v>
      </c>
      <c r="AF37">
        <f t="shared" si="44"/>
        <v>5.2432267627180534E-2</v>
      </c>
      <c r="AG37">
        <f t="shared" si="45"/>
        <v>4.3158682050046963E-2</v>
      </c>
      <c r="AH37">
        <f t="shared" si="20"/>
        <v>0.2516767893443167</v>
      </c>
      <c r="AI37">
        <f t="shared" si="21"/>
        <v>0.25804465648856811</v>
      </c>
      <c r="AJ37">
        <f t="shared" si="46"/>
        <v>0.17414229853385954</v>
      </c>
      <c r="AK37">
        <f t="shared" si="22"/>
        <v>0.64014034801629649</v>
      </c>
      <c r="AL37">
        <f t="shared" si="23"/>
        <v>0.48915466266264718</v>
      </c>
      <c r="AM37">
        <f t="shared" si="32"/>
        <v>-1.3625912369008564E-4</v>
      </c>
      <c r="AN37">
        <f t="shared" si="33"/>
        <v>-2.4478695870355782E-4</v>
      </c>
      <c r="AO37">
        <f t="shared" si="34"/>
        <v>-4.3940366827724051E-4</v>
      </c>
      <c r="AP37">
        <f t="shared" si="35"/>
        <v>-3.0171246041943434E-4</v>
      </c>
      <c r="AQ37">
        <v>0.03</v>
      </c>
      <c r="AR37">
        <f t="shared" si="24"/>
        <v>-1.2371923671847321E-2</v>
      </c>
      <c r="AS37">
        <f t="shared" si="25"/>
        <v>0.17308105300232074</v>
      </c>
    </row>
    <row r="38" spans="1:45" ht="14.65" thickBot="1" x14ac:dyDescent="0.5">
      <c r="F38" s="7">
        <f t="shared" si="26"/>
        <v>37</v>
      </c>
      <c r="G38">
        <f t="shared" si="12"/>
        <v>1.550088377961665</v>
      </c>
      <c r="H38">
        <v>0.99441732449055686</v>
      </c>
      <c r="I38">
        <f t="shared" si="47"/>
        <v>3.4747031753521829</v>
      </c>
      <c r="J38">
        <f t="shared" si="50"/>
        <v>4.6650392265580494E-2</v>
      </c>
      <c r="K38">
        <f t="shared" si="48"/>
        <v>0.13713302574571218</v>
      </c>
      <c r="L38">
        <f t="shared" si="29"/>
        <v>1.3559905178940941</v>
      </c>
      <c r="M38">
        <f t="shared" si="36"/>
        <v>1.3553848121545966</v>
      </c>
      <c r="N38">
        <f t="shared" si="37"/>
        <v>8.2773630206768603E-2</v>
      </c>
      <c r="O38">
        <f t="shared" si="38"/>
        <v>4.9520786988924517E-6</v>
      </c>
      <c r="P38">
        <f t="shared" si="39"/>
        <v>0.60045018132026495</v>
      </c>
      <c r="Q38">
        <f t="shared" si="14"/>
        <v>0.32916963764255591</v>
      </c>
      <c r="R38">
        <f t="shared" si="40"/>
        <v>0.97492654800525069</v>
      </c>
      <c r="S38">
        <f t="shared" si="41"/>
        <v>1.8959328193271348</v>
      </c>
      <c r="T38">
        <f t="shared" si="42"/>
        <v>2.1212989756354094E-4</v>
      </c>
      <c r="U38">
        <f t="shared" si="15"/>
        <v>1.3911494655576284E-3</v>
      </c>
      <c r="V38">
        <f t="shared" si="30"/>
        <v>1.9352968355212751E-6</v>
      </c>
      <c r="W38">
        <f t="shared" ca="1" si="49"/>
        <v>-1.9758577258526717E-2</v>
      </c>
      <c r="X38">
        <v>0</v>
      </c>
      <c r="Y38">
        <v>1.05</v>
      </c>
      <c r="Z38">
        <v>0.5244480336136792</v>
      </c>
      <c r="AA38">
        <f t="shared" si="43"/>
        <v>3.3052353736472013</v>
      </c>
      <c r="AB38">
        <f t="shared" si="18"/>
        <v>0.970873786407767</v>
      </c>
      <c r="AC38">
        <f t="shared" si="19"/>
        <v>-4.3316856606345766E-4</v>
      </c>
      <c r="AD38">
        <f t="shared" si="31"/>
        <v>1.8763500662547207E-7</v>
      </c>
      <c r="AE38">
        <f t="shared" si="8"/>
        <v>0.15602087978313559</v>
      </c>
      <c r="AF38">
        <f t="shared" si="44"/>
        <v>5.244480336136792E-2</v>
      </c>
      <c r="AG38">
        <f t="shared" si="45"/>
        <v>4.3142069357232936E-2</v>
      </c>
      <c r="AH38">
        <f t="shared" si="20"/>
        <v>0.25160775250173645</v>
      </c>
      <c r="AI38">
        <f t="shared" si="21"/>
        <v>0.25807867579002614</v>
      </c>
      <c r="AJ38">
        <f t="shared" si="46"/>
        <v>0.17433654990813033</v>
      </c>
      <c r="AK38">
        <f t="shared" si="22"/>
        <v>0.64013388537777427</v>
      </c>
      <c r="AL38">
        <f t="shared" si="23"/>
        <v>0.4890489205474165</v>
      </c>
      <c r="AM38">
        <f t="shared" si="32"/>
        <v>-1.1105280710521637E-4</v>
      </c>
      <c r="AN38">
        <f t="shared" si="33"/>
        <v>-2.1619654120585974E-4</v>
      </c>
      <c r="AO38">
        <f t="shared" si="34"/>
        <v>-4.0617142482541127E-4</v>
      </c>
      <c r="AP38">
        <f t="shared" si="35"/>
        <v>-2.7434517563373895E-4</v>
      </c>
      <c r="AQ38">
        <v>0.03</v>
      </c>
      <c r="AR38">
        <f t="shared" si="24"/>
        <v>-1.3143690800033289E-2</v>
      </c>
      <c r="AS38">
        <f t="shared" si="25"/>
        <v>0.16512979379235709</v>
      </c>
    </row>
    <row r="39" spans="1:45" ht="14.65" thickBot="1" x14ac:dyDescent="0.5">
      <c r="A39" s="3" t="s">
        <v>35</v>
      </c>
      <c r="B39" s="3">
        <f xml:space="preserve"> (ybar -0.05*$B$50- Delta*kbar -tauw * mpl *lbar - tauk * kbar * mpk)/(1+tauc)</f>
        <v>0.5295951735625205</v>
      </c>
      <c r="F39" s="7">
        <f t="shared" si="26"/>
        <v>38</v>
      </c>
      <c r="G39">
        <f t="shared" si="12"/>
        <v>1.550088377961665</v>
      </c>
      <c r="H39">
        <v>0.99525752356937136</v>
      </c>
      <c r="I39">
        <f t="shared" si="47"/>
        <v>3.4728480740838075</v>
      </c>
      <c r="J39">
        <f t="shared" si="50"/>
        <v>4.6631448056843869E-2</v>
      </c>
      <c r="K39">
        <f t="shared" si="48"/>
        <v>0.13734025722283352</v>
      </c>
      <c r="L39">
        <f t="shared" si="29"/>
        <v>1.3559905178940941</v>
      </c>
      <c r="M39">
        <f t="shared" si="36"/>
        <v>1.3554350747216539</v>
      </c>
      <c r="N39">
        <f t="shared" si="37"/>
        <v>8.2788342676827179E-2</v>
      </c>
      <c r="O39">
        <f t="shared" si="38"/>
        <v>3.5654077144389079E-6</v>
      </c>
      <c r="P39">
        <f t="shared" si="39"/>
        <v>0.60020422388235983</v>
      </c>
      <c r="Q39">
        <f t="shared" si="14"/>
        <v>0.32907268441774201</v>
      </c>
      <c r="R39">
        <f t="shared" si="40"/>
        <v>0.97456349479690652</v>
      </c>
      <c r="S39">
        <f t="shared" si="41"/>
        <v>1.8957704107152418</v>
      </c>
      <c r="T39">
        <f t="shared" si="42"/>
        <v>1.8022697081507042E-4</v>
      </c>
      <c r="U39">
        <f t="shared" si="15"/>
        <v>1.3468375784572162E-3</v>
      </c>
      <c r="V39">
        <f t="shared" si="30"/>
        <v>1.8139714627444981E-6</v>
      </c>
      <c r="W39">
        <f t="shared" ca="1" si="49"/>
        <v>0.15369905802100647</v>
      </c>
      <c r="X39">
        <v>0</v>
      </c>
      <c r="Y39">
        <v>1.05</v>
      </c>
      <c r="Z39">
        <v>0.52457354414585033</v>
      </c>
      <c r="AA39">
        <f t="shared" si="43"/>
        <v>3.303653928195466</v>
      </c>
      <c r="AB39">
        <f t="shared" si="18"/>
        <v>0.970873786407767</v>
      </c>
      <c r="AC39">
        <f t="shared" si="19"/>
        <v>-3.9440322314732157E-4</v>
      </c>
      <c r="AD39">
        <f t="shared" si="31"/>
        <v>1.5555390242899594E-7</v>
      </c>
      <c r="AE39">
        <f t="shared" si="8"/>
        <v>0.15596156452344748</v>
      </c>
      <c r="AF39">
        <f t="shared" si="44"/>
        <v>5.2457354414585038E-2</v>
      </c>
      <c r="AG39">
        <f t="shared" si="45"/>
        <v>4.3126700463271432E-2</v>
      </c>
      <c r="AH39">
        <f t="shared" si="20"/>
        <v>0.25154561940130393</v>
      </c>
      <c r="AI39">
        <f t="shared" si="21"/>
        <v>0.25811106279301443</v>
      </c>
      <c r="AJ39">
        <f t="shared" si="46"/>
        <v>0.17451566644412719</v>
      </c>
      <c r="AK39">
        <f t="shared" si="22"/>
        <v>0.64012890019423097</v>
      </c>
      <c r="AL39">
        <f t="shared" si="23"/>
        <v>0.48895310985915713</v>
      </c>
      <c r="AM39">
        <f t="shared" si="32"/>
        <v>-8.5665254973221749E-5</v>
      </c>
      <c r="AN39">
        <f t="shared" si="33"/>
        <v>-1.9593147168828207E-4</v>
      </c>
      <c r="AO39">
        <f t="shared" si="34"/>
        <v>-3.7245967362769042E-4</v>
      </c>
      <c r="AP39">
        <f t="shared" si="35"/>
        <v>-2.4697479622703966E-4</v>
      </c>
      <c r="AQ39">
        <v>0.03</v>
      </c>
      <c r="AR39">
        <f t="shared" si="24"/>
        <v>-1.3878286241587517E-2</v>
      </c>
      <c r="AS39">
        <f t="shared" si="25"/>
        <v>0.15620540136454028</v>
      </c>
    </row>
    <row r="40" spans="1:45" ht="14.65" thickBot="1" x14ac:dyDescent="0.5">
      <c r="F40" s="7">
        <f t="shared" si="26"/>
        <v>39</v>
      </c>
      <c r="G40">
        <f t="shared" si="12"/>
        <v>1.550088377961665</v>
      </c>
      <c r="H40">
        <v>0.9960302009866544</v>
      </c>
      <c r="I40">
        <f t="shared" si="47"/>
        <v>3.4712744083432887</v>
      </c>
      <c r="J40">
        <f t="shared" si="50"/>
        <v>4.6614082957020311E-2</v>
      </c>
      <c r="K40">
        <f t="shared" si="48"/>
        <v>0.13753527207755262</v>
      </c>
      <c r="L40">
        <f t="shared" si="29"/>
        <v>1.3559905178940941</v>
      </c>
      <c r="M40">
        <f t="shared" si="36"/>
        <v>1.3554857631877477</v>
      </c>
      <c r="N40">
        <f t="shared" si="37"/>
        <v>8.2798795409938869E-2</v>
      </c>
      <c r="O40">
        <f t="shared" si="38"/>
        <v>2.4934325064689383E-6</v>
      </c>
      <c r="P40">
        <f t="shared" si="39"/>
        <v>0.59998080350974248</v>
      </c>
      <c r="Q40">
        <f t="shared" si="14"/>
        <v>0.32897985844504102</v>
      </c>
      <c r="R40">
        <f t="shared" si="40"/>
        <v>0.97423369640934709</v>
      </c>
      <c r="S40">
        <f t="shared" si="41"/>
        <v>1.8956529253691801</v>
      </c>
      <c r="T40">
        <f t="shared" si="42"/>
        <v>1.5089221085667264E-4</v>
      </c>
      <c r="U40">
        <f t="shared" si="15"/>
        <v>1.2639102508029687E-3</v>
      </c>
      <c r="V40">
        <f t="shared" si="30"/>
        <v>1.5974691220848233E-6</v>
      </c>
      <c r="W40">
        <f t="shared" ca="1" si="49"/>
        <v>-1.6471557822616247E-2</v>
      </c>
      <c r="X40">
        <v>0</v>
      </c>
      <c r="Y40">
        <v>1.05</v>
      </c>
      <c r="Z40">
        <v>0.52469822697736468</v>
      </c>
      <c r="AA40">
        <f t="shared" si="43"/>
        <v>3.3020840353906102</v>
      </c>
      <c r="AB40">
        <f t="shared" si="18"/>
        <v>0.970873786407767</v>
      </c>
      <c r="AC40">
        <f t="shared" si="19"/>
        <v>-3.5493074225367849E-4</v>
      </c>
      <c r="AD40">
        <f t="shared" si="31"/>
        <v>1.2597583179674715E-7</v>
      </c>
      <c r="AE40">
        <f t="shared" si="8"/>
        <v>0.15590790776222019</v>
      </c>
      <c r="AF40">
        <f t="shared" si="44"/>
        <v>5.2469822697736472E-2</v>
      </c>
      <c r="AG40">
        <f t="shared" si="45"/>
        <v>4.3112600932225881E-2</v>
      </c>
      <c r="AH40">
        <f t="shared" si="20"/>
        <v>0.25149033139218258</v>
      </c>
      <c r="AI40">
        <f t="shared" si="21"/>
        <v>0.2581416885076751</v>
      </c>
      <c r="AJ40">
        <f t="shared" si="46"/>
        <v>0.17467376968316661</v>
      </c>
      <c r="AK40">
        <f t="shared" si="22"/>
        <v>0.64012529370247462</v>
      </c>
      <c r="AL40">
        <f t="shared" si="23"/>
        <v>0.48886379674910263</v>
      </c>
      <c r="AM40">
        <f t="shared" si="32"/>
        <v>-6.1974269652931291E-5</v>
      </c>
      <c r="AN40">
        <f t="shared" si="33"/>
        <v>-1.8267859698328781E-4</v>
      </c>
      <c r="AO40">
        <f t="shared" si="34"/>
        <v>-3.3846353247635186E-4</v>
      </c>
      <c r="AP40">
        <f t="shared" si="35"/>
        <v>-2.1981732819198463E-4</v>
      </c>
      <c r="AQ40">
        <v>0.03</v>
      </c>
      <c r="AR40">
        <f t="shared" si="24"/>
        <v>-1.4561895855488269E-2</v>
      </c>
      <c r="AS40">
        <f t="shared" si="25"/>
        <v>0.14632966754998822</v>
      </c>
    </row>
    <row r="41" spans="1:45" ht="14.65" thickBot="1" x14ac:dyDescent="0.5">
      <c r="F41" s="7">
        <f t="shared" si="26"/>
        <v>40</v>
      </c>
      <c r="G41">
        <f t="shared" si="12"/>
        <v>1.550088377961665</v>
      </c>
      <c r="H41">
        <v>0.99673244767365032</v>
      </c>
      <c r="I41">
        <f t="shared" si="47"/>
        <v>3.4699587040871096</v>
      </c>
      <c r="J41">
        <f t="shared" si="50"/>
        <v>4.6598308459536185E-2</v>
      </c>
      <c r="K41">
        <f t="shared" si="48"/>
        <v>0.13771671925689355</v>
      </c>
      <c r="L41">
        <f t="shared" si="29"/>
        <v>1.3559905178940941</v>
      </c>
      <c r="M41">
        <f t="shared" si="36"/>
        <v>1.3555345294481622</v>
      </c>
      <c r="N41">
        <f t="shared" si="37"/>
        <v>8.2805475420928004E-2</v>
      </c>
      <c r="O41">
        <f t="shared" si="38"/>
        <v>1.6857853238928746E-6</v>
      </c>
      <c r="P41">
        <f t="shared" si="39"/>
        <v>0.59977904375510482</v>
      </c>
      <c r="Q41">
        <f t="shared" si="14"/>
        <v>0.32889149215586927</v>
      </c>
      <c r="R41">
        <f t="shared" si="40"/>
        <v>0.97393586240098473</v>
      </c>
      <c r="S41">
        <f t="shared" si="41"/>
        <v>1.895575534656351</v>
      </c>
      <c r="T41">
        <f t="shared" si="42"/>
        <v>1.2419910842305539E-4</v>
      </c>
      <c r="U41">
        <f t="shared" si="15"/>
        <v>1.1771822813746446E-3</v>
      </c>
      <c r="V41">
        <f t="shared" si="30"/>
        <v>1.385758123582413E-6</v>
      </c>
      <c r="W41">
        <f t="shared" ca="1" si="49"/>
        <v>-4.4203867801246742E-3</v>
      </c>
      <c r="X41">
        <v>0</v>
      </c>
      <c r="Y41">
        <v>1.05</v>
      </c>
      <c r="Z41">
        <v>0.52482146812645425</v>
      </c>
      <c r="AA41">
        <f t="shared" si="43"/>
        <v>3.300533394365734</v>
      </c>
      <c r="AB41">
        <f t="shared" si="18"/>
        <v>0.970873786407767</v>
      </c>
      <c r="AC41">
        <f t="shared" si="19"/>
        <v>-3.180548811512196E-4</v>
      </c>
      <c r="AD41">
        <f t="shared" si="31"/>
        <v>1.0115890742411643E-7</v>
      </c>
      <c r="AE41">
        <f t="shared" si="8"/>
        <v>0.15585966652182173</v>
      </c>
      <c r="AF41">
        <f t="shared" si="44"/>
        <v>5.248214681264543E-2</v>
      </c>
      <c r="AG41">
        <f t="shared" si="45"/>
        <v>4.3099737027438051E-2</v>
      </c>
      <c r="AH41">
        <f t="shared" si="20"/>
        <v>0.25144155036190519</v>
      </c>
      <c r="AI41">
        <f t="shared" si="21"/>
        <v>0.25817054291649316</v>
      </c>
      <c r="AJ41">
        <f t="shared" si="46"/>
        <v>0.17481138365583204</v>
      </c>
      <c r="AK41">
        <f t="shared" si="22"/>
        <v>0.6401229178997081</v>
      </c>
      <c r="AL41">
        <f t="shared" si="23"/>
        <v>0.48878051611021611</v>
      </c>
      <c r="AM41">
        <f t="shared" si="32"/>
        <v>-4.0826193227760932E-5</v>
      </c>
      <c r="AN41">
        <f t="shared" si="33"/>
        <v>-1.7037001697350895E-4</v>
      </c>
      <c r="AO41">
        <f t="shared" si="34"/>
        <v>-3.0575779129261849E-4</v>
      </c>
      <c r="AP41">
        <f t="shared" si="35"/>
        <v>-1.9398662999958738E-4</v>
      </c>
      <c r="AQ41">
        <v>0.03</v>
      </c>
      <c r="AR41">
        <f t="shared" si="24"/>
        <v>-1.5194089541042566E-2</v>
      </c>
      <c r="AS41">
        <f t="shared" si="25"/>
        <v>0.1355254680354453</v>
      </c>
    </row>
    <row r="42" spans="1:45" ht="14.65" thickBot="1" x14ac:dyDescent="0.5">
      <c r="A42" s="3" t="s">
        <v>36</v>
      </c>
      <c r="B42" s="3">
        <v>0.1</v>
      </c>
      <c r="F42" s="7">
        <f t="shared" si="26"/>
        <v>41</v>
      </c>
      <c r="G42">
        <f t="shared" si="12"/>
        <v>1.550088377961665</v>
      </c>
      <c r="H42">
        <v>0.99735960719985517</v>
      </c>
      <c r="I42">
        <f t="shared" si="47"/>
        <v>3.4688770751805187</v>
      </c>
      <c r="J42">
        <f t="shared" si="50"/>
        <v>4.658406284162895E-2</v>
      </c>
      <c r="K42">
        <f t="shared" si="48"/>
        <v>0.13788214276557723</v>
      </c>
      <c r="L42">
        <f t="shared" si="29"/>
        <v>1.3559905178940941</v>
      </c>
      <c r="M42">
        <f t="shared" si="36"/>
        <v>1.3555800831619507</v>
      </c>
      <c r="N42">
        <f t="shared" si="37"/>
        <v>8.2808804979904421E-2</v>
      </c>
      <c r="O42">
        <f t="shared" si="38"/>
        <v>1.0983736940880277E-6</v>
      </c>
      <c r="P42">
        <f t="shared" si="39"/>
        <v>0.59959750107621401</v>
      </c>
      <c r="Q42">
        <f t="shared" si="14"/>
        <v>0.32880754819515773</v>
      </c>
      <c r="R42">
        <f t="shared" si="40"/>
        <v>0.97366786468013533</v>
      </c>
      <c r="S42">
        <f t="shared" si="41"/>
        <v>1.8955339532273923</v>
      </c>
      <c r="T42">
        <f t="shared" si="42"/>
        <v>1.0034305494818063E-4</v>
      </c>
      <c r="U42">
        <f t="shared" si="15"/>
        <v>1.0853815397784405E-3</v>
      </c>
      <c r="V42">
        <f t="shared" si="30"/>
        <v>1.1780530868918184E-6</v>
      </c>
      <c r="W42">
        <f t="shared" ca="1" si="49"/>
        <v>-2.7327729756074213E-3</v>
      </c>
      <c r="X42">
        <v>0</v>
      </c>
      <c r="Y42">
        <v>1.05</v>
      </c>
      <c r="Z42">
        <v>0.52494246483973739</v>
      </c>
      <c r="AA42">
        <f t="shared" si="43"/>
        <v>3.2990120555715152</v>
      </c>
      <c r="AB42">
        <f t="shared" si="18"/>
        <v>0.970873786407767</v>
      </c>
      <c r="AC42">
        <f t="shared" si="19"/>
        <v>-2.8025611874005207E-4</v>
      </c>
      <c r="AD42">
        <f t="shared" si="31"/>
        <v>7.8543492091238169E-8</v>
      </c>
      <c r="AE42">
        <f t="shared" si="8"/>
        <v>0.1558164679203434</v>
      </c>
      <c r="AF42">
        <f t="shared" si="44"/>
        <v>5.2494246483973744E-2</v>
      </c>
      <c r="AG42">
        <f t="shared" si="45"/>
        <v>4.3088034782682721E-2</v>
      </c>
      <c r="AH42">
        <f t="shared" si="20"/>
        <v>0.25139874918699989</v>
      </c>
      <c r="AI42">
        <f t="shared" si="21"/>
        <v>0.25819764450127786</v>
      </c>
      <c r="AJ42">
        <f t="shared" si="46"/>
        <v>0.17492858935676847</v>
      </c>
      <c r="AK42">
        <f t="shared" si="22"/>
        <v>0.64012164136291583</v>
      </c>
      <c r="AL42">
        <f t="shared" si="23"/>
        <v>0.48870208159111439</v>
      </c>
      <c r="AM42">
        <f t="shared" si="32"/>
        <v>-2.1936284928303351E-5</v>
      </c>
      <c r="AN42">
        <f t="shared" si="33"/>
        <v>-1.6048269187507458E-4</v>
      </c>
      <c r="AO42">
        <f t="shared" si="34"/>
        <v>-2.7520765011324749E-4</v>
      </c>
      <c r="AP42">
        <f t="shared" si="35"/>
        <v>-1.7023764820378595E-4</v>
      </c>
      <c r="AQ42">
        <v>0.03</v>
      </c>
      <c r="AR42">
        <f t="shared" si="24"/>
        <v>-1.5774120308863313E-2</v>
      </c>
      <c r="AS42">
        <f t="shared" si="25"/>
        <v>0.12381711176764536</v>
      </c>
    </row>
    <row r="43" spans="1:45" ht="14.65" thickBot="1" x14ac:dyDescent="0.5">
      <c r="A43" s="3" t="s">
        <v>37</v>
      </c>
      <c r="B43" s="3">
        <v>0.25</v>
      </c>
      <c r="F43" s="7">
        <f t="shared" si="26"/>
        <v>42</v>
      </c>
      <c r="G43">
        <f t="shared" si="12"/>
        <v>1.550088377961665</v>
      </c>
      <c r="H43">
        <v>0.99791488917762583</v>
      </c>
      <c r="I43">
        <f t="shared" si="47"/>
        <v>3.4680041349388753</v>
      </c>
      <c r="J43">
        <f t="shared" si="50"/>
        <v>4.6571244315120754E-2</v>
      </c>
      <c r="K43">
        <f t="shared" si="48"/>
        <v>0.1380317836941263</v>
      </c>
      <c r="L43">
        <f t="shared" si="29"/>
        <v>1.3559905178940941</v>
      </c>
      <c r="M43">
        <f t="shared" si="36"/>
        <v>1.3556226176033483</v>
      </c>
      <c r="N43">
        <f t="shared" si="37"/>
        <v>8.2809260212567126E-2</v>
      </c>
      <c r="O43">
        <f t="shared" si="38"/>
        <v>6.8320185209897106E-7</v>
      </c>
      <c r="P43">
        <f t="shared" si="39"/>
        <v>0.59943482140252502</v>
      </c>
      <c r="Q43">
        <f t="shared" si="14"/>
        <v>0.32872815407979461</v>
      </c>
      <c r="R43">
        <f t="shared" si="40"/>
        <v>0.97342770671987788</v>
      </c>
      <c r="S43">
        <f t="shared" si="41"/>
        <v>1.8955231246080135</v>
      </c>
      <c r="T43">
        <f t="shared" si="42"/>
        <v>7.9201024229525656E-5</v>
      </c>
      <c r="U43">
        <f t="shared" si="15"/>
        <v>9.9666830206091017E-4</v>
      </c>
      <c r="V43">
        <f t="shared" si="30"/>
        <v>9.9334770433297767E-7</v>
      </c>
      <c r="W43">
        <f t="shared" ca="1" si="49"/>
        <v>7.2012140512738604E-2</v>
      </c>
      <c r="X43">
        <v>0</v>
      </c>
      <c r="Y43">
        <v>1.05</v>
      </c>
      <c r="Z43">
        <v>0.52506076785222466</v>
      </c>
      <c r="AA43">
        <f t="shared" si="43"/>
        <v>3.2975256024964557</v>
      </c>
      <c r="AB43">
        <f t="shared" si="18"/>
        <v>0.970873786407767</v>
      </c>
      <c r="AC43">
        <f t="shared" si="19"/>
        <v>-2.4469079470090804E-4</v>
      </c>
      <c r="AD43">
        <f t="shared" si="31"/>
        <v>5.9873585011361929E-8</v>
      </c>
      <c r="AE43">
        <f t="shared" si="8"/>
        <v>0.15577795444198919</v>
      </c>
      <c r="AF43">
        <f t="shared" si="44"/>
        <v>5.2506076785222469E-2</v>
      </c>
      <c r="AG43">
        <f t="shared" si="45"/>
        <v>4.3077428524261809E-2</v>
      </c>
      <c r="AH43">
        <f t="shared" si="20"/>
        <v>0.2513614597514735</v>
      </c>
      <c r="AI43">
        <f t="shared" si="21"/>
        <v>0.25822303805022828</v>
      </c>
      <c r="AJ43">
        <f t="shared" si="46"/>
        <v>0.1750269677244764</v>
      </c>
      <c r="AK43">
        <f t="shared" si="22"/>
        <v>0.64012130892352836</v>
      </c>
      <c r="AL43">
        <f t="shared" si="23"/>
        <v>0.48862826162907275</v>
      </c>
      <c r="AM43">
        <f t="shared" si="32"/>
        <v>-5.7127176702476135E-6</v>
      </c>
      <c r="AN43">
        <f t="shared" si="33"/>
        <v>-1.5106450484037026E-4</v>
      </c>
      <c r="AO43">
        <f t="shared" si="34"/>
        <v>-2.4668328047464105E-4</v>
      </c>
      <c r="AP43">
        <f t="shared" si="35"/>
        <v>-1.4833884993992186E-4</v>
      </c>
      <c r="AQ43">
        <v>0.03</v>
      </c>
      <c r="AR43">
        <f t="shared" si="24"/>
        <v>-1.6304115988315646E-2</v>
      </c>
      <c r="AS43">
        <f t="shared" si="25"/>
        <v>0.11122750913235908</v>
      </c>
    </row>
    <row r="44" spans="1:45" ht="14.65" thickBot="1" x14ac:dyDescent="0.5">
      <c r="A44" s="3" t="s">
        <v>38</v>
      </c>
      <c r="B44" s="3">
        <v>0.15</v>
      </c>
      <c r="F44" s="7">
        <f t="shared" si="26"/>
        <v>43</v>
      </c>
      <c r="G44">
        <f t="shared" si="12"/>
        <v>1.550088377961665</v>
      </c>
      <c r="H44">
        <v>0.99840287218234647</v>
      </c>
      <c r="I44">
        <f t="shared" si="47"/>
        <v>3.4673157532354466</v>
      </c>
      <c r="J44">
        <f t="shared" si="50"/>
        <v>4.6559757384672412E-2</v>
      </c>
      <c r="K44">
        <f t="shared" si="48"/>
        <v>0.13816628080999019</v>
      </c>
      <c r="L44">
        <f t="shared" si="29"/>
        <v>1.3559905178940941</v>
      </c>
      <c r="M44">
        <f t="shared" si="36"/>
        <v>1.3556614570892556</v>
      </c>
      <c r="N44">
        <f t="shared" si="37"/>
        <v>8.2807245064387858E-2</v>
      </c>
      <c r="O44">
        <f t="shared" si="38"/>
        <v>3.99507321771133E-7</v>
      </c>
      <c r="P44">
        <f t="shared" si="39"/>
        <v>0.59928935541129869</v>
      </c>
      <c r="Q44">
        <f t="shared" si="14"/>
        <v>0.32865314860324102</v>
      </c>
      <c r="R44">
        <f t="shared" si="40"/>
        <v>0.97321295566186827</v>
      </c>
      <c r="S44">
        <f t="shared" si="41"/>
        <v>1.8955388818816186</v>
      </c>
      <c r="T44">
        <f t="shared" si="42"/>
        <v>6.0606023623091305E-5</v>
      </c>
      <c r="U44">
        <f t="shared" si="15"/>
        <v>9.125958477715912E-4</v>
      </c>
      <c r="V44">
        <f t="shared" si="30"/>
        <v>8.3283118136994929E-7</v>
      </c>
      <c r="W44">
        <f t="shared" ca="1" si="49"/>
        <v>-1.3185098925973002E-2</v>
      </c>
      <c r="X44">
        <v>0</v>
      </c>
      <c r="Y44">
        <v>1.05</v>
      </c>
      <c r="Z44">
        <v>0.52517584009512852</v>
      </c>
      <c r="AA44">
        <f t="shared" si="43"/>
        <v>3.2960807070281173</v>
      </c>
      <c r="AB44">
        <f t="shared" si="18"/>
        <v>0.970873786407767</v>
      </c>
      <c r="AC44">
        <f t="shared" si="19"/>
        <v>-2.0915863525328149E-4</v>
      </c>
      <c r="AD44">
        <f t="shared" si="31"/>
        <v>4.3747334701015249E-8</v>
      </c>
      <c r="AE44">
        <f t="shared" si="8"/>
        <v>0.15574370545756522</v>
      </c>
      <c r="AF44">
        <f t="shared" si="44"/>
        <v>5.2517584009512855E-2</v>
      </c>
      <c r="AG44">
        <f t="shared" si="45"/>
        <v>4.3067829794067029E-2</v>
      </c>
      <c r="AH44">
        <f t="shared" si="20"/>
        <v>0.2513291192611451</v>
      </c>
      <c r="AI44">
        <f t="shared" si="21"/>
        <v>0.25824678740555784</v>
      </c>
      <c r="AJ44">
        <f t="shared" si="46"/>
        <v>0.1751081871939425</v>
      </c>
      <c r="AK44">
        <f t="shared" si="22"/>
        <v>0.64012179267238034</v>
      </c>
      <c r="AL44">
        <f t="shared" si="23"/>
        <v>0.48855864914605462</v>
      </c>
      <c r="AM44">
        <f t="shared" si="32"/>
        <v>8.3128545922406261E-6</v>
      </c>
      <c r="AN44">
        <f t="shared" si="33"/>
        <v>-1.4247526725608139E-4</v>
      </c>
      <c r="AO44">
        <f t="shared" si="34"/>
        <v>-2.2063759689273932E-4</v>
      </c>
      <c r="AP44">
        <f t="shared" si="35"/>
        <v>-1.2866957020185588E-4</v>
      </c>
      <c r="AQ44">
        <v>0.03</v>
      </c>
      <c r="AR44">
        <f t="shared" si="24"/>
        <v>-1.6787013309739585E-2</v>
      </c>
      <c r="AS44">
        <f t="shared" si="25"/>
        <v>9.7777321096590278E-2</v>
      </c>
    </row>
    <row r="45" spans="1:45" ht="14.65" thickBot="1" x14ac:dyDescent="0.5">
      <c r="F45" s="7">
        <f t="shared" si="26"/>
        <v>44</v>
      </c>
      <c r="G45">
        <f t="shared" si="12"/>
        <v>1.550088377961665</v>
      </c>
      <c r="H45">
        <v>0.99882712113504435</v>
      </c>
      <c r="I45">
        <f t="shared" si="47"/>
        <v>3.4667894039160192</v>
      </c>
      <c r="J45">
        <f t="shared" si="50"/>
        <v>4.6549485684894372E-2</v>
      </c>
      <c r="K45">
        <f t="shared" si="48"/>
        <v>0.13828595599290811</v>
      </c>
      <c r="L45">
        <f t="shared" si="29"/>
        <v>1.3559905178940941</v>
      </c>
      <c r="M45">
        <f t="shared" si="36"/>
        <v>1.3556971368842656</v>
      </c>
      <c r="N45">
        <f t="shared" si="37"/>
        <v>8.2803155605301063E-2</v>
      </c>
      <c r="O45">
        <f t="shared" si="38"/>
        <v>2.144677587124832E-7</v>
      </c>
      <c r="P45">
        <f t="shared" si="39"/>
        <v>0.5991596936519058</v>
      </c>
      <c r="Q45">
        <f t="shared" si="14"/>
        <v>0.32858250253466381</v>
      </c>
      <c r="R45">
        <f t="shared" si="40"/>
        <v>0.97302153235501121</v>
      </c>
      <c r="S45">
        <f t="shared" si="41"/>
        <v>1.895576972664849</v>
      </c>
      <c r="T45">
        <f t="shared" si="42"/>
        <v>4.4431195491817852E-5</v>
      </c>
      <c r="U45">
        <f t="shared" si="15"/>
        <v>8.3235826295102733E-4</v>
      </c>
      <c r="V45">
        <f t="shared" si="30"/>
        <v>6.928202779028516E-7</v>
      </c>
      <c r="W45">
        <f t="shared" ca="1" si="49"/>
        <v>-6.9864343812480675E-2</v>
      </c>
      <c r="X45">
        <v>0</v>
      </c>
      <c r="Y45">
        <v>1.05</v>
      </c>
      <c r="Z45">
        <v>0.52528727150545729</v>
      </c>
      <c r="AA45">
        <f t="shared" si="43"/>
        <v>3.2946824322759984</v>
      </c>
      <c r="AB45">
        <f t="shared" si="18"/>
        <v>0.970873786407767</v>
      </c>
      <c r="AC45">
        <f t="shared" si="19"/>
        <v>-1.741810297781754E-4</v>
      </c>
      <c r="AD45">
        <f t="shared" si="31"/>
        <v>3.0339031134585625E-8</v>
      </c>
      <c r="AE45">
        <f t="shared" si="8"/>
        <v>0.15571335635632452</v>
      </c>
      <c r="AF45">
        <f t="shared" si="44"/>
        <v>5.2528727150545733E-2</v>
      </c>
      <c r="AG45">
        <f t="shared" si="45"/>
        <v>4.3059165369490053E-2</v>
      </c>
      <c r="AH45">
        <f t="shared" si="20"/>
        <v>0.25130124887636029</v>
      </c>
      <c r="AI45">
        <f t="shared" si="21"/>
        <v>0.25826894937066197</v>
      </c>
      <c r="AJ45">
        <f t="shared" si="46"/>
        <v>0.17517372453209792</v>
      </c>
      <c r="AK45">
        <f t="shared" si="22"/>
        <v>0.64012296204566133</v>
      </c>
      <c r="AL45">
        <f t="shared" si="23"/>
        <v>0.48849291296534408</v>
      </c>
      <c r="AM45">
        <f t="shared" si="32"/>
        <v>2.0094760853073268E-5</v>
      </c>
      <c r="AN45">
        <f t="shared" si="33"/>
        <v>-1.3456031054837059E-4</v>
      </c>
      <c r="AO45">
        <f t="shared" si="34"/>
        <v>-1.9671145347895103E-4</v>
      </c>
      <c r="AP45">
        <f t="shared" si="35"/>
        <v>-1.1089813342013422E-4</v>
      </c>
      <c r="AQ45">
        <v>0.03</v>
      </c>
      <c r="AR45">
        <f t="shared" si="24"/>
        <v>-1.7225149523247274E-2</v>
      </c>
      <c r="AS45">
        <f t="shared" si="25"/>
        <v>8.3485491206240714E-2</v>
      </c>
    </row>
    <row r="46" spans="1:45" ht="14.65" thickBot="1" x14ac:dyDescent="0.5">
      <c r="A46" s="3" t="s">
        <v>39</v>
      </c>
      <c r="B46" s="3">
        <f>Cbar^(-sigma_c)/(1+tauc)</f>
        <v>3.241300362461546</v>
      </c>
      <c r="F46" s="7">
        <f t="shared" si="26"/>
        <v>45</v>
      </c>
      <c r="G46">
        <f t="shared" si="12"/>
        <v>1.550088377961665</v>
      </c>
      <c r="H46">
        <v>0.99918917193400625</v>
      </c>
      <c r="I46">
        <f t="shared" si="47"/>
        <v>3.4664037837522863</v>
      </c>
      <c r="J46">
        <f t="shared" si="50"/>
        <v>4.6540329768472971E-2</v>
      </c>
      <c r="K46">
        <f t="shared" si="48"/>
        <v>0.13839047914188229</v>
      </c>
      <c r="L46">
        <f t="shared" si="29"/>
        <v>1.3559905178940941</v>
      </c>
      <c r="M46">
        <f t="shared" si="36"/>
        <v>1.3557295883632121</v>
      </c>
      <c r="N46">
        <f t="shared" si="37"/>
        <v>8.279735271077969E-2</v>
      </c>
      <c r="O46">
        <f t="shared" si="38"/>
        <v>1.0180828117250099E-7</v>
      </c>
      <c r="P46">
        <f t="shared" si="39"/>
        <v>0.5990443989977583</v>
      </c>
      <c r="Q46">
        <f t="shared" si="14"/>
        <v>0.32851609964848311</v>
      </c>
      <c r="R46">
        <f t="shared" si="40"/>
        <v>0.97285131644710365</v>
      </c>
      <c r="S46">
        <f t="shared" si="41"/>
        <v>1.8956336029583687</v>
      </c>
      <c r="T46">
        <f t="shared" si="42"/>
        <v>3.0627440317287917E-5</v>
      </c>
      <c r="U46">
        <f t="shared" si="15"/>
        <v>7.5416762271429683E-4</v>
      </c>
      <c r="V46">
        <f t="shared" si="30"/>
        <v>5.6876880315053393E-7</v>
      </c>
      <c r="W46">
        <f t="shared" ca="1" si="49"/>
        <v>3.7926264233751922E-2</v>
      </c>
      <c r="X46">
        <v>0</v>
      </c>
      <c r="Y46">
        <v>1.05</v>
      </c>
      <c r="Z46">
        <v>0.5253948090681273</v>
      </c>
      <c r="AA46">
        <f t="shared" si="43"/>
        <v>3.293333862197922</v>
      </c>
      <c r="AB46">
        <f t="shared" si="18"/>
        <v>0.970873786407767</v>
      </c>
      <c r="AC46">
        <f t="shared" si="19"/>
        <v>-1.4074850381673443E-4</v>
      </c>
      <c r="AD46">
        <f t="shared" si="31"/>
        <v>1.9810141326649305E-8</v>
      </c>
      <c r="AE46">
        <f t="shared" si="8"/>
        <v>0.15568653940162114</v>
      </c>
      <c r="AF46">
        <f t="shared" si="44"/>
        <v>5.2539480906812736E-2</v>
      </c>
      <c r="AG46">
        <f t="shared" si="45"/>
        <v>4.3051358508197898E-2</v>
      </c>
      <c r="AH46">
        <f t="shared" si="20"/>
        <v>0.25127737881663176</v>
      </c>
      <c r="AI46">
        <f t="shared" si="21"/>
        <v>0.25828960147199875</v>
      </c>
      <c r="AJ46">
        <f t="shared" si="46"/>
        <v>0.17522462712515854</v>
      </c>
      <c r="AK46">
        <f t="shared" si="22"/>
        <v>0.64012470053572135</v>
      </c>
      <c r="AL46">
        <f t="shared" si="23"/>
        <v>0.4884304479618381</v>
      </c>
      <c r="AM46">
        <f t="shared" si="32"/>
        <v>2.987451759506321E-5</v>
      </c>
      <c r="AN46">
        <f t="shared" si="33"/>
        <v>-1.2788107253736136E-4</v>
      </c>
      <c r="AO46">
        <f t="shared" si="34"/>
        <v>-1.749506998327266E-4</v>
      </c>
      <c r="AP46">
        <f t="shared" si="35"/>
        <v>-9.4990349494450399E-5</v>
      </c>
      <c r="AQ46">
        <v>0.03</v>
      </c>
      <c r="AR46">
        <f t="shared" si="24"/>
        <v>-1.7620393855381167E-2</v>
      </c>
      <c r="AS46">
        <f t="shared" si="25"/>
        <v>6.836966208704677E-2</v>
      </c>
    </row>
    <row r="47" spans="1:45" ht="14.65" thickBot="1" x14ac:dyDescent="0.5">
      <c r="A47" s="3" t="s">
        <v>40</v>
      </c>
      <c r="B47" s="3">
        <f>$B$60 * 0.35 * kbar^(rhoc-1)*$B$63</f>
        <v>7.9199255257964035E-2</v>
      </c>
      <c r="F47" s="7">
        <f t="shared" si="26"/>
        <v>46</v>
      </c>
      <c r="G47">
        <f t="shared" si="12"/>
        <v>1.550088377961665</v>
      </c>
      <c r="H47">
        <v>0.99948450737598216</v>
      </c>
      <c r="I47">
        <f t="shared" si="47"/>
        <v>3.466138111544077</v>
      </c>
      <c r="J47">
        <f t="shared" si="50"/>
        <v>4.6532188217415289E-2</v>
      </c>
      <c r="K47">
        <f t="shared" si="48"/>
        <v>0.13847746079185227</v>
      </c>
      <c r="L47">
        <f t="shared" si="29"/>
        <v>1.3559905178940941</v>
      </c>
      <c r="M47">
        <f t="shared" si="36"/>
        <v>1.3557586989190098</v>
      </c>
      <c r="N47">
        <f t="shared" si="37"/>
        <v>8.2790177447285063E-2</v>
      </c>
      <c r="O47">
        <f t="shared" si="38"/>
        <v>4.0744765838701041E-8</v>
      </c>
      <c r="P47">
        <f t="shared" si="39"/>
        <v>0.59894198688146882</v>
      </c>
      <c r="Q47">
        <f t="shared" si="14"/>
        <v>0.32845376528980891</v>
      </c>
      <c r="R47">
        <f t="shared" si="40"/>
        <v>0.97270011724840311</v>
      </c>
      <c r="S47">
        <f t="shared" si="41"/>
        <v>1.8957051944037902</v>
      </c>
      <c r="T47">
        <f t="shared" si="42"/>
        <v>1.9383163923770808E-5</v>
      </c>
      <c r="U47">
        <f t="shared" si="15"/>
        <v>6.7237636425721004E-4</v>
      </c>
      <c r="V47">
        <f t="shared" si="30"/>
        <v>4.520899752117444E-7</v>
      </c>
      <c r="W47">
        <f t="shared" ca="1" si="49"/>
        <v>-5.417590040378744E-2</v>
      </c>
      <c r="X47">
        <v>0</v>
      </c>
      <c r="Y47">
        <v>1.05</v>
      </c>
      <c r="Z47">
        <v>0.52549806747344241</v>
      </c>
      <c r="AA47">
        <f t="shared" si="43"/>
        <v>3.2920397337771501</v>
      </c>
      <c r="AB47">
        <f t="shared" si="18"/>
        <v>0.970873786407767</v>
      </c>
      <c r="AC47">
        <f t="shared" si="19"/>
        <v>-1.0627473136937127E-4</v>
      </c>
      <c r="AD47">
        <f t="shared" si="31"/>
        <v>1.1294318527632025E-8</v>
      </c>
      <c r="AE47">
        <f t="shared" si="8"/>
        <v>0.1556628772453435</v>
      </c>
      <c r="AF47">
        <f t="shared" si="44"/>
        <v>5.2549806747344247E-2</v>
      </c>
      <c r="AG47">
        <f t="shared" si="45"/>
        <v>4.3044328396729753E-2</v>
      </c>
      <c r="AH47">
        <f t="shared" si="20"/>
        <v>0.2512570123894175</v>
      </c>
      <c r="AI47">
        <f t="shared" si="21"/>
        <v>0.25830881268954631</v>
      </c>
      <c r="AJ47">
        <f t="shared" si="46"/>
        <v>0.1752608404024045</v>
      </c>
      <c r="AK47">
        <f t="shared" si="22"/>
        <v>0.64012689824973512</v>
      </c>
      <c r="AL47">
        <f t="shared" si="23"/>
        <v>0.48836995226710034</v>
      </c>
      <c r="AM47">
        <f t="shared" si="32"/>
        <v>3.7765786312538019E-5</v>
      </c>
      <c r="AN47">
        <f t="shared" si="33"/>
        <v>-1.2386500824723701E-4</v>
      </c>
      <c r="AO47">
        <f t="shared" si="34"/>
        <v>-1.5543068806744137E-4</v>
      </c>
      <c r="AP47">
        <f t="shared" si="35"/>
        <v>-8.1054859455642614E-5</v>
      </c>
      <c r="AQ47">
        <v>0.03</v>
      </c>
      <c r="AR47">
        <f t="shared" si="24"/>
        <v>-1.7972516372778524E-2</v>
      </c>
      <c r="AS47">
        <f t="shared" si="25"/>
        <v>5.2448235576879651E-2</v>
      </c>
    </row>
    <row r="48" spans="1:45" ht="14.65" thickBot="1" x14ac:dyDescent="0.5">
      <c r="A48" s="3" t="s">
        <v>42</v>
      </c>
      <c r="B48" s="3">
        <f xml:space="preserve"> $B$60 * 0.6*lbar ^(rhoc-1)*$B$63</f>
        <v>1.9442417756072052</v>
      </c>
      <c r="F48" s="7">
        <f t="shared" si="26"/>
        <v>47</v>
      </c>
      <c r="G48">
        <f t="shared" si="12"/>
        <v>1.550088377961665</v>
      </c>
      <c r="H48">
        <v>0.99971638416609598</v>
      </c>
      <c r="I48">
        <f t="shared" si="47"/>
        <v>3.465970047874166</v>
      </c>
      <c r="J48">
        <f t="shared" si="50"/>
        <v>4.6524956249432821E-2</v>
      </c>
      <c r="K48">
        <f t="shared" si="48"/>
        <v>0.13854721929666988</v>
      </c>
      <c r="L48">
        <f t="shared" si="29"/>
        <v>1.3559905178940941</v>
      </c>
      <c r="M48">
        <f t="shared" si="36"/>
        <v>1.3557845550529621</v>
      </c>
      <c r="N48">
        <f t="shared" si="37"/>
        <v>8.2782017612475542E-2</v>
      </c>
      <c r="O48">
        <f t="shared" si="38"/>
        <v>1.2099608274504945E-8</v>
      </c>
      <c r="P48">
        <f t="shared" si="39"/>
        <v>0.59885101294642729</v>
      </c>
      <c r="Q48">
        <f t="shared" si="14"/>
        <v>0.32839542635028668</v>
      </c>
      <c r="R48">
        <f t="shared" si="40"/>
        <v>0.97256580318034935</v>
      </c>
      <c r="S48">
        <f t="shared" si="41"/>
        <v>1.895787646754107</v>
      </c>
      <c r="T48">
        <f t="shared" si="42"/>
        <v>1.0565858101655636E-5</v>
      </c>
      <c r="U48">
        <f t="shared" si="15"/>
        <v>5.9498574242056179E-4</v>
      </c>
      <c r="V48">
        <f t="shared" si="30"/>
        <v>3.5400803368374711E-7</v>
      </c>
      <c r="W48">
        <f t="shared" ca="1" si="49"/>
        <v>1.2131289503256306E-2</v>
      </c>
      <c r="X48">
        <v>0</v>
      </c>
      <c r="Y48">
        <v>1.05</v>
      </c>
      <c r="Z48">
        <v>0.52559733111563212</v>
      </c>
      <c r="AA48">
        <f t="shared" si="43"/>
        <v>3.2907963903381683</v>
      </c>
      <c r="AB48">
        <f t="shared" si="18"/>
        <v>0.970873786407767</v>
      </c>
      <c r="AC48">
        <f t="shared" si="19"/>
        <v>-7.8098090664724396E-5</v>
      </c>
      <c r="AD48">
        <f t="shared" si="31"/>
        <v>6.0993117654755118E-9</v>
      </c>
      <c r="AE48">
        <f t="shared" si="8"/>
        <v>0.1556419981313554</v>
      </c>
      <c r="AF48">
        <f t="shared" si="44"/>
        <v>5.2559733111563214E-2</v>
      </c>
      <c r="AG48">
        <f t="shared" si="45"/>
        <v>4.3037999032114783E-2</v>
      </c>
      <c r="AH48">
        <f t="shared" si="20"/>
        <v>0.25123973027503343</v>
      </c>
      <c r="AI48">
        <f t="shared" si="21"/>
        <v>0.25832671625247794</v>
      </c>
      <c r="AJ48">
        <f t="shared" si="46"/>
        <v>0.17528377688376634</v>
      </c>
      <c r="AK48">
        <f t="shared" si="22"/>
        <v>0.64012942927829297</v>
      </c>
      <c r="AL48">
        <f t="shared" si="23"/>
        <v>0.48831102448004321</v>
      </c>
      <c r="AM48">
        <f t="shared" si="32"/>
        <v>4.3493343537370777E-5</v>
      </c>
      <c r="AN48">
        <f t="shared" si="33"/>
        <v>-1.2066946839672799E-4</v>
      </c>
      <c r="AO48">
        <f t="shared" si="34"/>
        <v>-1.3809327234560673E-4</v>
      </c>
      <c r="AP48">
        <f t="shared" si="35"/>
        <v>-6.8784980771008364E-5</v>
      </c>
      <c r="AQ48">
        <v>0.03</v>
      </c>
      <c r="AR48">
        <f t="shared" si="24"/>
        <v>-1.8284532854221977E-2</v>
      </c>
      <c r="AS48">
        <f t="shared" si="25"/>
        <v>3.5737149789964062E-2</v>
      </c>
    </row>
    <row r="49" spans="1:46" ht="14.65" thickBot="1" x14ac:dyDescent="0.5">
      <c r="A49" s="3" t="s">
        <v>43</v>
      </c>
      <c r="B49" s="3">
        <f>mpl *(1-tauw) *lambdabar/(lbar^(1/phiLL))</f>
        <v>43.40131936631208</v>
      </c>
      <c r="F49" s="7">
        <f t="shared" si="26"/>
        <v>48</v>
      </c>
      <c r="G49">
        <f t="shared" si="12"/>
        <v>1.550088377961665</v>
      </c>
      <c r="H49">
        <v>0.99988761233315426</v>
      </c>
      <c r="I49">
        <f t="shared" si="47"/>
        <v>3.465878465255869</v>
      </c>
      <c r="J49">
        <f t="shared" si="50"/>
        <v>4.6518531909567867E-2</v>
      </c>
      <c r="K49">
        <f t="shared" si="48"/>
        <v>0.13859984868626285</v>
      </c>
      <c r="L49">
        <f t="shared" si="29"/>
        <v>1.3559905178940941</v>
      </c>
      <c r="M49">
        <f t="shared" si="36"/>
        <v>1.3558059661620074</v>
      </c>
      <c r="N49">
        <f t="shared" si="37"/>
        <v>8.2773156750417562E-2</v>
      </c>
      <c r="O49">
        <f t="shared" si="38"/>
        <v>1.7966278195101104E-9</v>
      </c>
      <c r="P49">
        <f t="shared" si="39"/>
        <v>0.59876950869529644</v>
      </c>
      <c r="Q49">
        <f t="shared" si="14"/>
        <v>0.3283405462449871</v>
      </c>
      <c r="R49">
        <f t="shared" si="40"/>
        <v>0.97244546859391878</v>
      </c>
      <c r="S49">
        <f t="shared" si="41"/>
        <v>1.8958781397252198</v>
      </c>
      <c r="T49">
        <f t="shared" si="42"/>
        <v>4.0723219531319519E-6</v>
      </c>
      <c r="U49">
        <f t="shared" si="15"/>
        <v>5.2169229577769816E-4</v>
      </c>
      <c r="V49">
        <f t="shared" si="30"/>
        <v>2.7216285147380528E-7</v>
      </c>
      <c r="W49">
        <f t="shared" ca="1" si="49"/>
        <v>-2.4465142606015747E-2</v>
      </c>
      <c r="X49">
        <v>0</v>
      </c>
      <c r="Y49">
        <v>1.05</v>
      </c>
      <c r="Z49">
        <v>0.52569201002385102</v>
      </c>
      <c r="AA49">
        <f t="shared" si="43"/>
        <v>3.2896111299722066</v>
      </c>
      <c r="AB49">
        <f t="shared" si="18"/>
        <v>0.970873786407767</v>
      </c>
      <c r="AC49">
        <f t="shared" si="19"/>
        <v>-4.4489536168423882E-5</v>
      </c>
      <c r="AD49">
        <f t="shared" si="31"/>
        <v>1.9793188284814967E-9</v>
      </c>
      <c r="AE49">
        <f t="shared" si="8"/>
        <v>0.15562341600282717</v>
      </c>
      <c r="AF49">
        <f t="shared" si="44"/>
        <v>5.2569201002385102E-2</v>
      </c>
      <c r="AG49">
        <f t="shared" si="45"/>
        <v>4.30322552223781E-2</v>
      </c>
      <c r="AH49">
        <f t="shared" si="20"/>
        <v>0.25122487222759038</v>
      </c>
      <c r="AI49">
        <f t="shared" si="21"/>
        <v>0.25834340365721709</v>
      </c>
      <c r="AJ49">
        <f t="shared" si="46"/>
        <v>0.17529454613171286</v>
      </c>
      <c r="AK49">
        <f t="shared" si="22"/>
        <v>0.64013220701350637</v>
      </c>
      <c r="AL49">
        <f t="shared" si="23"/>
        <v>0.4882526763577637</v>
      </c>
      <c r="AM49">
        <f t="shared" si="32"/>
        <v>4.7732567280855953E-5</v>
      </c>
      <c r="AN49">
        <f t="shared" si="33"/>
        <v>-1.194968076303482E-4</v>
      </c>
      <c r="AO49">
        <f t="shared" si="34"/>
        <v>-1.2373664701113493E-4</v>
      </c>
      <c r="AP49">
        <f t="shared" si="35"/>
        <v>-5.914067328682826E-5</v>
      </c>
      <c r="AQ49">
        <v>0.03</v>
      </c>
      <c r="AR49">
        <f t="shared" si="24"/>
        <v>-1.8559319778501532E-2</v>
      </c>
      <c r="AS49">
        <f t="shared" si="25"/>
        <v>1.8249944505161451E-2</v>
      </c>
    </row>
    <row r="50" spans="1:46" x14ac:dyDescent="0.45">
      <c r="A50" s="3" t="s">
        <v>81</v>
      </c>
      <c r="B50" s="3">
        <f>$B$60*(0.05*0.05^(rhoc-1))*$B$63</f>
        <v>1.2914195408515181</v>
      </c>
      <c r="F50" s="7">
        <f t="shared" si="26"/>
        <v>49</v>
      </c>
      <c r="G50">
        <f t="shared" si="12"/>
        <v>1.550088377961665</v>
      </c>
      <c r="H50">
        <v>1</v>
      </c>
      <c r="I50">
        <f t="shared" si="47"/>
        <v>3.465843175331897</v>
      </c>
      <c r="J50">
        <f t="shared" si="50"/>
        <v>4.6512776218507815E-2</v>
      </c>
      <c r="K50">
        <f t="shared" si="48"/>
        <v>0.13863513861023477</v>
      </c>
      <c r="L50">
        <f t="shared" si="29"/>
        <v>1.3559905178940941</v>
      </c>
      <c r="M50">
        <f t="shared" si="36"/>
        <v>1.3558248839256668</v>
      </c>
      <c r="N50">
        <f t="shared" si="37"/>
        <v>8.2763973007762975E-2</v>
      </c>
      <c r="O50">
        <f t="shared" si="38"/>
        <v>2.8746337810316851E-12</v>
      </c>
      <c r="P50">
        <f t="shared" si="39"/>
        <v>0.59869636912050617</v>
      </c>
      <c r="Q50">
        <f t="shared" si="14"/>
        <v>0.32828924595334741</v>
      </c>
      <c r="R50">
        <f t="shared" si="40"/>
        <v>0.97233748252344832</v>
      </c>
      <c r="S50">
        <f t="shared" si="41"/>
        <v>1.8959724077652944</v>
      </c>
      <c r="T50">
        <f t="shared" si="42"/>
        <v>-1.6291610139887078E-7</v>
      </c>
      <c r="U50">
        <f t="shared" si="15"/>
        <v>4.5174686364191086E-4</v>
      </c>
      <c r="V50">
        <f t="shared" si="30"/>
        <v>2.040752288103032E-7</v>
      </c>
      <c r="W50">
        <f t="shared" ca="1" si="49"/>
        <v>4.198779858010989E-2</v>
      </c>
      <c r="X50">
        <v>0</v>
      </c>
      <c r="Y50">
        <v>1.05</v>
      </c>
      <c r="Z50">
        <v>0.52578191530790475</v>
      </c>
      <c r="AA50">
        <f t="shared" si="43"/>
        <v>3.2884862219884905</v>
      </c>
      <c r="AB50">
        <f t="shared" si="18"/>
        <v>0.970873786407767</v>
      </c>
      <c r="AC50">
        <f t="shared" si="19"/>
        <v>-9.4500838101474471E-6</v>
      </c>
      <c r="AD50">
        <f t="shared" si="31"/>
        <v>8.9304084018810898E-11</v>
      </c>
      <c r="AE50">
        <f t="shared" si="8"/>
        <v>0.15560683802340525</v>
      </c>
      <c r="AF50">
        <f t="shared" si="44"/>
        <v>5.2578191530790477E-2</v>
      </c>
      <c r="AG50">
        <f t="shared" si="45"/>
        <v>4.3027042651846294E-2</v>
      </c>
      <c r="AH50">
        <f t="shared" si="20"/>
        <v>0.25121207220604203</v>
      </c>
      <c r="AI50">
        <f t="shared" si="21"/>
        <v>0.25835893064009691</v>
      </c>
      <c r="AJ50">
        <f t="shared" si="46"/>
        <v>0.17529428892995216</v>
      </c>
      <c r="AK50">
        <f t="shared" si="22"/>
        <v>0.6401351004985153</v>
      </c>
      <c r="AL50">
        <f t="shared" si="23"/>
        <v>0.48819461472497472</v>
      </c>
      <c r="AM50">
        <f t="shared" si="32"/>
        <v>4.9721390077750449E-5</v>
      </c>
      <c r="AN50">
        <f t="shared" si="33"/>
        <v>-1.1892425405379825E-4</v>
      </c>
      <c r="AO50">
        <f t="shared" si="34"/>
        <v>-1.1105205392653722E-4</v>
      </c>
      <c r="AP50">
        <f t="shared" si="35"/>
        <v>-5.0951753022721036E-5</v>
      </c>
      <c r="AQ50">
        <v>0.03</v>
      </c>
      <c r="AR50">
        <f t="shared" si="24"/>
        <v>-1.8798377395975008E-2</v>
      </c>
      <c r="AS50">
        <f t="shared" si="25"/>
        <v>-9.345556587110615E-7</v>
      </c>
      <c r="AT50" t="s">
        <v>69</v>
      </c>
    </row>
    <row r="51" spans="1:46" x14ac:dyDescent="0.45">
      <c r="A51" s="3" t="s">
        <v>44</v>
      </c>
      <c r="V51">
        <f>SUM(V3:V50)</f>
        <v>3.1699912451284572E-4</v>
      </c>
      <c r="AD51">
        <f>SUM(AD3:AD50)</f>
        <v>6.2969901733758138E-5</v>
      </c>
    </row>
    <row r="52" spans="1:46" x14ac:dyDescent="0.45">
      <c r="AI52">
        <f>AVERAGE(AI2:AI22)</f>
        <v>0.25728488974874869</v>
      </c>
      <c r="AL52">
        <f>AVERAGE(AL2:AL22)</f>
        <v>0.494413729530914</v>
      </c>
      <c r="AN52">
        <f>AVERAGE(AN2:AN22)</f>
        <v>-7.3550979102575734E-4</v>
      </c>
      <c r="AO52">
        <f>AVERAGE(AO2:AO22)</f>
        <v>-7.0811436650345674E-4</v>
      </c>
    </row>
    <row r="53" spans="1:46" x14ac:dyDescent="0.45">
      <c r="A53" s="3" t="s">
        <v>48</v>
      </c>
      <c r="B53" s="3" cm="1">
        <f t="array" ref="B53" xml:space="preserve">  mpl *lbar + mpk * kbar</f>
        <v>0.93542902295742436</v>
      </c>
      <c r="V53">
        <f>AD51+V51</f>
        <v>3.7996902624660387E-4</v>
      </c>
      <c r="AI53" t="s">
        <v>58</v>
      </c>
      <c r="AL53" t="s">
        <v>59</v>
      </c>
      <c r="AN53" t="s">
        <v>60</v>
      </c>
      <c r="AO53" t="s">
        <v>62</v>
      </c>
    </row>
    <row r="54" spans="1:46" x14ac:dyDescent="0.45">
      <c r="A54" s="3" t="s">
        <v>83</v>
      </c>
    </row>
    <row r="55" spans="1:46" x14ac:dyDescent="0.45">
      <c r="A55" s="3" t="s">
        <v>71</v>
      </c>
      <c r="B55" s="3">
        <v>0.35</v>
      </c>
    </row>
    <row r="56" spans="1:46" x14ac:dyDescent="0.45">
      <c r="A56" s="3" t="s">
        <v>72</v>
      </c>
      <c r="B56" s="3">
        <v>0.6</v>
      </c>
    </row>
    <row r="57" spans="1:46" x14ac:dyDescent="0.45">
      <c r="A57" s="3" t="s">
        <v>73</v>
      </c>
      <c r="B57" s="3">
        <v>0.05</v>
      </c>
    </row>
    <row r="59" spans="1:46" x14ac:dyDescent="0.45">
      <c r="A59" s="3" t="s">
        <v>75</v>
      </c>
      <c r="B59" s="3">
        <f>(0.35*kbar^rhoc+0.6*lbar^rhoc+0.05*0.05^rhoc)^(1/rhoc)</f>
        <v>0.64512450658779852</v>
      </c>
    </row>
    <row r="60" spans="1:46" x14ac:dyDescent="0.45">
      <c r="A60" s="3" t="s">
        <v>76</v>
      </c>
      <c r="B60">
        <f>1/$B$59</f>
        <v>1.550088377961665</v>
      </c>
    </row>
    <row r="61" spans="1:46" x14ac:dyDescent="0.45">
      <c r="A61" s="3" t="s">
        <v>77</v>
      </c>
      <c r="B61" s="3">
        <f xml:space="preserve"> B60*B59</f>
        <v>1</v>
      </c>
    </row>
    <row r="63" spans="1:46" x14ac:dyDescent="0.45">
      <c r="A63" s="3" t="s">
        <v>82</v>
      </c>
      <c r="B63" s="3">
        <f>(0.35*kbar^rhoc+0.6*lbar^rhoc+0.05*0.05^rhoc)^(1/rhoc-1)</f>
        <v>0.61745867112011033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Sheet1</vt:lpstr>
      <vt:lpstr>Ac</vt:lpstr>
      <vt:lpstr>alpha</vt:lpstr>
      <vt:lpstr>alphaK</vt:lpstr>
      <vt:lpstr>Beta</vt:lpstr>
      <vt:lpstr>Cbar</vt:lpstr>
      <vt:lpstr>Delta</vt:lpstr>
      <vt:lpstr>gamma</vt:lpstr>
      <vt:lpstr>Interest</vt:lpstr>
      <vt:lpstr>kbar</vt:lpstr>
      <vt:lpstr>lambdabar</vt:lpstr>
      <vt:lpstr>lbar</vt:lpstr>
      <vt:lpstr>mpk</vt:lpstr>
      <vt:lpstr>mpl</vt:lpstr>
      <vt:lpstr>mpoil</vt:lpstr>
      <vt:lpstr>obar</vt:lpstr>
      <vt:lpstr>Phi</vt:lpstr>
      <vt:lpstr>phiL</vt:lpstr>
      <vt:lpstr>phiLL</vt:lpstr>
      <vt:lpstr>qbar</vt:lpstr>
      <vt:lpstr>rhoc</vt:lpstr>
      <vt:lpstr>sigma_c</vt:lpstr>
      <vt:lpstr>tauc</vt:lpstr>
      <vt:lpstr>tauk</vt:lpstr>
      <vt:lpstr>tauw</vt:lpstr>
      <vt:lpstr>Y</vt:lpstr>
      <vt:lpstr>yhat</vt:lpstr>
      <vt:lpstr>yhat1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McNelis</cp:lastModifiedBy>
  <dcterms:created xsi:type="dcterms:W3CDTF">2024-11-12T22:28:08Z</dcterms:created>
  <dcterms:modified xsi:type="dcterms:W3CDTF">2026-04-09T15:41:17Z</dcterms:modified>
</cp:coreProperties>
</file>