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Saint110676\Dropbox\ComputMacro\EXCEL-ICM\"/>
    </mc:Choice>
  </mc:AlternateContent>
  <xr:revisionPtr revIDLastSave="0" documentId="13_ncr:1_{1898D0CA-AED4-4E49-8A10-219A37586C94}" xr6:coauthVersionLast="47" xr6:coauthVersionMax="47" xr10:uidLastSave="{00000000-0000-0000-0000-000000000000}"/>
  <bookViews>
    <workbookView xWindow="-28920" yWindow="-120" windowWidth="29040" windowHeight="15720" xr2:uid="{00000000-000D-0000-FFFF-FFFF00000000}"/>
  </bookViews>
  <sheets>
    <sheet name="Hoja1" sheetId="1" r:id="rId1"/>
    <sheet name="Hoja2" sheetId="2" r:id="rId2"/>
    <sheet name="Hoja3" sheetId="3" r:id="rId3"/>
  </sheets>
  <definedNames>
    <definedName name="A_0">Hoja1!$K$39</definedName>
    <definedName name="A_1">Hoja1!$K$42</definedName>
    <definedName name="B_0">Hoja1!$L$39</definedName>
    <definedName name="B_1">Hoja1!$L$42</definedName>
    <definedName name="Beta">Hoja1!$B$4</definedName>
    <definedName name="Cbar">Hoja1!$B$18</definedName>
    <definedName name="Gamma">Hoja1!$B$6</definedName>
    <definedName name="lambda0">Hoja1!$B$17</definedName>
    <definedName name="Lbar">Hoja1!$B$16</definedName>
    <definedName name="Phi">Hoja1!$B$7</definedName>
    <definedName name="R_0">Hoja1!$B$10</definedName>
    <definedName name="R_N">Hoja1!$B$11</definedName>
    <definedName name="Rbar">Hoja1!$B$10</definedName>
    <definedName name="Sigma">Hoja1!$B$5</definedName>
    <definedName name="solver_adj" localSheetId="0" hidden="1">Hoja1!$E$4:$E$33</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100</definedName>
    <definedName name="solver_lhs1" localSheetId="0" hidden="1">Hoja1!$E$3:$E$33</definedName>
    <definedName name="solver_lhs2" localSheetId="0" hidden="1">Hoja1!$F$3:$F$33</definedName>
    <definedName name="solver_lhs3" localSheetId="0" hidden="1">Hoja1!$F$3:$F$33</definedName>
    <definedName name="solver_lhs4" localSheetId="0" hidden="1">Hoja1!$H$33</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4</definedName>
    <definedName name="solver_nwt" localSheetId="0" hidden="1">1</definedName>
    <definedName name="solver_opt" localSheetId="0" hidden="1">Hoja1!$I$34</definedName>
    <definedName name="solver_pre" localSheetId="0" hidden="1">0.000001</definedName>
    <definedName name="solver_rbv" localSheetId="0" hidden="1">1</definedName>
    <definedName name="solver_rel1" localSheetId="0" hidden="1">3</definedName>
    <definedName name="solver_rel2" localSheetId="0" hidden="1">1</definedName>
    <definedName name="solver_rel3" localSheetId="0" hidden="1">3</definedName>
    <definedName name="solver_rel4" localSheetId="0" hidden="1">2</definedName>
    <definedName name="solver_rhs1" localSheetId="0" hidden="1">0.1</definedName>
    <definedName name="solver_rhs2" localSheetId="0" hidden="1">0.6</definedName>
    <definedName name="solver_rhs3" localSheetId="0" hidden="1">0.01</definedName>
    <definedName name="solver_rhs4" localSheetId="0" hidden="1">0</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100</definedName>
    <definedName name="solver_tol" localSheetId="0" hidden="1">0.05</definedName>
    <definedName name="solver_typ" localSheetId="0" hidden="1">1</definedName>
    <definedName name="solver_val" localSheetId="0" hidden="1">0</definedName>
    <definedName name="solver_ver" localSheetId="0" hidden="1">3</definedName>
    <definedName name="tau_c">Hoja1!$B$13</definedName>
    <definedName name="tau_ret">Hoja1!$B$14</definedName>
    <definedName name="tau_w">Hoja1!$B$12</definedName>
    <definedName name="W_1">Hoja1!$B$20</definedName>
    <definedName name="W0">Hoja1!$A$15</definedName>
    <definedName name="Wage">Hoja1!$A$15</definedName>
    <definedName name="Wbar">Hoja1!$B$15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8"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B16" i="1"/>
  <c r="B18" i="1" s="1"/>
  <c r="E3" i="1" s="1"/>
  <c r="E36" i="1" s="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K14" i="1"/>
  <c r="K15" i="1"/>
  <c r="K16" i="1"/>
  <c r="K17" i="1"/>
  <c r="K18" i="1"/>
  <c r="K19" i="1"/>
  <c r="K20" i="1"/>
  <c r="K21" i="1"/>
  <c r="K22" i="1"/>
  <c r="K23" i="1"/>
  <c r="K24" i="1"/>
  <c r="K25" i="1"/>
  <c r="K26" i="1"/>
  <c r="K27" i="1"/>
  <c r="K28" i="1"/>
  <c r="K29" i="1"/>
  <c r="K30" i="1"/>
  <c r="K31" i="1"/>
  <c r="K32" i="1"/>
  <c r="K33" i="1"/>
  <c r="K13" i="1"/>
  <c r="K4" i="1"/>
  <c r="K5" i="1"/>
  <c r="K6" i="1"/>
  <c r="K7" i="1"/>
  <c r="K8" i="1"/>
  <c r="K9" i="1"/>
  <c r="K10" i="1"/>
  <c r="K11" i="1"/>
  <c r="K12" i="1"/>
  <c r="B11" i="1"/>
  <c r="Q3" i="1" l="1"/>
  <c r="Q35" i="1" s="1"/>
  <c r="K3" i="1"/>
  <c r="L3" i="1"/>
  <c r="B17" i="1"/>
  <c r="B6" i="1" s="1"/>
  <c r="F14" i="1" s="1"/>
  <c r="R14" i="1" s="1"/>
  <c r="D4" i="1"/>
  <c r="D5" i="1" s="1"/>
  <c r="G14" i="1" l="1"/>
  <c r="J14" i="1" s="1"/>
  <c r="F27" i="1"/>
  <c r="F31" i="1"/>
  <c r="R31" i="1" s="1"/>
  <c r="F22" i="1"/>
  <c r="F16" i="1"/>
  <c r="R16" i="1" s="1"/>
  <c r="F18" i="1"/>
  <c r="R18" i="1" s="1"/>
  <c r="F20" i="1"/>
  <c r="R20" i="1" s="1"/>
  <c r="F24" i="1"/>
  <c r="R24" i="1" s="1"/>
  <c r="F7" i="1"/>
  <c r="R7" i="1" s="1"/>
  <c r="F17" i="1"/>
  <c r="R17" i="1" s="1"/>
  <c r="F32" i="1"/>
  <c r="R32" i="1" s="1"/>
  <c r="F33" i="1"/>
  <c r="R33" i="1" s="1"/>
  <c r="F6" i="1"/>
  <c r="R6" i="1" s="1"/>
  <c r="F9" i="1"/>
  <c r="R9" i="1" s="1"/>
  <c r="M14" i="1"/>
  <c r="F10" i="1"/>
  <c r="R10" i="1" s="1"/>
  <c r="F29" i="1"/>
  <c r="R29" i="1" s="1"/>
  <c r="F15" i="1"/>
  <c r="R15" i="1" s="1"/>
  <c r="F21" i="1"/>
  <c r="R21" i="1" s="1"/>
  <c r="F26" i="1"/>
  <c r="R26" i="1" s="1"/>
  <c r="F19" i="1"/>
  <c r="R19" i="1" s="1"/>
  <c r="F5" i="1"/>
  <c r="R5" i="1" s="1"/>
  <c r="F3" i="1"/>
  <c r="F12" i="1"/>
  <c r="R12" i="1" s="1"/>
  <c r="F25" i="1"/>
  <c r="R25" i="1" s="1"/>
  <c r="F4" i="1"/>
  <c r="F8" i="1"/>
  <c r="R8" i="1" s="1"/>
  <c r="F13" i="1"/>
  <c r="R13" i="1" s="1"/>
  <c r="F30" i="1"/>
  <c r="R30" i="1" s="1"/>
  <c r="F23" i="1"/>
  <c r="R23" i="1" s="1"/>
  <c r="F28" i="1"/>
  <c r="R28" i="1" s="1"/>
  <c r="F11" i="1"/>
  <c r="R11" i="1" s="1"/>
  <c r="D6" i="1"/>
  <c r="G22" i="1" l="1"/>
  <c r="M22" i="1" s="1"/>
  <c r="R22" i="1"/>
  <c r="G27" i="1"/>
  <c r="R27" i="1"/>
  <c r="G4" i="1"/>
  <c r="R4" i="1"/>
  <c r="G3" i="1"/>
  <c r="H3" i="1" s="1"/>
  <c r="R3" i="1"/>
  <c r="J22" i="1"/>
  <c r="G23" i="1"/>
  <c r="J23" i="1" s="1"/>
  <c r="G15" i="1"/>
  <c r="J15" i="1" s="1"/>
  <c r="G8" i="1"/>
  <c r="M8" i="1" s="1"/>
  <c r="G28" i="1"/>
  <c r="J28" i="1" s="1"/>
  <c r="G12" i="1"/>
  <c r="J12" i="1" s="1"/>
  <c r="G29" i="1"/>
  <c r="M29" i="1" s="1"/>
  <c r="G11" i="1"/>
  <c r="M11" i="1" s="1"/>
  <c r="G32" i="1"/>
  <c r="J32" i="1" s="1"/>
  <c r="H4" i="1"/>
  <c r="G19" i="1"/>
  <c r="M19" i="1" s="1"/>
  <c r="G10" i="1"/>
  <c r="M10" i="1" s="1"/>
  <c r="G6" i="1"/>
  <c r="G30" i="1"/>
  <c r="J30" i="1" s="1"/>
  <c r="G13" i="1"/>
  <c r="J13" i="1" s="1"/>
  <c r="G18" i="1"/>
  <c r="M18" i="1" s="1"/>
  <c r="G16" i="1"/>
  <c r="J16" i="1" s="1"/>
  <c r="G26" i="1"/>
  <c r="J26" i="1" s="1"/>
  <c r="G9" i="1"/>
  <c r="J9" i="1" s="1"/>
  <c r="G33" i="1"/>
  <c r="J33" i="1" s="1"/>
  <c r="G17" i="1"/>
  <c r="J17" i="1" s="1"/>
  <c r="G7" i="1"/>
  <c r="M7" i="1" s="1"/>
  <c r="G24" i="1"/>
  <c r="J24" i="1" s="1"/>
  <c r="G20" i="1"/>
  <c r="J20" i="1" s="1"/>
  <c r="G25" i="1"/>
  <c r="M25" i="1" s="1"/>
  <c r="G5" i="1"/>
  <c r="J5" i="1" s="1"/>
  <c r="G31" i="1"/>
  <c r="M31" i="1" s="1"/>
  <c r="G21" i="1"/>
  <c r="J21" i="1" s="1"/>
  <c r="I3" i="1"/>
  <c r="F36" i="1"/>
  <c r="J4" i="1"/>
  <c r="I5" i="1"/>
  <c r="M15" i="1"/>
  <c r="M4" i="1"/>
  <c r="I4" i="1"/>
  <c r="M28" i="1"/>
  <c r="I6" i="1"/>
  <c r="D7" i="1"/>
  <c r="M12" i="1" l="1"/>
  <c r="R35" i="1"/>
  <c r="M27" i="1"/>
  <c r="J27" i="1"/>
  <c r="M6" i="1"/>
  <c r="J31" i="1"/>
  <c r="M5" i="1"/>
  <c r="M23" i="1"/>
  <c r="H5" i="1"/>
  <c r="H6" i="1" s="1"/>
  <c r="M30" i="1"/>
  <c r="M33" i="1"/>
  <c r="M9" i="1"/>
  <c r="M26" i="1"/>
  <c r="M13" i="1"/>
  <c r="M20" i="1"/>
  <c r="J29" i="1"/>
  <c r="J10" i="1"/>
  <c r="J8" i="1"/>
  <c r="J11" i="1"/>
  <c r="J19" i="1"/>
  <c r="M17" i="1"/>
  <c r="J7" i="1"/>
  <c r="J6" i="1"/>
  <c r="M32" i="1"/>
  <c r="M24" i="1"/>
  <c r="M16" i="1"/>
  <c r="J25" i="1"/>
  <c r="M21" i="1"/>
  <c r="J18" i="1"/>
  <c r="G36" i="1"/>
  <c r="M3" i="1"/>
  <c r="J3" i="1"/>
  <c r="N3" i="1"/>
  <c r="O3" i="1" s="1"/>
  <c r="P3" i="1" s="1"/>
  <c r="D8" i="1"/>
  <c r="I7" i="1"/>
  <c r="H7" i="1" l="1"/>
  <c r="H8" i="1" s="1"/>
  <c r="H9" i="1" s="1"/>
  <c r="H10" i="1" s="1"/>
  <c r="H11" i="1" s="1"/>
  <c r="H12" i="1" s="1"/>
  <c r="H13" i="1" s="1"/>
  <c r="H14" i="1" s="1"/>
  <c r="H15" i="1" s="1"/>
  <c r="H16" i="1" s="1"/>
  <c r="H17" i="1" s="1"/>
  <c r="H18" i="1" s="1"/>
  <c r="H19" i="1" s="1"/>
  <c r="H20" i="1" s="1"/>
  <c r="H21" i="1" s="1"/>
  <c r="H22" i="1" s="1"/>
  <c r="H23" i="1" s="1"/>
  <c r="H24" i="1" s="1"/>
  <c r="H25" i="1" s="1"/>
  <c r="H26" i="1" s="1"/>
  <c r="H27" i="1" s="1"/>
  <c r="H28" i="1" s="1"/>
  <c r="H29" i="1" s="1"/>
  <c r="H30" i="1" s="1"/>
  <c r="H31" i="1" s="1"/>
  <c r="H32" i="1" s="1"/>
  <c r="H33" i="1" s="1"/>
  <c r="N4" i="1"/>
  <c r="O4" i="1" s="1"/>
  <c r="P4" i="1" s="1"/>
  <c r="N5" i="1"/>
  <c r="O5" i="1" s="1"/>
  <c r="P5" i="1" s="1"/>
  <c r="I8" i="1"/>
  <c r="D9" i="1"/>
  <c r="N6" i="1" l="1"/>
  <c r="O6" i="1" s="1"/>
  <c r="P6" i="1" s="1"/>
  <c r="I9" i="1"/>
  <c r="D10" i="1"/>
  <c r="N7" i="1" l="1"/>
  <c r="O7" i="1" s="1"/>
  <c r="P7" i="1" s="1"/>
  <c r="I10" i="1"/>
  <c r="D11" i="1"/>
  <c r="N8" i="1" l="1"/>
  <c r="O8" i="1" s="1"/>
  <c r="P8" i="1" s="1"/>
  <c r="D12" i="1"/>
  <c r="I11" i="1"/>
  <c r="N9" i="1" l="1"/>
  <c r="O9" i="1" s="1"/>
  <c r="P9" i="1" s="1"/>
  <c r="I12" i="1"/>
  <c r="D13" i="1"/>
  <c r="N10" i="1" l="1"/>
  <c r="O10" i="1" s="1"/>
  <c r="P10" i="1" s="1"/>
  <c r="I13" i="1"/>
  <c r="D14" i="1"/>
  <c r="N11" i="1" l="1"/>
  <c r="O11" i="1" s="1"/>
  <c r="P11" i="1" s="1"/>
  <c r="D15" i="1"/>
  <c r="I14" i="1"/>
  <c r="N12" i="1" l="1"/>
  <c r="O12" i="1" s="1"/>
  <c r="P12" i="1" s="1"/>
  <c r="I15" i="1"/>
  <c r="D16" i="1"/>
  <c r="N13" i="1" l="1"/>
  <c r="O13" i="1" s="1"/>
  <c r="P13" i="1" s="1"/>
  <c r="I16" i="1"/>
  <c r="D17" i="1"/>
  <c r="N14" i="1" l="1"/>
  <c r="O14" i="1" s="1"/>
  <c r="P14" i="1" s="1"/>
  <c r="I17" i="1"/>
  <c r="D18" i="1"/>
  <c r="N15" i="1" l="1"/>
  <c r="O15" i="1" s="1"/>
  <c r="P15" i="1" s="1"/>
  <c r="I18" i="1"/>
  <c r="D19" i="1"/>
  <c r="N16" i="1" l="1"/>
  <c r="O16" i="1" s="1"/>
  <c r="P16" i="1" s="1"/>
  <c r="I19" i="1"/>
  <c r="D20" i="1"/>
  <c r="N17" i="1" l="1"/>
  <c r="O17" i="1" s="1"/>
  <c r="P17" i="1" s="1"/>
  <c r="I20" i="1"/>
  <c r="D21" i="1"/>
  <c r="N18" i="1" l="1"/>
  <c r="O18" i="1" s="1"/>
  <c r="P18" i="1" s="1"/>
  <c r="I21" i="1"/>
  <c r="D22" i="1"/>
  <c r="N19" i="1" l="1"/>
  <c r="O19" i="1" s="1"/>
  <c r="P19" i="1" s="1"/>
  <c r="I22" i="1"/>
  <c r="D23" i="1"/>
  <c r="N20" i="1" l="1"/>
  <c r="O20" i="1" s="1"/>
  <c r="P20" i="1" s="1"/>
  <c r="I23" i="1"/>
  <c r="D24" i="1"/>
  <c r="N21" i="1" l="1"/>
  <c r="O21" i="1" s="1"/>
  <c r="P21" i="1" s="1"/>
  <c r="I24" i="1"/>
  <c r="D25" i="1"/>
  <c r="N22" i="1" l="1"/>
  <c r="O22" i="1" s="1"/>
  <c r="P22" i="1" s="1"/>
  <c r="I25" i="1"/>
  <c r="D26" i="1"/>
  <c r="N23" i="1" l="1"/>
  <c r="O23" i="1" s="1"/>
  <c r="P23" i="1" s="1"/>
  <c r="D27" i="1"/>
  <c r="I26" i="1"/>
  <c r="N24" i="1" l="1"/>
  <c r="O24" i="1" s="1"/>
  <c r="P24" i="1" s="1"/>
  <c r="D28" i="1"/>
  <c r="I27" i="1"/>
  <c r="N25" i="1" l="1"/>
  <c r="O25" i="1" s="1"/>
  <c r="P25" i="1" s="1"/>
  <c r="I28" i="1"/>
  <c r="D29" i="1"/>
  <c r="N26" i="1" l="1"/>
  <c r="O26" i="1" s="1"/>
  <c r="P26" i="1" s="1"/>
  <c r="I29" i="1"/>
  <c r="D30" i="1"/>
  <c r="N27" i="1" l="1"/>
  <c r="O27" i="1" s="1"/>
  <c r="P27" i="1" s="1"/>
  <c r="I30" i="1"/>
  <c r="D31" i="1"/>
  <c r="N28" i="1" l="1"/>
  <c r="O28" i="1" s="1"/>
  <c r="P28" i="1" s="1"/>
  <c r="D32" i="1"/>
  <c r="I31" i="1"/>
  <c r="N29" i="1" l="1"/>
  <c r="O29" i="1" s="1"/>
  <c r="P29" i="1" s="1"/>
  <c r="I32" i="1"/>
  <c r="D33" i="1"/>
  <c r="I33" i="1" s="1"/>
  <c r="N30" i="1" l="1"/>
  <c r="O30" i="1" s="1"/>
  <c r="P30" i="1" s="1"/>
  <c r="I34" i="1"/>
  <c r="I36" i="1" s="1"/>
  <c r="N31" i="1" l="1"/>
  <c r="O31" i="1" s="1"/>
  <c r="P31" i="1" s="1"/>
  <c r="N32" i="1" l="1"/>
  <c r="O32" i="1" s="1"/>
  <c r="P32" i="1" s="1"/>
  <c r="N33" i="1" l="1"/>
  <c r="O33" i="1" s="1"/>
  <c r="P33" i="1" s="1"/>
  <c r="H36" i="1"/>
  <c r="J36" i="1" l="1"/>
</calcChain>
</file>

<file path=xl/sharedStrings.xml><?xml version="1.0" encoding="utf-8"?>
<sst xmlns="http://schemas.openxmlformats.org/spreadsheetml/2006/main" count="76" uniqueCount="57">
  <si>
    <t xml:space="preserve"> </t>
  </si>
  <si>
    <t>Beta</t>
  </si>
  <si>
    <t>Gamma</t>
  </si>
  <si>
    <t>Sigma</t>
  </si>
  <si>
    <t>Phi</t>
  </si>
  <si>
    <t>Parameters</t>
  </si>
  <si>
    <t>Exogenous variables</t>
  </si>
  <si>
    <t>Interest rate</t>
  </si>
  <si>
    <t>Period</t>
  </si>
  <si>
    <t>Labor</t>
  </si>
  <si>
    <t>Income</t>
  </si>
  <si>
    <t>Saving</t>
  </si>
  <si>
    <t>Utility</t>
  </si>
  <si>
    <t>Consumption</t>
  </si>
  <si>
    <t>Sum</t>
  </si>
  <si>
    <t>Sav</t>
  </si>
  <si>
    <t>Income tax rate</t>
  </si>
  <si>
    <t>Consumption tax rate</t>
  </si>
  <si>
    <t>Interest rate tax</t>
  </si>
  <si>
    <t>No taxes</t>
  </si>
  <si>
    <t>Labor tax</t>
  </si>
  <si>
    <t>High Interest Rate</t>
  </si>
  <si>
    <t xml:space="preserve">Low Interest Rate </t>
  </si>
  <si>
    <t>Welfare</t>
  </si>
  <si>
    <t>Wage</t>
  </si>
  <si>
    <t>Assets</t>
  </si>
  <si>
    <t>Natural Rate</t>
  </si>
  <si>
    <t>lambda0</t>
  </si>
  <si>
    <t>Lbar</t>
  </si>
  <si>
    <t>Cbar</t>
  </si>
  <si>
    <t>Lambda</t>
  </si>
  <si>
    <t>EXERCISE 5.3: Consumption-leisure decision with taxes</t>
  </si>
  <si>
    <t>Wage1</t>
  </si>
  <si>
    <t>Rev from C</t>
  </si>
  <si>
    <t>Rev from W</t>
  </si>
  <si>
    <t>Rev from B</t>
  </si>
  <si>
    <t>Total Rev</t>
  </si>
  <si>
    <t>This is an exercise for solving and simulating a model for interet rate or base wage changes, under no taxes and alternative income and consumption tax regimes.  We will leave out the tax rates on the interest receipts.</t>
  </si>
  <si>
    <t xml:space="preserve">The way to compare the effects of the tax regimes is to look at the welfare measure,  the some of column I, the discounted utilities. </t>
  </si>
  <si>
    <t xml:space="preserve">One specific exercises:  compare the consumption tax, the income tax and a mixed indome tax under revenue neutral regimes.  In other words, given the starting values, the tax rates on consumption or wage income or both are calibrated to generate the same steady state revenue.  Then do some wage changes or interest rate changes under the alternative tax regimes and compare the welfare effects.  </t>
  </si>
  <si>
    <t xml:space="preserve">Notes on Exercise. </t>
  </si>
  <si>
    <t xml:space="preserve">The parameters are all specified, except for gamma, the coefficient of the ditulity of labor.  Given that we want ot set labor at .33 and have the Frisch coefficient preset, this means that the Gamma has to adjust for the first-order condition for labor. </t>
  </si>
  <si>
    <t>Once you change a parameter, you need to go to the solver to find the optimal consumption and labor supply path subject to the no-Ponzi game condition.</t>
  </si>
  <si>
    <t>Revenue neutral tax regimes.</t>
  </si>
  <si>
    <t>Since the steady states for c, income are the same in zero taxes:</t>
  </si>
  <si>
    <t>1.  try setting tau_c = .2  tau_w = 0,  look at revenue and welfare</t>
  </si>
  <si>
    <t>2   try setting tau_c = 0, tau_w = .2, look at revenue and welfare</t>
  </si>
  <si>
    <t xml:space="preserve">2.  try setting tau_w = tau_c = .1, look at revenue and welfare. </t>
  </si>
  <si>
    <t>Given that we have to have taxes, which regime is better in terms of average welfare and welfare?</t>
  </si>
  <si>
    <t>Dis Rev</t>
  </si>
  <si>
    <t>Discounted Revenue</t>
  </si>
  <si>
    <t>Both</t>
  </si>
  <si>
    <t>A</t>
  </si>
  <si>
    <t>B</t>
  </si>
  <si>
    <t>A_i</t>
  </si>
  <si>
    <t>B_i</t>
  </si>
  <si>
    <t>CEC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</si>
</sst>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0"/>
      <name val="Arial"/>
      <family val="2"/>
    </font>
    <font>
      <b/>
      <sz val="11"/>
      <name val="Times New Roman"/>
      <family val="1"/>
    </font>
    <font>
      <sz val="11"/>
      <name val="Times New Roman"/>
      <family val="1"/>
    </font>
    <font>
      <b/>
      <i/>
      <sz val="11"/>
      <color theme="0"/>
      <name val="Times New Roman"/>
      <family val="1"/>
    </font>
    <font>
      <sz val="11"/>
      <color theme="0"/>
      <name val="Times New Roman"/>
      <family val="1"/>
    </font>
    <font>
      <b/>
      <sz val="11"/>
      <color theme="0"/>
      <name val="Times New Roman"/>
      <family val="1"/>
    </font>
  </fonts>
  <fills count="5">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1" tint="0.34998626667073579"/>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s>
  <cellStyleXfs count="1">
    <xf numFmtId="0" fontId="0" fillId="0" borderId="0"/>
  </cellStyleXfs>
  <cellXfs count="23">
    <xf numFmtId="0" fontId="0" fillId="0" borderId="0" xfId="0"/>
    <xf numFmtId="0" fontId="2" fillId="0" borderId="0" xfId="0" applyFont="1"/>
    <xf numFmtId="0" fontId="1" fillId="0" borderId="0" xfId="0" applyFont="1"/>
    <xf numFmtId="0" fontId="1" fillId="0" borderId="0" xfId="0" applyFont="1" applyAlignment="1">
      <alignment horizontal="center"/>
    </xf>
    <xf numFmtId="164" fontId="2" fillId="0" borderId="0" xfId="0" applyNumberFormat="1" applyFont="1"/>
    <xf numFmtId="2" fontId="2" fillId="0" borderId="0" xfId="0" applyNumberFormat="1" applyFont="1"/>
    <xf numFmtId="0" fontId="1" fillId="2" borderId="1" xfId="0" applyFont="1" applyFill="1" applyBorder="1"/>
    <xf numFmtId="0" fontId="2" fillId="3" borderId="2" xfId="0" applyFont="1" applyFill="1" applyBorder="1"/>
    <xf numFmtId="0" fontId="2" fillId="3" borderId="3" xfId="0" applyFont="1" applyFill="1" applyBorder="1"/>
    <xf numFmtId="0" fontId="2" fillId="3" borderId="4" xfId="0" applyFont="1" applyFill="1" applyBorder="1"/>
    <xf numFmtId="0" fontId="2" fillId="3" borderId="5" xfId="0" applyFont="1" applyFill="1" applyBorder="1"/>
    <xf numFmtId="0" fontId="3" fillId="4" borderId="6" xfId="0" applyFont="1" applyFill="1" applyBorder="1"/>
    <xf numFmtId="0" fontId="4" fillId="4" borderId="7" xfId="0" applyFont="1" applyFill="1" applyBorder="1"/>
    <xf numFmtId="0" fontId="2" fillId="3" borderId="2" xfId="0" applyFont="1" applyFill="1" applyBorder="1" applyAlignment="1">
      <alignment horizontal="center"/>
    </xf>
    <xf numFmtId="2" fontId="2" fillId="3" borderId="0" xfId="0" applyNumberFormat="1" applyFont="1" applyFill="1"/>
    <xf numFmtId="2" fontId="2" fillId="3" borderId="3" xfId="0" applyNumberFormat="1" applyFont="1" applyFill="1" applyBorder="1"/>
    <xf numFmtId="0" fontId="5" fillId="4" borderId="6" xfId="0" applyFont="1" applyFill="1" applyBorder="1" applyAlignment="1">
      <alignment horizontal="center"/>
    </xf>
    <xf numFmtId="0" fontId="5" fillId="4" borderId="8" xfId="0" applyFont="1" applyFill="1" applyBorder="1" applyAlignment="1">
      <alignment horizontal="right"/>
    </xf>
    <xf numFmtId="0" fontId="5" fillId="4" borderId="7" xfId="0" applyFont="1" applyFill="1" applyBorder="1" applyAlignment="1">
      <alignment horizontal="right"/>
    </xf>
    <xf numFmtId="0" fontId="1" fillId="3" borderId="4" xfId="0" applyFont="1" applyFill="1" applyBorder="1" applyAlignment="1">
      <alignment horizontal="center"/>
    </xf>
    <xf numFmtId="2" fontId="1" fillId="3" borderId="9" xfId="0" applyNumberFormat="1" applyFont="1" applyFill="1" applyBorder="1"/>
    <xf numFmtId="2" fontId="1" fillId="3" borderId="5" xfId="0" applyNumberFormat="1" applyFont="1" applyFill="1" applyBorder="1"/>
    <xf numFmtId="165" fontId="2" fillId="0" borderId="0" xfId="0" applyNumberFormat="1" applyFo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B3B3B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48"/>
  <sheetViews>
    <sheetView tabSelected="1" workbookViewId="0">
      <selection activeCell="L48" sqref="L48"/>
    </sheetView>
  </sheetViews>
  <sheetFormatPr defaultColWidth="11.5703125" defaultRowHeight="15" x14ac:dyDescent="0.25"/>
  <cols>
    <col min="1" max="1" width="42.5703125" style="1" customWidth="1"/>
    <col min="2" max="2" width="6.7109375" style="1" customWidth="1"/>
    <col min="3" max="3" width="4.28515625" style="1" customWidth="1"/>
    <col min="4" max="4" width="9.140625" style="1" customWidth="1"/>
    <col min="5" max="5" width="12.28515625" style="1" customWidth="1"/>
    <col min="6" max="6" width="8.140625" style="1" customWidth="1"/>
    <col min="7" max="7" width="7.85546875" style="1" customWidth="1"/>
    <col min="8" max="8" width="9.140625" style="1" customWidth="1"/>
    <col min="9" max="9" width="8.5703125" style="1" customWidth="1"/>
    <col min="10" max="10" width="22.28515625" style="1" customWidth="1"/>
    <col min="11" max="16384" width="11.5703125" style="1"/>
  </cols>
  <sheetData>
    <row r="1" spans="1:59" ht="15.75" thickBot="1" x14ac:dyDescent="0.3">
      <c r="A1" s="6" t="s">
        <v>31</v>
      </c>
      <c r="L1" s="1" t="s">
        <v>33</v>
      </c>
      <c r="M1" s="1" t="s">
        <v>34</v>
      </c>
      <c r="N1" s="1" t="s">
        <v>35</v>
      </c>
      <c r="O1" s="1" t="s">
        <v>36</v>
      </c>
      <c r="P1" s="1" t="s">
        <v>49</v>
      </c>
      <c r="Q1" s="1" t="s">
        <v>52</v>
      </c>
      <c r="R1" s="1" t="s">
        <v>53</v>
      </c>
      <c r="S1" s="1" t="s">
        <v>40</v>
      </c>
      <c r="BD1" s="2"/>
    </row>
    <row r="2" spans="1:59" ht="15.75" thickBot="1" x14ac:dyDescent="0.3">
      <c r="A2" s="1" t="s">
        <v>0</v>
      </c>
      <c r="D2" s="16" t="s">
        <v>8</v>
      </c>
      <c r="E2" s="17" t="s">
        <v>13</v>
      </c>
      <c r="F2" s="17" t="s">
        <v>9</v>
      </c>
      <c r="G2" s="17" t="s">
        <v>10</v>
      </c>
      <c r="H2" s="17" t="s">
        <v>25</v>
      </c>
      <c r="I2" s="18" t="s">
        <v>12</v>
      </c>
      <c r="J2" s="1" t="s">
        <v>15</v>
      </c>
      <c r="K2" s="1" t="s">
        <v>30</v>
      </c>
      <c r="S2" s="1" t="s">
        <v>37</v>
      </c>
      <c r="BD2" s="3"/>
      <c r="BE2" s="3"/>
      <c r="BF2" s="3"/>
    </row>
    <row r="3" spans="1:59" x14ac:dyDescent="0.25">
      <c r="A3" s="11" t="s">
        <v>5</v>
      </c>
      <c r="B3" s="12"/>
      <c r="D3" s="13">
        <v>0</v>
      </c>
      <c r="E3" s="14">
        <f>Cbar</f>
        <v>8.1818181818181817</v>
      </c>
      <c r="F3" s="14">
        <f>(Wbar*(1-tau_w) * K3/Gamma)^Phi</f>
        <v>0.33333333333333331</v>
      </c>
      <c r="G3" s="14">
        <f t="shared" ref="G3:G33" si="0">Wbar*(1-tau_w)*F3</f>
        <v>9</v>
      </c>
      <c r="H3" s="14">
        <f>G3-E3*(1+tau_c)</f>
        <v>0</v>
      </c>
      <c r="I3" s="15">
        <f>Beta^D3*((E3^(1-Sigma)-1)/(1-Sigma)-Gamma*((F3^(1+(1/Phi)))/(1+(1/Phi))))</f>
        <v>1.1842597847565488</v>
      </c>
      <c r="J3" s="22">
        <f t="shared" ref="J3:J33" si="1">G3-E3*(1+tau_c)</f>
        <v>0</v>
      </c>
      <c r="K3" s="1">
        <f t="shared" ref="K3:K33" si="2" xml:space="preserve"> E3^(-Sigma)/(1+tau_c)</f>
        <v>3.8844772154450063E-2</v>
      </c>
      <c r="L3" s="1">
        <f t="shared" ref="L3:L33" si="3">tau_c*E3</f>
        <v>0.81818181818181823</v>
      </c>
      <c r="M3" s="1">
        <f t="shared" ref="M3:M33" si="4">tau_w*G3</f>
        <v>0.9</v>
      </c>
      <c r="N3" s="1">
        <f t="shared" ref="N3:N33" si="5">IF(H3&gt;0,tau_ret*R_0* H3,0)</f>
        <v>0</v>
      </c>
      <c r="O3" s="1">
        <f>L3+M3+N3</f>
        <v>1.7181818181818183</v>
      </c>
      <c r="P3" s="1">
        <f>Beta^D3 * O3</f>
        <v>1.7181818181818183</v>
      </c>
      <c r="Q3" s="1">
        <f>Beta^D3*E3^(1-Sigma)</f>
        <v>0.34960294939005049</v>
      </c>
      <c r="R3" s="1">
        <f>Beta^D3*F3^(1+1/Phi)/(1+1/Phi)</f>
        <v>1.2345679012345678E-2</v>
      </c>
    </row>
    <row r="4" spans="1:59" x14ac:dyDescent="0.25">
      <c r="A4" s="7" t="s">
        <v>1</v>
      </c>
      <c r="B4" s="8">
        <v>0.97</v>
      </c>
      <c r="D4" s="13">
        <f>D3+1</f>
        <v>1</v>
      </c>
      <c r="E4" s="14">
        <v>7.6417195161990605</v>
      </c>
      <c r="F4" s="14">
        <f t="shared" ref="F4:F33" si="6">(W_1*(1-tau_w) * K4/Gamma)^Phi</f>
        <v>0.35085106051581566</v>
      </c>
      <c r="G4" s="14">
        <f t="shared" si="0"/>
        <v>9.4729786339270223</v>
      </c>
      <c r="H4" s="14">
        <f t="shared" ref="H4:H33" si="7">IF(H3&gt;0, 1+R_0*(1-tau_ret), 1+R_0)*H3 + G4 - E4*(1+tau_c)</f>
        <v>1.0670871661080543</v>
      </c>
      <c r="I4" s="15">
        <f t="shared" ref="I4:I33" si="8">Beta^D4*((E4^(1-Sigma)-1)/(1-Sigma)-Gamma*((F4^(1+(1/Phi)))/(1+(1/Phi))))</f>
        <v>1.1063987648210674</v>
      </c>
      <c r="J4" s="22">
        <f t="shared" si="1"/>
        <v>1.0670871661080543</v>
      </c>
      <c r="K4" s="1">
        <f t="shared" si="2"/>
        <v>4.3034887805603397E-2</v>
      </c>
      <c r="L4" s="1">
        <f t="shared" si="3"/>
        <v>0.76417195161990614</v>
      </c>
      <c r="M4" s="1">
        <f t="shared" si="4"/>
        <v>0.94729786339270228</v>
      </c>
      <c r="N4" s="1">
        <f t="shared" si="5"/>
        <v>0</v>
      </c>
      <c r="O4" s="1">
        <f t="shared" ref="O4:O33" si="9">L4+M4+N4</f>
        <v>1.7114698150126084</v>
      </c>
      <c r="P4" s="1">
        <f>Beta^D4 * O4</f>
        <v>1.6601257205622302</v>
      </c>
      <c r="Q4" s="1">
        <f>Beta^D4*E4^(1-Sigma)</f>
        <v>0.35089419833695795</v>
      </c>
      <c r="R4" s="1">
        <f>Beta^D4*F4^(1+1/Phi)/(1+1/Phi)</f>
        <v>1.3964290032978248E-2</v>
      </c>
    </row>
    <row r="5" spans="1:59" x14ac:dyDescent="0.25">
      <c r="A5" s="7" t="s">
        <v>3</v>
      </c>
      <c r="B5" s="8">
        <v>1.5</v>
      </c>
      <c r="D5" s="13">
        <f t="shared" ref="D5:D33" si="10">D4+1</f>
        <v>2</v>
      </c>
      <c r="E5" s="14">
        <v>7.6903305690654529</v>
      </c>
      <c r="F5" s="14">
        <f t="shared" si="6"/>
        <v>0.34918642944249723</v>
      </c>
      <c r="G5" s="14">
        <f t="shared" si="0"/>
        <v>9.4280335949474257</v>
      </c>
      <c r="H5" s="14">
        <f t="shared" si="7"/>
        <v>2.0784406217278022</v>
      </c>
      <c r="I5" s="15">
        <f t="shared" si="8"/>
        <v>1.0771729679787978</v>
      </c>
      <c r="J5" s="22">
        <f t="shared" si="1"/>
        <v>0.96866996897542634</v>
      </c>
      <c r="K5" s="1">
        <f t="shared" si="2"/>
        <v>4.2627494034934869E-2</v>
      </c>
      <c r="L5" s="1">
        <f t="shared" si="3"/>
        <v>0.76903305690654533</v>
      </c>
      <c r="M5" s="1">
        <f t="shared" si="4"/>
        <v>0.94280335949474259</v>
      </c>
      <c r="N5" s="1">
        <f t="shared" si="5"/>
        <v>0</v>
      </c>
      <c r="O5" s="1">
        <f t="shared" si="9"/>
        <v>1.711836416401288</v>
      </c>
      <c r="P5" s="1">
        <f>Beta^D5 * O5</f>
        <v>1.6106668841919718</v>
      </c>
      <c r="Q5" s="1">
        <f>Beta^D5*E5^(1-Sigma)</f>
        <v>0.33928992548039327</v>
      </c>
      <c r="R5" s="1">
        <f>Beta^D5*F5^(1+1/Phi)/(1+1/Phi)</f>
        <v>1.3353474624552414E-2</v>
      </c>
    </row>
    <row r="6" spans="1:59" x14ac:dyDescent="0.25">
      <c r="A6" s="7" t="s">
        <v>2</v>
      </c>
      <c r="B6" s="8">
        <f>(Wbar * (1-tau_w) *lambda0)/(Lbar^(1/Phi))</f>
        <v>9.4392796335313651</v>
      </c>
      <c r="D6" s="13">
        <f t="shared" si="10"/>
        <v>3</v>
      </c>
      <c r="E6" s="14">
        <v>7.7279002918312045</v>
      </c>
      <c r="F6" s="14">
        <f t="shared" si="6"/>
        <v>0.34791245863744702</v>
      </c>
      <c r="G6" s="14">
        <f t="shared" si="0"/>
        <v>9.393636383211069</v>
      </c>
      <c r="H6" s="14">
        <f t="shared" si="7"/>
        <v>3.054524308793658</v>
      </c>
      <c r="I6" s="15">
        <f t="shared" si="8"/>
        <v>1.047793071160362</v>
      </c>
      <c r="J6" s="22">
        <f t="shared" si="1"/>
        <v>0.89294606219674399</v>
      </c>
      <c r="K6" s="1">
        <f t="shared" si="2"/>
        <v>4.2317017378006111E-2</v>
      </c>
      <c r="L6" s="1">
        <f t="shared" si="3"/>
        <v>0.77279002918312045</v>
      </c>
      <c r="M6" s="1">
        <f t="shared" si="4"/>
        <v>0.93936363832110692</v>
      </c>
      <c r="N6" s="1">
        <f t="shared" si="5"/>
        <v>0</v>
      </c>
      <c r="O6" s="1">
        <f t="shared" si="9"/>
        <v>1.7121536675042273</v>
      </c>
      <c r="P6" s="1">
        <f>Beta^D6 * O6</f>
        <v>1.5626364241820856</v>
      </c>
      <c r="Q6" s="1">
        <f>Beta^D6*E6^(1-Sigma)</f>
        <v>0.32831025451374996</v>
      </c>
      <c r="R6" s="1">
        <f>Beta^D6*F6^(1+1/Phi)/(1+1/Phi)</f>
        <v>1.2811615346424001E-2</v>
      </c>
      <c r="S6" s="1" t="s">
        <v>38</v>
      </c>
    </row>
    <row r="7" spans="1:59" ht="15.75" thickBot="1" x14ac:dyDescent="0.3">
      <c r="A7" s="9" t="s">
        <v>4</v>
      </c>
      <c r="B7" s="10">
        <v>0.5</v>
      </c>
      <c r="D7" s="13">
        <f t="shared" si="10"/>
        <v>4</v>
      </c>
      <c r="E7" s="14">
        <v>7.7751701896449239</v>
      </c>
      <c r="F7" s="14">
        <f t="shared" si="6"/>
        <v>0.34632487447181109</v>
      </c>
      <c r="G7" s="14">
        <f t="shared" si="0"/>
        <v>9.3507716107388994</v>
      </c>
      <c r="H7" s="14">
        <f t="shared" si="7"/>
        <v>3.9747896832748868</v>
      </c>
      <c r="I7" s="15">
        <f t="shared" si="8"/>
        <v>1.0198968690742261</v>
      </c>
      <c r="J7" s="22">
        <f t="shared" si="1"/>
        <v>0.79808440212948284</v>
      </c>
      <c r="K7" s="1">
        <f t="shared" si="2"/>
        <v>4.1931698922351532E-2</v>
      </c>
      <c r="L7" s="1">
        <f t="shared" si="3"/>
        <v>0.77751701896449243</v>
      </c>
      <c r="M7" s="1">
        <f t="shared" si="4"/>
        <v>0.93507716107388994</v>
      </c>
      <c r="N7" s="1">
        <f t="shared" si="5"/>
        <v>0</v>
      </c>
      <c r="O7" s="1">
        <f t="shared" si="9"/>
        <v>1.7125941800383824</v>
      </c>
      <c r="P7" s="1">
        <f>Beta^D7 * O7</f>
        <v>1.5161473140358253</v>
      </c>
      <c r="Q7" s="1">
        <f>Beta^D7*E7^(1-Sigma)</f>
        <v>0.31749141400359809</v>
      </c>
      <c r="R7" s="1">
        <f>Beta^D7*F7^(1+1/Phi)/(1+1/Phi)</f>
        <v>1.2257918761888654E-2</v>
      </c>
    </row>
    <row r="8" spans="1:59" ht="15.75" thickBot="1" x14ac:dyDescent="0.3">
      <c r="D8" s="13">
        <f t="shared" si="10"/>
        <v>5</v>
      </c>
      <c r="E8" s="14">
        <v>7.8245333236836379</v>
      </c>
      <c r="F8" s="14">
        <f t="shared" si="6"/>
        <v>0.34468491740022567</v>
      </c>
      <c r="G8" s="14">
        <f t="shared" si="0"/>
        <v>9.3064927698060931</v>
      </c>
      <c r="H8" s="14">
        <f t="shared" si="7"/>
        <v>4.8332873843599717</v>
      </c>
      <c r="I8" s="15">
        <f t="shared" si="8"/>
        <v>0.99283278831556032</v>
      </c>
      <c r="J8" s="22">
        <f t="shared" si="1"/>
        <v>0.69950611375409011</v>
      </c>
      <c r="K8" s="1">
        <f t="shared" si="2"/>
        <v>4.1535519632432412E-2</v>
      </c>
      <c r="L8" s="1">
        <f t="shared" si="3"/>
        <v>0.78245333236836379</v>
      </c>
      <c r="M8" s="1">
        <f t="shared" si="4"/>
        <v>0.9306492769806094</v>
      </c>
      <c r="N8" s="1">
        <f t="shared" si="5"/>
        <v>0</v>
      </c>
      <c r="O8" s="1">
        <f t="shared" si="9"/>
        <v>1.7131026093489732</v>
      </c>
      <c r="P8" s="1">
        <f>Beta^D8 * O8</f>
        <v>1.471099500163418</v>
      </c>
      <c r="Q8" s="1">
        <f>Beta^D8*E8^(1-Sigma)</f>
        <v>0.30699369005452848</v>
      </c>
      <c r="R8" s="1">
        <f>Beta^D8*F8^(1+1/Phi)/(1+1/Phi)</f>
        <v>1.172206855513905E-2</v>
      </c>
      <c r="BG8" s="4"/>
    </row>
    <row r="9" spans="1:59" x14ac:dyDescent="0.25">
      <c r="A9" s="11" t="s">
        <v>6</v>
      </c>
      <c r="B9" s="12"/>
      <c r="D9" s="13">
        <f t="shared" si="10"/>
        <v>6</v>
      </c>
      <c r="E9" s="14">
        <v>7.8724359856642092</v>
      </c>
      <c r="F9" s="14">
        <f t="shared" si="6"/>
        <v>0.34311069859709342</v>
      </c>
      <c r="G9" s="14">
        <f t="shared" si="0"/>
        <v>9.2639888621215221</v>
      </c>
      <c r="H9" s="14">
        <f t="shared" si="7"/>
        <v>5.630928157625263</v>
      </c>
      <c r="I9" s="15">
        <f t="shared" si="8"/>
        <v>0.96632638343218658</v>
      </c>
      <c r="J9" s="22">
        <f t="shared" si="1"/>
        <v>0.60430927789089139</v>
      </c>
      <c r="K9" s="1">
        <f t="shared" si="2"/>
        <v>4.1156990258328828E-2</v>
      </c>
      <c r="L9" s="1">
        <f t="shared" si="3"/>
        <v>0.78724359856642101</v>
      </c>
      <c r="M9" s="1">
        <f t="shared" si="4"/>
        <v>0.92639888621215227</v>
      </c>
      <c r="N9" s="1">
        <f t="shared" si="5"/>
        <v>0</v>
      </c>
      <c r="O9" s="1">
        <f t="shared" si="9"/>
        <v>1.7136424847785734</v>
      </c>
      <c r="P9" s="1">
        <f>Beta^D9 * O9</f>
        <v>1.4274162162775215</v>
      </c>
      <c r="Q9" s="1">
        <f>Beta^D9*E9^(1-Sigma)</f>
        <v>0.29687651050323627</v>
      </c>
      <c r="R9" s="1">
        <f>Beta^D9*F9^(1+1/Phi)/(1+1/Phi)</f>
        <v>1.1215326754731933E-2</v>
      </c>
    </row>
    <row r="10" spans="1:59" ht="15.75" thickBot="1" x14ac:dyDescent="0.3">
      <c r="A10" s="9" t="s">
        <v>7</v>
      </c>
      <c r="B10" s="10">
        <v>0.04</v>
      </c>
      <c r="D10" s="13">
        <f t="shared" si="10"/>
        <v>7</v>
      </c>
      <c r="E10" s="14">
        <v>7.9181918429227789</v>
      </c>
      <c r="F10" s="14">
        <f t="shared" si="6"/>
        <v>0.34162260398377647</v>
      </c>
      <c r="G10" s="14">
        <f t="shared" si="0"/>
        <v>9.2238103075619655</v>
      </c>
      <c r="H10" s="14">
        <f t="shared" si="7"/>
        <v>6.3699645642771827</v>
      </c>
      <c r="I10" s="15">
        <f t="shared" si="8"/>
        <v>0.94033337702580322</v>
      </c>
      <c r="J10" s="22">
        <f t="shared" si="1"/>
        <v>0.51379928034690892</v>
      </c>
      <c r="K10" s="1">
        <f t="shared" si="2"/>
        <v>4.080076305353432E-2</v>
      </c>
      <c r="L10" s="1">
        <f t="shared" si="3"/>
        <v>0.79181918429227793</v>
      </c>
      <c r="M10" s="1">
        <f t="shared" si="4"/>
        <v>0.9223810307561966</v>
      </c>
      <c r="N10" s="1">
        <f t="shared" si="5"/>
        <v>0</v>
      </c>
      <c r="O10" s="1">
        <f t="shared" si="9"/>
        <v>1.7142002150484745</v>
      </c>
      <c r="P10" s="1">
        <f>Beta^D10 * O10</f>
        <v>1.3850443662792911</v>
      </c>
      <c r="Q10" s="1">
        <f>Beta^D10*E10^(1-Sigma)</f>
        <v>0.28713698112342378</v>
      </c>
      <c r="R10" s="1">
        <f>Beta^D10*F10^(1+1/Phi)/(1+1/Phi)</f>
        <v>1.073793278986581E-2</v>
      </c>
      <c r="S10" s="1" t="s">
        <v>39</v>
      </c>
    </row>
    <row r="11" spans="1:59" x14ac:dyDescent="0.25">
      <c r="A11" s="1" t="s">
        <v>26</v>
      </c>
      <c r="B11" s="1">
        <f>1/Beta - 1</f>
        <v>3.0927835051546504E-2</v>
      </c>
      <c r="D11" s="13">
        <f t="shared" si="10"/>
        <v>8</v>
      </c>
      <c r="E11" s="14">
        <v>7.9625776790426146</v>
      </c>
      <c r="F11" s="14">
        <f t="shared" si="6"/>
        <v>0.34019337506272823</v>
      </c>
      <c r="G11" s="14">
        <f t="shared" si="0"/>
        <v>9.1852211266936621</v>
      </c>
      <c r="H11" s="14">
        <f t="shared" si="7"/>
        <v>7.051148826595055</v>
      </c>
      <c r="I11" s="15">
        <f t="shared" si="8"/>
        <v>0.91490694033845199</v>
      </c>
      <c r="J11" s="22">
        <f t="shared" si="1"/>
        <v>0.42638567974678487</v>
      </c>
      <c r="K11" s="1">
        <f t="shared" si="2"/>
        <v>4.0460085077255209E-2</v>
      </c>
      <c r="L11" s="1">
        <f t="shared" si="3"/>
        <v>0.7962577679042615</v>
      </c>
      <c r="M11" s="1">
        <f t="shared" si="4"/>
        <v>0.91852211266936623</v>
      </c>
      <c r="N11" s="1">
        <f t="shared" si="5"/>
        <v>0</v>
      </c>
      <c r="O11" s="1">
        <f t="shared" si="9"/>
        <v>1.7147798805736278</v>
      </c>
      <c r="P11" s="1">
        <f>Beta^D11 * O11</f>
        <v>1.3439473442969463</v>
      </c>
      <c r="Q11" s="1">
        <f>Beta^D11*E11^(1-Sigma)</f>
        <v>0.27774550114039998</v>
      </c>
      <c r="R11" s="1">
        <f>Beta^D11*F11^(1+1/Phi)/(1+1/Phi)</f>
        <v>1.028561288842947E-2</v>
      </c>
    </row>
    <row r="12" spans="1:59" x14ac:dyDescent="0.25">
      <c r="A12" s="1" t="s">
        <v>16</v>
      </c>
      <c r="B12" s="1">
        <v>0.1</v>
      </c>
      <c r="C12" s="1" t="s">
        <v>0</v>
      </c>
      <c r="D12" s="13">
        <f t="shared" si="10"/>
        <v>9</v>
      </c>
      <c r="E12" s="14">
        <v>8.0067504771784197</v>
      </c>
      <c r="F12" s="14">
        <f t="shared" si="6"/>
        <v>0.33878478112230875</v>
      </c>
      <c r="G12" s="14">
        <f t="shared" si="0"/>
        <v>9.1471890903023372</v>
      </c>
      <c r="H12" s="14">
        <f t="shared" si="7"/>
        <v>7.6729583450649326</v>
      </c>
      <c r="I12" s="15">
        <f t="shared" si="8"/>
        <v>0.89011311598310006</v>
      </c>
      <c r="J12" s="22">
        <f t="shared" si="1"/>
        <v>0.33976356540607533</v>
      </c>
      <c r="K12" s="1">
        <f t="shared" si="2"/>
        <v>4.0125723237484034E-2</v>
      </c>
      <c r="L12" s="1">
        <f t="shared" si="3"/>
        <v>0.80067504771784204</v>
      </c>
      <c r="M12" s="1">
        <f t="shared" si="4"/>
        <v>0.91471890903023378</v>
      </c>
      <c r="N12" s="1">
        <f t="shared" si="5"/>
        <v>0</v>
      </c>
      <c r="O12" s="1">
        <f t="shared" si="9"/>
        <v>1.7153939567480758</v>
      </c>
      <c r="P12" s="1">
        <f>Beta^D12 * O12</f>
        <v>1.3040957637482329</v>
      </c>
      <c r="Q12" s="1">
        <f>Beta^D12*E12^(1-Sigma)</f>
        <v>0.26866893960199884</v>
      </c>
      <c r="R12" s="1">
        <f>Beta^D12*F12^(1+1/Phi)/(1+1/Phi)</f>
        <v>9.8536250363456899E-3</v>
      </c>
    </row>
    <row r="13" spans="1:59" x14ac:dyDescent="0.25">
      <c r="A13" s="1" t="s">
        <v>17</v>
      </c>
      <c r="B13" s="1">
        <v>0.1</v>
      </c>
      <c r="D13" s="13">
        <f t="shared" si="10"/>
        <v>10</v>
      </c>
      <c r="E13" s="14">
        <v>8.0516734786423019</v>
      </c>
      <c r="F13" s="14">
        <f t="shared" si="6"/>
        <v>0.33736614422376093</v>
      </c>
      <c r="G13" s="14">
        <f t="shared" si="0"/>
        <v>9.1088858940415456</v>
      </c>
      <c r="H13" s="14">
        <f t="shared" si="7"/>
        <v>8.2319217464025431</v>
      </c>
      <c r="I13" s="15">
        <f t="shared" si="8"/>
        <v>0.86599442094309464</v>
      </c>
      <c r="J13" s="22">
        <f t="shared" si="1"/>
        <v>0.25204506753501299</v>
      </c>
      <c r="K13" s="1">
        <f t="shared" si="2"/>
        <v>3.9790379665363335E-2</v>
      </c>
      <c r="L13" s="1">
        <f t="shared" si="3"/>
        <v>0.80516734786423028</v>
      </c>
      <c r="M13" s="1">
        <f t="shared" si="4"/>
        <v>0.91088858940415462</v>
      </c>
      <c r="N13" s="1">
        <f t="shared" si="5"/>
        <v>0</v>
      </c>
      <c r="O13" s="1">
        <f t="shared" si="9"/>
        <v>1.716055937268385</v>
      </c>
      <c r="P13" s="1">
        <f>Beta^D13 * O13</f>
        <v>1.2654610512429965</v>
      </c>
      <c r="Q13" s="1">
        <f>Beta^D13*E13^(1-Sigma)</f>
        <v>0.25988084212620333</v>
      </c>
      <c r="R13" s="1">
        <f>Beta^D13*F13^(1+1/Phi)/(1+1/Phi)</f>
        <v>9.438447853358534E-3</v>
      </c>
      <c r="S13" s="1" t="s">
        <v>41</v>
      </c>
    </row>
    <row r="14" spans="1:59" x14ac:dyDescent="0.25">
      <c r="A14" s="1" t="s">
        <v>18</v>
      </c>
      <c r="B14" s="1">
        <v>0</v>
      </c>
      <c r="D14" s="13">
        <f t="shared" si="10"/>
        <v>11</v>
      </c>
      <c r="E14" s="14">
        <v>8.0978948852444841</v>
      </c>
      <c r="F14" s="14">
        <f t="shared" si="6"/>
        <v>0.33592088991849978</v>
      </c>
      <c r="G14" s="14">
        <f t="shared" si="0"/>
        <v>9.0698640277994933</v>
      </c>
      <c r="H14" s="14">
        <f t="shared" si="7"/>
        <v>8.7233782702892064</v>
      </c>
      <c r="I14" s="15">
        <f t="shared" si="8"/>
        <v>0.84256139604000246</v>
      </c>
      <c r="J14" s="22">
        <f t="shared" si="1"/>
        <v>0.16217965403055956</v>
      </c>
      <c r="K14" s="1">
        <f t="shared" si="2"/>
        <v>3.9450191179121644E-2</v>
      </c>
      <c r="L14" s="1">
        <f t="shared" si="3"/>
        <v>0.80978948852444843</v>
      </c>
      <c r="M14" s="1">
        <f t="shared" si="4"/>
        <v>0.90698640277994935</v>
      </c>
      <c r="N14" s="1">
        <f t="shared" si="5"/>
        <v>0</v>
      </c>
      <c r="O14" s="1">
        <f t="shared" si="9"/>
        <v>1.7167758913043978</v>
      </c>
      <c r="P14" s="1">
        <f>Beta^D14 * O14</f>
        <v>1.2280122038378254</v>
      </c>
      <c r="Q14" s="1">
        <f>Beta^D14*E14^(1-Sigma)</f>
        <v>0.25136395984297466</v>
      </c>
      <c r="R14" s="1">
        <f>Beta^D14*F14^(1+1/Phi)/(1+1/Phi)</f>
        <v>9.0381357224705843E-3</v>
      </c>
    </row>
    <row r="15" spans="1:59" x14ac:dyDescent="0.25">
      <c r="A15" s="1" t="s">
        <v>24</v>
      </c>
      <c r="B15" s="1">
        <v>30</v>
      </c>
      <c r="C15" s="2" t="s">
        <v>0</v>
      </c>
      <c r="D15" s="13">
        <f t="shared" si="10"/>
        <v>12</v>
      </c>
      <c r="E15" s="14">
        <v>8.1455601689087018</v>
      </c>
      <c r="F15" s="14">
        <f t="shared" si="6"/>
        <v>0.3344455305072398</v>
      </c>
      <c r="G15" s="14">
        <f t="shared" si="0"/>
        <v>9.0300293236954747</v>
      </c>
      <c r="H15" s="14">
        <f t="shared" si="7"/>
        <v>9.1422265389966793</v>
      </c>
      <c r="I15" s="15">
        <f t="shared" si="8"/>
        <v>0.81979900630912017</v>
      </c>
      <c r="J15" s="22">
        <f t="shared" si="1"/>
        <v>6.9913137895902366E-2</v>
      </c>
      <c r="K15" s="1">
        <f t="shared" si="2"/>
        <v>3.9104422882066475E-2</v>
      </c>
      <c r="L15" s="1">
        <f t="shared" si="3"/>
        <v>0.8145560168908702</v>
      </c>
      <c r="M15" s="1">
        <f t="shared" si="4"/>
        <v>0.90300293236954754</v>
      </c>
      <c r="N15" s="1">
        <f t="shared" si="5"/>
        <v>0</v>
      </c>
      <c r="O15" s="1">
        <f t="shared" si="9"/>
        <v>1.7175589492604177</v>
      </c>
      <c r="P15" s="1">
        <f>Beta^D15 * O15</f>
        <v>1.1917151565036916</v>
      </c>
      <c r="Q15" s="1">
        <f>Beta^D15*E15^(1-Sigma)</f>
        <v>0.24310860606536094</v>
      </c>
      <c r="R15" s="1">
        <f>Beta^D15*F15^(1+1/Phi)/(1+1/Phi)</f>
        <v>8.651984761731275E-3</v>
      </c>
    </row>
    <row r="16" spans="1:59" x14ac:dyDescent="0.25">
      <c r="A16" s="1" t="s">
        <v>28</v>
      </c>
      <c r="B16" s="1">
        <f>1/3</f>
        <v>0.33333333333333331</v>
      </c>
      <c r="C16" s="2" t="s">
        <v>0</v>
      </c>
      <c r="D16" s="13">
        <f t="shared" si="10"/>
        <v>13</v>
      </c>
      <c r="E16" s="14">
        <v>8.1945075638763747</v>
      </c>
      <c r="F16" s="14">
        <f t="shared" si="6"/>
        <v>0.33294612764189391</v>
      </c>
      <c r="G16" s="14">
        <f t="shared" si="0"/>
        <v>8.9895454463311353</v>
      </c>
      <c r="H16" s="14">
        <f t="shared" si="7"/>
        <v>9.4835027266236693</v>
      </c>
      <c r="I16" s="15">
        <f t="shared" si="8"/>
        <v>0.7976764156595284</v>
      </c>
      <c r="J16" s="22">
        <f t="shared" si="1"/>
        <v>-2.4412873932877943E-2</v>
      </c>
      <c r="K16" s="1">
        <f t="shared" si="2"/>
        <v>3.8754579068642353E-2</v>
      </c>
      <c r="L16" s="1">
        <f t="shared" si="3"/>
        <v>0.81945075638763754</v>
      </c>
      <c r="M16" s="1">
        <f t="shared" si="4"/>
        <v>0.89895454463311353</v>
      </c>
      <c r="N16" s="1">
        <f t="shared" si="5"/>
        <v>0</v>
      </c>
      <c r="O16" s="1">
        <f t="shared" si="9"/>
        <v>1.7184053010207512</v>
      </c>
      <c r="P16" s="1">
        <f>Beta^D16 * O16</f>
        <v>1.1565333194710947</v>
      </c>
      <c r="Q16" s="1">
        <f>Beta^D16*E16^(1-Sigma)</f>
        <v>0.23511000744495861</v>
      </c>
      <c r="R16" s="1">
        <f>Beta^D16*F16^(1+1/Phi)/(1+1/Phi)</f>
        <v>8.2800544973858324E-3</v>
      </c>
    </row>
    <row r="17" spans="1:19" x14ac:dyDescent="0.25">
      <c r="A17" s="5" t="s">
        <v>27</v>
      </c>
      <c r="B17" s="1">
        <f>Cbar^(-Sigma)/(1+tau_c)</f>
        <v>3.8844772154450063E-2</v>
      </c>
      <c r="C17" s="2"/>
      <c r="D17" s="13">
        <f t="shared" si="10"/>
        <v>14</v>
      </c>
      <c r="E17" s="14">
        <v>8.2443822672873655</v>
      </c>
      <c r="F17" s="14">
        <f t="shared" si="6"/>
        <v>0.3314343547515527</v>
      </c>
      <c r="G17" s="14">
        <f t="shared" si="0"/>
        <v>8.9487275782919227</v>
      </c>
      <c r="H17" s="14">
        <f t="shared" si="7"/>
        <v>9.742749919964437</v>
      </c>
      <c r="I17" s="15">
        <f t="shared" si="8"/>
        <v>0.77615587995240209</v>
      </c>
      <c r="J17" s="22">
        <f t="shared" si="1"/>
        <v>-0.12009291572418057</v>
      </c>
      <c r="K17" s="1">
        <f t="shared" si="2"/>
        <v>3.840344052250428E-2</v>
      </c>
      <c r="L17" s="1">
        <f t="shared" si="3"/>
        <v>0.82443822672873657</v>
      </c>
      <c r="M17" s="1">
        <f t="shared" si="4"/>
        <v>0.89487275782919229</v>
      </c>
      <c r="N17" s="1">
        <f t="shared" si="5"/>
        <v>0</v>
      </c>
      <c r="O17" s="1">
        <f t="shared" si="9"/>
        <v>1.7193109845579289</v>
      </c>
      <c r="P17" s="1">
        <f>Beta^D17 * O17</f>
        <v>1.1224285829559302</v>
      </c>
      <c r="Q17" s="1">
        <f>Beta^D17*E17^(1-Sigma)</f>
        <v>0.22736584192994772</v>
      </c>
      <c r="R17" s="1">
        <f>Beta^D17*F17^(1+1/Phi)/(1+1/Phi)</f>
        <v>7.9227434732685505E-3</v>
      </c>
    </row>
    <row r="18" spans="1:19" x14ac:dyDescent="0.25">
      <c r="A18" s="1" t="s">
        <v>29</v>
      </c>
      <c r="B18" s="1">
        <f>Lbar * Wbar * (1-tau_w)/(1+tau_c)</f>
        <v>8.1818181818181817</v>
      </c>
      <c r="C18" s="2"/>
      <c r="D18" s="13">
        <f t="shared" si="10"/>
        <v>15</v>
      </c>
      <c r="E18" s="14">
        <v>8.2947486339217651</v>
      </c>
      <c r="F18" s="14">
        <f t="shared" si="6"/>
        <v>0.32992383459680513</v>
      </c>
      <c r="G18" s="14">
        <f t="shared" si="0"/>
        <v>8.9079435341137394</v>
      </c>
      <c r="H18" s="14">
        <f t="shared" si="7"/>
        <v>9.9161799535628106</v>
      </c>
      <c r="I18" s="15">
        <f t="shared" si="8"/>
        <v>0.75519972317076101</v>
      </c>
      <c r="J18" s="22">
        <f t="shared" si="1"/>
        <v>-0.21627996320020237</v>
      </c>
      <c r="K18" s="1">
        <f t="shared" si="2"/>
        <v>3.8054188967947225E-2</v>
      </c>
      <c r="L18" s="1">
        <f t="shared" si="3"/>
        <v>0.82947486339217658</v>
      </c>
      <c r="M18" s="1">
        <f t="shared" si="4"/>
        <v>0.89079435341137403</v>
      </c>
      <c r="N18" s="1">
        <f t="shared" si="5"/>
        <v>0</v>
      </c>
      <c r="O18" s="1">
        <f t="shared" si="9"/>
        <v>1.7202692168035507</v>
      </c>
      <c r="P18" s="1">
        <f>Beta^D18 * O18</f>
        <v>1.0893625271762617</v>
      </c>
      <c r="Q18" s="1">
        <f>Beta^D18*E18^(1-Sigma)</f>
        <v>0.21987426423890569</v>
      </c>
      <c r="R18" s="1">
        <f>Beta^D18*F18^(1+1/Phi)/(1+1/Phi)</f>
        <v>7.5804647603428159E-3</v>
      </c>
      <c r="S18" s="1" t="s">
        <v>42</v>
      </c>
    </row>
    <row r="19" spans="1:19" x14ac:dyDescent="0.25">
      <c r="A19" s="1" t="s">
        <v>0</v>
      </c>
      <c r="C19" s="2"/>
      <c r="D19" s="13">
        <f t="shared" si="10"/>
        <v>16</v>
      </c>
      <c r="E19" s="14">
        <v>8.3451768183983734</v>
      </c>
      <c r="F19" s="14">
        <f t="shared" si="6"/>
        <v>0.32842745598200701</v>
      </c>
      <c r="G19" s="14">
        <f t="shared" si="0"/>
        <v>8.8675413115141897</v>
      </c>
      <c r="H19" s="14">
        <f t="shared" si="7"/>
        <v>10.000673962981301</v>
      </c>
      <c r="I19" s="15">
        <f t="shared" si="8"/>
        <v>0.73477460163714592</v>
      </c>
      <c r="J19" s="22">
        <f t="shared" si="1"/>
        <v>-0.31215318872402165</v>
      </c>
      <c r="K19" s="1">
        <f t="shared" si="2"/>
        <v>3.7709780142207362E-2</v>
      </c>
      <c r="L19" s="1">
        <f t="shared" si="3"/>
        <v>0.83451768183983743</v>
      </c>
      <c r="M19" s="1">
        <f t="shared" si="4"/>
        <v>0.88675413115141899</v>
      </c>
      <c r="N19" s="1">
        <f t="shared" si="5"/>
        <v>0</v>
      </c>
      <c r="O19" s="1">
        <f t="shared" si="9"/>
        <v>1.7212718129912563</v>
      </c>
      <c r="P19" s="1">
        <f>Beta^D19 * O19</f>
        <v>1.0572974997322198</v>
      </c>
      <c r="Q19" s="1">
        <f>Beta^D19*E19^(1-Sigma)</f>
        <v>0.21263266224879651</v>
      </c>
      <c r="R19" s="1">
        <f>Beta^D19*F19^(1+1/Phi)/(1+1/Phi)</f>
        <v>7.2534540186111303E-3</v>
      </c>
    </row>
    <row r="20" spans="1:19" x14ac:dyDescent="0.25">
      <c r="A20" s="1" t="s">
        <v>32</v>
      </c>
      <c r="B20" s="1">
        <v>30</v>
      </c>
      <c r="C20" s="2"/>
      <c r="D20" s="13">
        <f t="shared" si="10"/>
        <v>17</v>
      </c>
      <c r="E20" s="14">
        <v>8.3953081244508443</v>
      </c>
      <c r="F20" s="14">
        <f t="shared" si="6"/>
        <v>0.32695548939488228</v>
      </c>
      <c r="G20" s="14">
        <f t="shared" si="0"/>
        <v>8.827798213661822</v>
      </c>
      <c r="H20" s="14">
        <f t="shared" si="7"/>
        <v>9.9936601982664435</v>
      </c>
      <c r="I20" s="15">
        <f t="shared" si="8"/>
        <v>0.71485379059321041</v>
      </c>
      <c r="J20" s="22">
        <f t="shared" si="1"/>
        <v>-0.40704072323410756</v>
      </c>
      <c r="K20" s="1">
        <f t="shared" si="2"/>
        <v>3.737251754856627E-2</v>
      </c>
      <c r="L20" s="1">
        <f t="shared" si="3"/>
        <v>0.83953081244508443</v>
      </c>
      <c r="M20" s="1">
        <f t="shared" si="4"/>
        <v>0.88277982136618227</v>
      </c>
      <c r="N20" s="1">
        <f t="shared" si="5"/>
        <v>0</v>
      </c>
      <c r="O20" s="1">
        <f t="shared" si="9"/>
        <v>1.7223106338112668</v>
      </c>
      <c r="P20" s="1">
        <f>Beta^D20 * O20</f>
        <v>1.026197531239718</v>
      </c>
      <c r="Q20" s="1">
        <f>Beta^D20*E20^(1-Sigma)</f>
        <v>0.20563695407508023</v>
      </c>
      <c r="R20" s="1">
        <f>Beta^D20*F20^(1+1/Phi)/(1+1/Phi)</f>
        <v>6.9416726189014781E-3</v>
      </c>
    </row>
    <row r="21" spans="1:19" x14ac:dyDescent="0.25">
      <c r="C21" s="2"/>
      <c r="D21" s="13">
        <f t="shared" si="10"/>
        <v>18</v>
      </c>
      <c r="E21" s="14">
        <v>8.4449006333490342</v>
      </c>
      <c r="F21" s="14">
        <f t="shared" si="6"/>
        <v>0.32551440008645804</v>
      </c>
      <c r="G21" s="14">
        <f t="shared" si="0"/>
        <v>8.7888888023343679</v>
      </c>
      <c r="H21" s="14">
        <f t="shared" si="7"/>
        <v>9.8929047118475317</v>
      </c>
      <c r="I21" s="15">
        <f t="shared" si="8"/>
        <v>0.69541799733732357</v>
      </c>
      <c r="J21" s="22">
        <f t="shared" si="1"/>
        <v>-0.50050189434957026</v>
      </c>
      <c r="K21" s="1">
        <f t="shared" si="2"/>
        <v>3.7043797298673617E-2</v>
      </c>
      <c r="L21" s="1">
        <f t="shared" si="3"/>
        <v>0.84449006333490351</v>
      </c>
      <c r="M21" s="1">
        <f t="shared" si="4"/>
        <v>0.87888888023343681</v>
      </c>
      <c r="N21" s="1">
        <f t="shared" si="5"/>
        <v>0</v>
      </c>
      <c r="O21" s="1">
        <f t="shared" si="9"/>
        <v>1.7233789435683402</v>
      </c>
      <c r="P21" s="1">
        <f>Beta^D21 * O21</f>
        <v>0.99602903627541417</v>
      </c>
      <c r="Q21" s="1">
        <f>Beta^D21*E21^(1-Sigma)</f>
        <v>0.19888129760959386</v>
      </c>
      <c r="R21" s="1">
        <f>Beta^D21*F21^(1+1/Phi)/(1+1/Phi)</f>
        <v>6.644779576903511E-3</v>
      </c>
    </row>
    <row r="22" spans="1:19" x14ac:dyDescent="0.25">
      <c r="C22" s="2"/>
      <c r="D22" s="13">
        <f t="shared" si="10"/>
        <v>19</v>
      </c>
      <c r="E22" s="14">
        <v>8.4938507651450266</v>
      </c>
      <c r="F22" s="14">
        <f t="shared" si="6"/>
        <v>0.32410642748389545</v>
      </c>
      <c r="G22" s="14">
        <f t="shared" si="0"/>
        <v>8.7508735420651771</v>
      </c>
      <c r="H22" s="14">
        <f t="shared" si="7"/>
        <v>9.6962586007270826</v>
      </c>
      <c r="I22" s="15">
        <f t="shared" si="8"/>
        <v>0.6764548953431081</v>
      </c>
      <c r="J22" s="22">
        <f t="shared" si="1"/>
        <v>-0.59236229959435249</v>
      </c>
      <c r="K22" s="1">
        <f t="shared" si="2"/>
        <v>3.6724033545804266E-2</v>
      </c>
      <c r="L22" s="1">
        <f t="shared" si="3"/>
        <v>0.84938507651450268</v>
      </c>
      <c r="M22" s="1">
        <f t="shared" si="4"/>
        <v>0.87508735420651773</v>
      </c>
      <c r="N22" s="1">
        <f t="shared" si="5"/>
        <v>0</v>
      </c>
      <c r="O22" s="1">
        <f t="shared" si="9"/>
        <v>1.7244724307210204</v>
      </c>
      <c r="P22" s="1">
        <f>Beta^D22 * O22</f>
        <v>0.96676118799920385</v>
      </c>
      <c r="Q22" s="1">
        <f>Beta^D22*E22^(1-Sigma)</f>
        <v>0.1923581705144255</v>
      </c>
      <c r="R22" s="1">
        <f>Beta^D22*F22^(1+1/Phi)/(1+1/Phi)</f>
        <v>6.3621605983795832E-3</v>
      </c>
      <c r="S22" s="1" t="s">
        <v>43</v>
      </c>
    </row>
    <row r="23" spans="1:19" x14ac:dyDescent="0.25">
      <c r="C23" s="2"/>
      <c r="D23" s="13">
        <f t="shared" si="10"/>
        <v>20</v>
      </c>
      <c r="E23" s="14">
        <v>8.5422017821665399</v>
      </c>
      <c r="F23" s="14">
        <f t="shared" si="6"/>
        <v>0.32272955858666574</v>
      </c>
      <c r="G23" s="14">
        <f t="shared" si="0"/>
        <v>8.7136980818399756</v>
      </c>
      <c r="H23" s="14">
        <f t="shared" si="7"/>
        <v>9.4013850662129439</v>
      </c>
      <c r="I23" s="15">
        <f t="shared" si="8"/>
        <v>0.65795813559587479</v>
      </c>
      <c r="J23" s="22">
        <f t="shared" si="1"/>
        <v>-0.6827238785432197</v>
      </c>
      <c r="K23" s="1">
        <f t="shared" si="2"/>
        <v>3.6412674239602878E-2</v>
      </c>
      <c r="L23" s="1">
        <f t="shared" si="3"/>
        <v>0.85422017821665408</v>
      </c>
      <c r="M23" s="1">
        <f t="shared" si="4"/>
        <v>0.87136980818399756</v>
      </c>
      <c r="N23" s="1">
        <f t="shared" si="5"/>
        <v>0</v>
      </c>
      <c r="O23" s="1">
        <f t="shared" si="9"/>
        <v>1.7255899864006516</v>
      </c>
      <c r="P23" s="1">
        <f>Beta^D23 * O23</f>
        <v>0.93836607281571682</v>
      </c>
      <c r="Q23" s="1">
        <f>Beta^D23*E23^(1-Sigma)</f>
        <v>0.1860586100810479</v>
      </c>
      <c r="R23" s="1">
        <f>Beta^D23*F23^(1+1/Phi)/(1+1/Phi)</f>
        <v>6.0929787365571588E-3</v>
      </c>
    </row>
    <row r="24" spans="1:19" x14ac:dyDescent="0.25">
      <c r="C24" s="2"/>
      <c r="D24" s="13">
        <f t="shared" si="10"/>
        <v>21</v>
      </c>
      <c r="E24" s="14">
        <v>8.5901389366158512</v>
      </c>
      <c r="F24" s="14">
        <f t="shared" si="6"/>
        <v>0.32137787320403971</v>
      </c>
      <c r="G24" s="14">
        <f t="shared" si="0"/>
        <v>8.6772025765090728</v>
      </c>
      <c r="H24" s="14">
        <f t="shared" si="7"/>
        <v>9.0054902150930971</v>
      </c>
      <c r="I24" s="15">
        <f t="shared" si="8"/>
        <v>0.63992598573081083</v>
      </c>
      <c r="J24" s="22">
        <f t="shared" si="1"/>
        <v>-0.7719502537683649</v>
      </c>
      <c r="K24" s="1">
        <f t="shared" si="2"/>
        <v>3.610829921387651E-2</v>
      </c>
      <c r="L24" s="1">
        <f t="shared" si="3"/>
        <v>0.8590138936615852</v>
      </c>
      <c r="M24" s="1">
        <f t="shared" si="4"/>
        <v>0.86772025765090732</v>
      </c>
      <c r="N24" s="1">
        <f t="shared" si="5"/>
        <v>0</v>
      </c>
      <c r="O24" s="1">
        <f t="shared" si="9"/>
        <v>1.7267341513124925</v>
      </c>
      <c r="P24" s="1">
        <f>Beta^D24 * O24</f>
        <v>0.91081861532548669</v>
      </c>
      <c r="Q24" s="1">
        <f>Beta^D24*E24^(1-Sigma)</f>
        <v>0.17997257294575081</v>
      </c>
      <c r="R24" s="1">
        <f>Beta^D24*F24^(1+1/Phi)/(1+1/Phi)</f>
        <v>5.8362391829011977E-3</v>
      </c>
      <c r="S24" s="1" t="s">
        <v>44</v>
      </c>
    </row>
    <row r="25" spans="1:19" x14ac:dyDescent="0.25">
      <c r="C25" s="2"/>
      <c r="D25" s="13">
        <f t="shared" si="10"/>
        <v>22</v>
      </c>
      <c r="E25" s="14">
        <v>8.6379657751451298</v>
      </c>
      <c r="F25" s="14">
        <f t="shared" si="6"/>
        <v>0.32004238948466807</v>
      </c>
      <c r="G25" s="14">
        <f t="shared" si="0"/>
        <v>8.6411445160860385</v>
      </c>
      <c r="H25" s="14">
        <f t="shared" si="7"/>
        <v>8.5050919871232189</v>
      </c>
      <c r="I25" s="15">
        <f t="shared" si="8"/>
        <v>0.62235953817691669</v>
      </c>
      <c r="J25" s="22">
        <f t="shared" si="1"/>
        <v>-0.86061783657360458</v>
      </c>
      <c r="K25" s="1">
        <f t="shared" si="2"/>
        <v>3.5808827118604052E-2</v>
      </c>
      <c r="L25" s="1">
        <f t="shared" si="3"/>
        <v>0.863796577514513</v>
      </c>
      <c r="M25" s="1">
        <f t="shared" si="4"/>
        <v>0.8641144516086039</v>
      </c>
      <c r="N25" s="1">
        <f t="shared" si="5"/>
        <v>0</v>
      </c>
      <c r="O25" s="1">
        <f t="shared" si="9"/>
        <v>1.727911029123117</v>
      </c>
      <c r="P25" s="1">
        <f>Beta^D25 * O25</f>
        <v>0.88409621357325774</v>
      </c>
      <c r="Q25" s="1">
        <f>Beta^D25*E25^(1-Sigma)</f>
        <v>0.17408943442536945</v>
      </c>
      <c r="R25" s="1">
        <f>Beta^D25*F25^(1+1/Phi)/(1+1/Phi)</f>
        <v>5.5908702295911937E-3</v>
      </c>
    </row>
    <row r="26" spans="1:19" x14ac:dyDescent="0.25">
      <c r="C26" s="2"/>
      <c r="D26" s="13">
        <f t="shared" si="10"/>
        <v>23</v>
      </c>
      <c r="E26" s="14">
        <v>8.6860782356022863</v>
      </c>
      <c r="F26" s="14">
        <f t="shared" si="6"/>
        <v>0.3187119231617937</v>
      </c>
      <c r="G26" s="14">
        <f t="shared" si="0"/>
        <v>8.6052219253684292</v>
      </c>
      <c r="H26" s="14">
        <f t="shared" si="7"/>
        <v>7.8958315328140625</v>
      </c>
      <c r="I26" s="15">
        <f t="shared" si="8"/>
        <v>0.60526118047205346</v>
      </c>
      <c r="J26" s="22">
        <f t="shared" si="1"/>
        <v>-0.9494641337940859</v>
      </c>
      <c r="K26" s="1">
        <f t="shared" si="2"/>
        <v>3.5511720162983373E-2</v>
      </c>
      <c r="L26" s="1">
        <f t="shared" si="3"/>
        <v>0.8686078235602287</v>
      </c>
      <c r="M26" s="1">
        <f t="shared" si="4"/>
        <v>0.86052219253684292</v>
      </c>
      <c r="N26" s="1">
        <f t="shared" si="5"/>
        <v>0</v>
      </c>
      <c r="O26" s="1">
        <f t="shared" si="9"/>
        <v>1.7291300160970717</v>
      </c>
      <c r="P26" s="1">
        <f>Beta^D26 * O26</f>
        <v>0.85817831822023305</v>
      </c>
      <c r="Q26" s="1">
        <f>Beta^D26*E26^(1-Sigma)</f>
        <v>0.16839842284767303</v>
      </c>
      <c r="R26" s="1">
        <f>Beta^D26*F26^(1+1/Phi)/(1+1/Phi)</f>
        <v>5.3557903229161305E-3</v>
      </c>
      <c r="S26" s="1" t="s">
        <v>45</v>
      </c>
    </row>
    <row r="27" spans="1:19" x14ac:dyDescent="0.25">
      <c r="C27" s="2"/>
      <c r="D27" s="13">
        <f t="shared" si="10"/>
        <v>24</v>
      </c>
      <c r="E27" s="14">
        <v>8.7349323514800226</v>
      </c>
      <c r="F27" s="14">
        <f t="shared" si="6"/>
        <v>0.31737407935133838</v>
      </c>
      <c r="G27" s="14">
        <f t="shared" si="0"/>
        <v>8.5691001424861355</v>
      </c>
      <c r="H27" s="14">
        <f t="shared" si="7"/>
        <v>7.1723393499847372</v>
      </c>
      <c r="I27" s="15">
        <f t="shared" si="8"/>
        <v>0.58863316386872278</v>
      </c>
      <c r="J27" s="22">
        <f t="shared" si="1"/>
        <v>-1.0393254441418893</v>
      </c>
      <c r="K27" s="1">
        <f t="shared" si="2"/>
        <v>3.5214213744106188E-2</v>
      </c>
      <c r="L27" s="1">
        <f t="shared" si="3"/>
        <v>0.87349323514800226</v>
      </c>
      <c r="M27" s="1">
        <f t="shared" si="4"/>
        <v>0.85691001424861357</v>
      </c>
      <c r="N27" s="1">
        <f t="shared" si="5"/>
        <v>0</v>
      </c>
      <c r="O27" s="1">
        <f t="shared" si="9"/>
        <v>1.7304032493966157</v>
      </c>
      <c r="P27" s="1">
        <f>Beta^D27 * O27</f>
        <v>0.83304592511153808</v>
      </c>
      <c r="Q27" s="1">
        <f>Beta^D27*E27^(1-Sigma)</f>
        <v>0.16288903463030571</v>
      </c>
      <c r="R27" s="1">
        <f>Beta^D27*F27^(1+1/Phi)/(1+1/Phi)</f>
        <v>5.1299688719993013E-3</v>
      </c>
      <c r="S27" s="1" t="s">
        <v>46</v>
      </c>
    </row>
    <row r="28" spans="1:19" x14ac:dyDescent="0.25">
      <c r="C28" s="2"/>
      <c r="D28" s="13">
        <f t="shared" si="10"/>
        <v>25</v>
      </c>
      <c r="E28" s="14">
        <v>8.7850035293056727</v>
      </c>
      <c r="F28" s="14">
        <f t="shared" si="6"/>
        <v>0.316016426846425</v>
      </c>
      <c r="G28" s="14">
        <f t="shared" si="0"/>
        <v>8.5324435248534751</v>
      </c>
      <c r="H28" s="14">
        <f t="shared" si="7"/>
        <v>6.3281725666013617</v>
      </c>
      <c r="I28" s="15">
        <f t="shared" si="8"/>
        <v>0.57247622109232399</v>
      </c>
      <c r="J28" s="22">
        <f t="shared" si="1"/>
        <v>-1.1310603573827649</v>
      </c>
      <c r="K28" s="1">
        <f t="shared" si="2"/>
        <v>3.491358170497251E-2</v>
      </c>
      <c r="L28" s="1">
        <f t="shared" si="3"/>
        <v>0.87850035293056727</v>
      </c>
      <c r="M28" s="1">
        <f t="shared" si="4"/>
        <v>0.85324435248534758</v>
      </c>
      <c r="N28" s="1">
        <f t="shared" si="5"/>
        <v>0</v>
      </c>
      <c r="O28" s="1">
        <f t="shared" si="9"/>
        <v>1.731744705415915</v>
      </c>
      <c r="P28" s="1">
        <f>Beta^D28 * O28</f>
        <v>0.80868097338741585</v>
      </c>
      <c r="Q28" s="1">
        <f>Beta^D28*E28^(1-Sigma)</f>
        <v>0.15755144347506858</v>
      </c>
      <c r="R28" s="1">
        <f>Beta^D28*F28^(1+1/Phi)/(1+1/Phi)</f>
        <v>4.9124831837336581E-3</v>
      </c>
      <c r="S28" s="1" t="s">
        <v>47</v>
      </c>
    </row>
    <row r="29" spans="1:19" x14ac:dyDescent="0.25">
      <c r="C29" s="2"/>
      <c r="D29" s="13">
        <f t="shared" si="10"/>
        <v>26</v>
      </c>
      <c r="E29" s="14">
        <v>8.8367565049093191</v>
      </c>
      <c r="F29" s="14">
        <f t="shared" si="6"/>
        <v>0.31462733182779418</v>
      </c>
      <c r="G29" s="14">
        <f t="shared" si="0"/>
        <v>8.4949379593504428</v>
      </c>
      <c r="H29" s="14">
        <f t="shared" si="7"/>
        <v>5.3558052732156067</v>
      </c>
      <c r="I29" s="15">
        <f t="shared" si="8"/>
        <v>0.55678881049450157</v>
      </c>
      <c r="J29" s="22">
        <f t="shared" si="1"/>
        <v>-1.2254941960498087</v>
      </c>
      <c r="K29" s="1">
        <f t="shared" si="2"/>
        <v>3.4607321094580479E-2</v>
      </c>
      <c r="L29" s="1">
        <f t="shared" si="3"/>
        <v>0.883675650490932</v>
      </c>
      <c r="M29" s="1">
        <f t="shared" si="4"/>
        <v>0.84949379593504437</v>
      </c>
      <c r="N29" s="1">
        <f t="shared" si="5"/>
        <v>0</v>
      </c>
      <c r="O29" s="1">
        <f t="shared" si="9"/>
        <v>1.7331694464259764</v>
      </c>
      <c r="P29" s="1">
        <f>Beta^D29 * O29</f>
        <v>0.78506590265863352</v>
      </c>
      <c r="Q29" s="1">
        <f>Beta^D29*E29^(1-Sigma)</f>
        <v>0.15237672908853203</v>
      </c>
      <c r="R29" s="1">
        <f>Beta^D29*F29^(1+1/Phi)/(1+1/Phi)</f>
        <v>4.7025473601007527E-3</v>
      </c>
    </row>
    <row r="30" spans="1:19" x14ac:dyDescent="0.25">
      <c r="C30" s="2"/>
      <c r="D30" s="13">
        <f t="shared" si="10"/>
        <v>27</v>
      </c>
      <c r="E30" s="14">
        <v>8.8906103517770791</v>
      </c>
      <c r="F30" s="14">
        <f t="shared" si="6"/>
        <v>0.31319688272801566</v>
      </c>
      <c r="G30" s="14">
        <f t="shared" si="0"/>
        <v>8.4563158336564221</v>
      </c>
      <c r="H30" s="14">
        <f t="shared" si="7"/>
        <v>4.246681930845865</v>
      </c>
      <c r="I30" s="15">
        <f t="shared" si="8"/>
        <v>0.54156642873744243</v>
      </c>
      <c r="J30" s="22">
        <f t="shared" si="1"/>
        <v>-1.3233555532983665</v>
      </c>
      <c r="K30" s="1">
        <f t="shared" si="2"/>
        <v>3.4293352970167369E-2</v>
      </c>
      <c r="L30" s="1">
        <f t="shared" si="3"/>
        <v>0.88906103517770796</v>
      </c>
      <c r="M30" s="1">
        <f t="shared" si="4"/>
        <v>0.84563158336564226</v>
      </c>
      <c r="N30" s="1">
        <f t="shared" si="5"/>
        <v>0</v>
      </c>
      <c r="O30" s="1">
        <f t="shared" si="9"/>
        <v>1.7346926185433502</v>
      </c>
      <c r="P30" s="1">
        <f>Beta^D30 * O30</f>
        <v>0.76218317161296856</v>
      </c>
      <c r="Q30" s="1">
        <f>Beta^D30*E30^(1-Sigma)</f>
        <v>0.1473570900823708</v>
      </c>
      <c r="R30" s="1">
        <f>Beta^D30*F30^(1+1/Phi)/(1+1/Phi)</f>
        <v>4.4995373687857672E-3</v>
      </c>
      <c r="S30" s="1" t="s">
        <v>48</v>
      </c>
    </row>
    <row r="31" spans="1:19" x14ac:dyDescent="0.25">
      <c r="C31" s="2"/>
      <c r="D31" s="13">
        <f t="shared" si="10"/>
        <v>28</v>
      </c>
      <c r="E31" s="14">
        <v>8.9469154041481094</v>
      </c>
      <c r="F31" s="14">
        <f t="shared" si="6"/>
        <v>0.31171745030039655</v>
      </c>
      <c r="G31" s="14">
        <f t="shared" si="0"/>
        <v>8.4163711581107066</v>
      </c>
      <c r="H31" s="14">
        <f t="shared" si="7"/>
        <v>2.9913134216274866</v>
      </c>
      <c r="I31" s="15">
        <f t="shared" si="8"/>
        <v>0.52680145247204468</v>
      </c>
      <c r="J31" s="22">
        <f t="shared" si="1"/>
        <v>-1.4252357864522143</v>
      </c>
      <c r="K31" s="1">
        <f t="shared" si="2"/>
        <v>3.3970138565744955E-2</v>
      </c>
      <c r="L31" s="1">
        <f t="shared" si="3"/>
        <v>0.89469154041481103</v>
      </c>
      <c r="M31" s="1">
        <f t="shared" si="4"/>
        <v>0.8416371158110707</v>
      </c>
      <c r="N31" s="1">
        <f t="shared" si="5"/>
        <v>0</v>
      </c>
      <c r="O31" s="1">
        <f t="shared" si="9"/>
        <v>1.7363286562258817</v>
      </c>
      <c r="P31" s="1">
        <f>Beta^D31 * O31</f>
        <v>0.74001494788034961</v>
      </c>
      <c r="Q31" s="1">
        <f>Beta^D31*E31^(1-Sigma)</f>
        <v>0.14248590132727995</v>
      </c>
      <c r="R31" s="1">
        <f>Beta^D31*F31^(1+1/Phi)/(1+1/Phi)</f>
        <v>4.3029931083254048E-3</v>
      </c>
    </row>
    <row r="32" spans="1:19" x14ac:dyDescent="0.25">
      <c r="D32" s="13">
        <f t="shared" si="10"/>
        <v>29</v>
      </c>
      <c r="E32" s="14">
        <v>9.0059367231460232</v>
      </c>
      <c r="F32" s="14">
        <f t="shared" si="6"/>
        <v>0.31018403779404158</v>
      </c>
      <c r="G32" s="14">
        <f t="shared" si="0"/>
        <v>8.3749690204391225</v>
      </c>
      <c r="H32" s="14">
        <f t="shared" si="7"/>
        <v>1.5794045834710833</v>
      </c>
      <c r="I32" s="15">
        <f t="shared" si="8"/>
        <v>0.51248325814970341</v>
      </c>
      <c r="J32" s="22">
        <f t="shared" si="1"/>
        <v>-1.5315613750215036</v>
      </c>
      <c r="K32" s="1">
        <f t="shared" si="2"/>
        <v>3.3636746173873792E-2</v>
      </c>
      <c r="L32" s="1">
        <f t="shared" si="3"/>
        <v>0.90059367231460241</v>
      </c>
      <c r="M32" s="1">
        <f t="shared" si="4"/>
        <v>0.83749690204391225</v>
      </c>
      <c r="N32" s="1">
        <f t="shared" si="5"/>
        <v>0</v>
      </c>
      <c r="O32" s="1">
        <f t="shared" si="9"/>
        <v>1.7380905743585147</v>
      </c>
      <c r="P32" s="1">
        <f>Beta^D32 * O32</f>
        <v>0.71854289287216611</v>
      </c>
      <c r="Q32" s="1">
        <f>Beta^D32*E32^(1-Sigma)</f>
        <v>0.13775768886912546</v>
      </c>
      <c r="R32" s="1">
        <f>Beta^D32*F32^(1+1/Phi)/(1+1/Phi)</f>
        <v>4.1126085513213803E-3</v>
      </c>
    </row>
    <row r="33" spans="1:18" x14ac:dyDescent="0.25">
      <c r="D33" s="13">
        <f t="shared" si="10"/>
        <v>30</v>
      </c>
      <c r="E33" s="14">
        <v>9.0678451232067765</v>
      </c>
      <c r="F33" s="14">
        <f t="shared" si="6"/>
        <v>0.30859440166874258</v>
      </c>
      <c r="G33" s="14">
        <f t="shared" si="0"/>
        <v>8.3320488450560504</v>
      </c>
      <c r="H33" s="14">
        <f t="shared" si="7"/>
        <v>-2.3661478110170719E-8</v>
      </c>
      <c r="I33" s="15">
        <f t="shared" si="8"/>
        <v>0.49859858324197037</v>
      </c>
      <c r="J33" s="22">
        <f t="shared" si="1"/>
        <v>-1.6425807904714045</v>
      </c>
      <c r="K33" s="1">
        <f t="shared" si="2"/>
        <v>3.3292865329457903E-2</v>
      </c>
      <c r="L33" s="1">
        <f t="shared" si="3"/>
        <v>0.90678451232067769</v>
      </c>
      <c r="M33" s="1">
        <f t="shared" si="4"/>
        <v>0.83320488450560504</v>
      </c>
      <c r="N33" s="1">
        <f t="shared" si="5"/>
        <v>0</v>
      </c>
      <c r="O33" s="1">
        <f t="shared" si="9"/>
        <v>1.7399893968262827</v>
      </c>
      <c r="P33" s="1">
        <f>Beta^D33 * O33</f>
        <v>0.69774804731748463</v>
      </c>
      <c r="Q33" s="1">
        <f>Beta^D33*E33^(1-Sigma)</f>
        <v>0.13316803181799508</v>
      </c>
      <c r="R33" s="1">
        <f>Beta^D33*F33^(1+1/Phi)/(1+1/Phi)</f>
        <v>3.9282118602182708E-3</v>
      </c>
    </row>
    <row r="34" spans="1:18" ht="15.75" thickBot="1" x14ac:dyDescent="0.3">
      <c r="D34" s="19" t="s">
        <v>14</v>
      </c>
      <c r="E34" s="20" t="s">
        <v>0</v>
      </c>
      <c r="F34" s="20"/>
      <c r="G34" s="20" t="s">
        <v>0</v>
      </c>
      <c r="H34" s="20" t="s">
        <v>0</v>
      </c>
      <c r="I34" s="21">
        <f>SUM(I3:I33)</f>
        <v>24.141774947904171</v>
      </c>
    </row>
    <row r="35" spans="1:18" x14ac:dyDescent="0.25">
      <c r="Q35" s="1">
        <f>SUM(Q3:Q33)</f>
        <v>7.1113279298351033</v>
      </c>
      <c r="R35" s="1">
        <f>SUM(R3:R33)</f>
        <v>0.25112567046050444</v>
      </c>
    </row>
    <row r="36" spans="1:18" x14ac:dyDescent="0.25">
      <c r="B36" s="1" t="s">
        <v>13</v>
      </c>
      <c r="E36" s="1">
        <f>STDEV(E3:E33)</f>
        <v>0.42202149360801389</v>
      </c>
      <c r="F36" s="1">
        <f>STDEV(F3:F33)</f>
        <v>1.2515382480333393E-2</v>
      </c>
      <c r="G36" s="1">
        <f>STDEV(G3:G33)</f>
        <v>0.33791532696900162</v>
      </c>
      <c r="H36" s="5">
        <f t="shared" ref="H36" si="11">AVERAGE(H3:H33)</f>
        <v>6.4205839222844023</v>
      </c>
      <c r="I36" s="5">
        <f>I34</f>
        <v>24.141774947904171</v>
      </c>
      <c r="J36" s="1">
        <f>SUM(P3:P33)</f>
        <v>35.035900529128931</v>
      </c>
      <c r="K36" s="1" t="s">
        <v>52</v>
      </c>
      <c r="L36" s="1" t="s">
        <v>53</v>
      </c>
      <c r="Q36" s="1" t="s">
        <v>54</v>
      </c>
      <c r="R36" s="1" t="s">
        <v>55</v>
      </c>
    </row>
    <row r="37" spans="1:18" ht="15.75" thickBot="1" x14ac:dyDescent="0.3">
      <c r="D37" s="1" t="s">
        <v>0</v>
      </c>
    </row>
    <row r="38" spans="1:18" x14ac:dyDescent="0.25">
      <c r="D38" s="1" t="s">
        <v>0</v>
      </c>
      <c r="E38" s="17" t="s">
        <v>13</v>
      </c>
      <c r="F38" s="17" t="s">
        <v>9</v>
      </c>
      <c r="G38" s="17" t="s">
        <v>10</v>
      </c>
      <c r="H38" s="17" t="s">
        <v>11</v>
      </c>
      <c r="I38" s="1" t="s">
        <v>23</v>
      </c>
      <c r="J38" s="1" t="s">
        <v>50</v>
      </c>
      <c r="Q38" s="1">
        <v>6.4324401175432442</v>
      </c>
      <c r="R38" s="1">
        <v>0.251125291295834</v>
      </c>
    </row>
    <row r="39" spans="1:18" x14ac:dyDescent="0.25">
      <c r="B39" s="1" t="s">
        <v>19</v>
      </c>
      <c r="E39" s="1">
        <v>0.51506911601641614</v>
      </c>
      <c r="F39" s="1">
        <v>1.2503568392083074E-2</v>
      </c>
      <c r="G39" s="1">
        <v>0.37510705176249221</v>
      </c>
      <c r="H39" s="5">
        <v>7.1287265898584762</v>
      </c>
      <c r="I39" s="5">
        <v>25.725850672988784</v>
      </c>
      <c r="J39" s="1">
        <v>0</v>
      </c>
      <c r="K39" s="1">
        <v>6.4324401175432442</v>
      </c>
      <c r="L39" s="1">
        <v>0.251125291295834</v>
      </c>
    </row>
    <row r="40" spans="1:18" x14ac:dyDescent="0.25">
      <c r="A40" s="1" t="s">
        <v>21</v>
      </c>
      <c r="B40" s="1" t="s">
        <v>20</v>
      </c>
    </row>
    <row r="41" spans="1:18" x14ac:dyDescent="0.25">
      <c r="B41" s="1" t="s">
        <v>13</v>
      </c>
    </row>
    <row r="42" spans="1:18" x14ac:dyDescent="0.25">
      <c r="B42" s="1" t="s">
        <v>51</v>
      </c>
      <c r="E42" s="1">
        <v>0.42202149360801389</v>
      </c>
      <c r="F42" s="1">
        <v>1.2515382480333393E-2</v>
      </c>
      <c r="G42" s="1">
        <v>0.33791532696900162</v>
      </c>
      <c r="H42" s="1">
        <v>6.4205839222844023</v>
      </c>
      <c r="I42" s="1">
        <v>24.141774947904171</v>
      </c>
      <c r="J42" s="1">
        <v>35.035899761759545</v>
      </c>
      <c r="K42" s="1">
        <v>7.1113279298351033</v>
      </c>
      <c r="L42" s="1">
        <v>0.25112567046050444</v>
      </c>
      <c r="Q42" s="1">
        <v>7.1113279298351033</v>
      </c>
      <c r="R42" s="1">
        <v>0.25112567046050444</v>
      </c>
    </row>
    <row r="43" spans="1:18" x14ac:dyDescent="0.25">
      <c r="O43" s="1">
        <v>35.035900529128931</v>
      </c>
    </row>
    <row r="44" spans="1:18" x14ac:dyDescent="0.25">
      <c r="B44" s="1" t="s">
        <v>19</v>
      </c>
    </row>
    <row r="45" spans="1:18" x14ac:dyDescent="0.25">
      <c r="A45" s="1" t="s">
        <v>22</v>
      </c>
      <c r="B45" s="1" t="s">
        <v>20</v>
      </c>
    </row>
    <row r="46" spans="1:18" x14ac:dyDescent="0.25">
      <c r="B46" s="1" t="s">
        <v>13</v>
      </c>
    </row>
    <row r="48" spans="1:18" x14ac:dyDescent="0.25">
      <c r="J48" s="1" t="s">
        <v>56</v>
      </c>
      <c r="L48" s="1">
        <f>(((A_0-(1-Sigma)*Gamma*(B_0-B_1))/A_1)^(1/(1-Sigma))-1)</f>
        <v>0.2222221498482615</v>
      </c>
    </row>
  </sheetData>
  <phoneticPr fontId="0" type="noConversion"/>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42578125" defaultRowHeight="12.75" x14ac:dyDescent="0.2"/>
  <sheetData/>
  <phoneticPr fontId="0" type="noConversion"/>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42578125" defaultRowHeight="12.75" x14ac:dyDescent="0.2"/>
  <sheetData/>
  <phoneticPr fontId="0" type="noConversion"/>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21</vt:i4>
      </vt:variant>
    </vt:vector>
  </HeadingPairs>
  <TitlesOfParts>
    <vt:vector size="24" baseType="lpstr">
      <vt:lpstr>Hoja1</vt:lpstr>
      <vt:lpstr>Hoja2</vt:lpstr>
      <vt:lpstr>Hoja3</vt:lpstr>
      <vt:lpstr>A_0</vt:lpstr>
      <vt:lpstr>A_1</vt:lpstr>
      <vt:lpstr>B_0</vt:lpstr>
      <vt:lpstr>B_1</vt:lpstr>
      <vt:lpstr>Beta</vt:lpstr>
      <vt:lpstr>Cbar</vt:lpstr>
      <vt:lpstr>Gamma</vt:lpstr>
      <vt:lpstr>lambda0</vt:lpstr>
      <vt:lpstr>Lbar</vt:lpstr>
      <vt:lpstr>Phi</vt:lpstr>
      <vt:lpstr>R_0</vt:lpstr>
      <vt:lpstr>R_N</vt:lpstr>
      <vt:lpstr>Rbar</vt:lpstr>
      <vt:lpstr>Sigma</vt:lpstr>
      <vt:lpstr>tau_c</vt:lpstr>
      <vt:lpstr>tau_ret</vt:lpstr>
      <vt:lpstr>tau_w</vt:lpstr>
      <vt:lpstr>W_1</vt:lpstr>
      <vt:lpstr>W0</vt:lpstr>
      <vt:lpstr>Wage</vt:lpstr>
      <vt:lpstr>Wbar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JoseLuis</dc:creator>
  <cp:lastModifiedBy>Paul D McNelis</cp:lastModifiedBy>
  <dcterms:created xsi:type="dcterms:W3CDTF">2009-07-04T07:41:09Z</dcterms:created>
  <dcterms:modified xsi:type="dcterms:W3CDTF">2025-10-22T02:20:40Z</dcterms:modified>
</cp:coreProperties>
</file>