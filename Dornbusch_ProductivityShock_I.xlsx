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BC6B1629-70DA-482B-BBC6-053DE24BA68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Beta0_0">Hoja1!$B$19</definedName>
    <definedName name="Beta0_1">Hoja1!$C$19</definedName>
    <definedName name="Beta1">Hoja1!$B$12</definedName>
    <definedName name="Beta2">Hoja1!$B$13</definedName>
    <definedName name="iext_0">Hoja1!$B$18</definedName>
    <definedName name="iext_1">Hoja1!$C$18</definedName>
    <definedName name="iext0">Hoja1!$B$18</definedName>
    <definedName name="iext1">Hoja1!$C$18</definedName>
    <definedName name="Lambda1">Hoja1!$B$28</definedName>
    <definedName name="Lambda2">Hoja1!$B$29</definedName>
    <definedName name="m_0">Hoja1!$B$17</definedName>
    <definedName name="m_1">Hoja1!$C$17</definedName>
    <definedName name="Mi">Hoja1!$B$14</definedName>
    <definedName name="money0">Hoja1!$B$17</definedName>
    <definedName name="money1">Hoja1!$C$17</definedName>
    <definedName name="pbar_0">Hoja1!$B$24</definedName>
    <definedName name="pbar_1">Hoja1!$C$24</definedName>
    <definedName name="pbar0">Hoja1!$B$24</definedName>
    <definedName name="pbar1">Hoja1!$C$24</definedName>
    <definedName name="pext_0">Hoja1!$B$20</definedName>
    <definedName name="pext_1">Hoja1!$C$20</definedName>
    <definedName name="pext0">Hoja1!$B$20</definedName>
    <definedName name="pext1">Hoja1!$C$20</definedName>
    <definedName name="Psi">Hoja1!$B$10</definedName>
    <definedName name="sbar_0">Hoja1!$B$25</definedName>
    <definedName name="sbar_1">Hoja1!$C$25</definedName>
    <definedName name="sbar0">Hoja1!$B$25</definedName>
    <definedName name="sbar1">Hoja1!$C$25</definedName>
    <definedName name="Theta">Hoja1!$B$11</definedName>
    <definedName name="ypot_0">Hoja1!$B$21</definedName>
    <definedName name="ypot_1">Hoja1!$C$21</definedName>
    <definedName name="ypot0">Hoja1!$B$21</definedName>
    <definedName name="ypot1">Hoja1!$C$21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" i="3"/>
  <c r="J5" i="3"/>
  <c r="J4" i="3"/>
  <c r="M33" i="3"/>
  <c r="M32" i="3"/>
  <c r="M31" i="3"/>
  <c r="M30" i="3"/>
  <c r="M29" i="3"/>
  <c r="C29" i="3"/>
  <c r="B33" i="3" s="1"/>
  <c r="B29" i="3"/>
  <c r="M28" i="3"/>
  <c r="C28" i="3"/>
  <c r="B32" i="3" s="1"/>
  <c r="B28" i="3"/>
  <c r="M27" i="3"/>
  <c r="M26" i="3"/>
  <c r="M25" i="3"/>
  <c r="C25" i="3"/>
  <c r="B25" i="3"/>
  <c r="M24" i="3"/>
  <c r="C24" i="3"/>
  <c r="B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M6" i="3"/>
  <c r="E6" i="3"/>
  <c r="M5" i="3"/>
  <c r="M4" i="3"/>
  <c r="N4" i="3" s="1"/>
  <c r="G3" i="3"/>
  <c r="P3" i="3" s="1"/>
  <c r="F3" i="3"/>
  <c r="I4" i="2"/>
  <c r="I3" i="2"/>
  <c r="M33" i="2"/>
  <c r="M32" i="2"/>
  <c r="M31" i="2"/>
  <c r="M30" i="2"/>
  <c r="M29" i="2"/>
  <c r="C29" i="2"/>
  <c r="B33" i="2" s="1"/>
  <c r="B29" i="2"/>
  <c r="M28" i="2"/>
  <c r="C28" i="2"/>
  <c r="B32" i="2" s="1"/>
  <c r="B28" i="2"/>
  <c r="M27" i="2"/>
  <c r="M26" i="2"/>
  <c r="M25" i="2"/>
  <c r="C25" i="2"/>
  <c r="B25" i="2"/>
  <c r="M24" i="2"/>
  <c r="C24" i="2"/>
  <c r="B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M6" i="2"/>
  <c r="E6" i="2"/>
  <c r="M5" i="2"/>
  <c r="M4" i="2"/>
  <c r="N4" i="2" s="1"/>
  <c r="G3" i="2"/>
  <c r="H3" i="2" s="1"/>
  <c r="J3" i="2" s="1"/>
  <c r="F3" i="2"/>
  <c r="O4" i="3" l="1"/>
  <c r="N5" i="3"/>
  <c r="H3" i="3"/>
  <c r="J3" i="3" s="1"/>
  <c r="F4" i="3" s="1"/>
  <c r="I3" i="3"/>
  <c r="Q3" i="2"/>
  <c r="K3" i="2"/>
  <c r="N5" i="2"/>
  <c r="O4" i="2"/>
  <c r="P3" i="2"/>
  <c r="F4" i="2"/>
  <c r="P3" i="1"/>
  <c r="H3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" i="1"/>
  <c r="I4" i="3" l="1"/>
  <c r="G4" i="3"/>
  <c r="Q3" i="3"/>
  <c r="N6" i="3"/>
  <c r="O5" i="3"/>
  <c r="N6" i="2"/>
  <c r="O5" i="2"/>
  <c r="G4" i="2"/>
  <c r="I3" i="1"/>
  <c r="K3" i="1" s="1"/>
  <c r="O6" i="3" l="1"/>
  <c r="N7" i="3"/>
  <c r="H4" i="3"/>
  <c r="F5" i="3" s="1"/>
  <c r="P4" i="3"/>
  <c r="H4" i="2"/>
  <c r="J4" i="2" s="1"/>
  <c r="F5" i="2" s="1"/>
  <c r="I5" i="2" s="1"/>
  <c r="P4" i="2"/>
  <c r="K4" i="2"/>
  <c r="Q4" i="2"/>
  <c r="O6" i="2"/>
  <c r="N7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4" i="1"/>
  <c r="N4" i="1" s="1"/>
  <c r="O4" i="1" s="1"/>
  <c r="Q4" i="3" l="1"/>
  <c r="I5" i="3"/>
  <c r="G5" i="3"/>
  <c r="N8" i="3"/>
  <c r="O7" i="3"/>
  <c r="N8" i="2"/>
  <c r="O7" i="2"/>
  <c r="G5" i="2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P5" i="3" l="1"/>
  <c r="H5" i="3"/>
  <c r="F6" i="3" s="1"/>
  <c r="O8" i="3"/>
  <c r="N9" i="3"/>
  <c r="K5" i="2"/>
  <c r="H5" i="2"/>
  <c r="J5" i="2" s="1"/>
  <c r="F6" i="2" s="1"/>
  <c r="I6" i="2" s="1"/>
  <c r="P5" i="2"/>
  <c r="O8" i="2"/>
  <c r="N9" i="2"/>
  <c r="O5" i="1"/>
  <c r="I6" i="3" l="1"/>
  <c r="G6" i="3"/>
  <c r="N10" i="3"/>
  <c r="O9" i="3"/>
  <c r="Q5" i="3"/>
  <c r="N10" i="2"/>
  <c r="O9" i="2"/>
  <c r="G6" i="2"/>
  <c r="Q5" i="2"/>
  <c r="O6" i="1"/>
  <c r="O10" i="3" l="1"/>
  <c r="N11" i="3"/>
  <c r="H6" i="3"/>
  <c r="P6" i="3"/>
  <c r="P6" i="2"/>
  <c r="H6" i="2"/>
  <c r="J6" i="2" s="1"/>
  <c r="F7" i="2" s="1"/>
  <c r="I7" i="2" s="1"/>
  <c r="K6" i="2"/>
  <c r="O10" i="2"/>
  <c r="N11" i="2"/>
  <c r="O7" i="1"/>
  <c r="J6" i="3" l="1"/>
  <c r="F7" i="3" s="1"/>
  <c r="N12" i="3"/>
  <c r="O11" i="3"/>
  <c r="Q6" i="3"/>
  <c r="G7" i="2"/>
  <c r="O11" i="2"/>
  <c r="N12" i="2"/>
  <c r="Q6" i="2"/>
  <c r="O8" i="1"/>
  <c r="I7" i="3" l="1"/>
  <c r="G7" i="3"/>
  <c r="O12" i="3"/>
  <c r="N13" i="3"/>
  <c r="H7" i="3"/>
  <c r="P7" i="3"/>
  <c r="H7" i="2"/>
  <c r="J7" i="2" s="1"/>
  <c r="F8" i="2" s="1"/>
  <c r="I8" i="2" s="1"/>
  <c r="P7" i="2"/>
  <c r="O12" i="2"/>
  <c r="N13" i="2"/>
  <c r="K7" i="2"/>
  <c r="Q7" i="2"/>
  <c r="O9" i="1"/>
  <c r="J7" i="3" l="1"/>
  <c r="F8" i="3" s="1"/>
  <c r="N14" i="3"/>
  <c r="O13" i="3"/>
  <c r="N14" i="2"/>
  <c r="O13" i="2"/>
  <c r="G8" i="2"/>
  <c r="O10" i="1"/>
  <c r="I8" i="3" l="1"/>
  <c r="G8" i="3"/>
  <c r="H8" i="3" s="1"/>
  <c r="Q7" i="3"/>
  <c r="P8" i="3"/>
  <c r="O14" i="3"/>
  <c r="N15" i="3"/>
  <c r="H8" i="2"/>
  <c r="J8" i="2" s="1"/>
  <c r="F9" i="2" s="1"/>
  <c r="I9" i="2" s="1"/>
  <c r="P8" i="2"/>
  <c r="K8" i="2"/>
  <c r="O14" i="2"/>
  <c r="N15" i="2"/>
  <c r="O11" i="1"/>
  <c r="J8" i="3" l="1"/>
  <c r="F9" i="3" s="1"/>
  <c r="N16" i="3"/>
  <c r="O15" i="3"/>
  <c r="N16" i="2"/>
  <c r="O15" i="2"/>
  <c r="Q8" i="2"/>
  <c r="G9" i="2"/>
  <c r="O12" i="1"/>
  <c r="I9" i="3" l="1"/>
  <c r="G9" i="3"/>
  <c r="H9" i="3" s="1"/>
  <c r="Q8" i="3"/>
  <c r="O16" i="3"/>
  <c r="N17" i="3"/>
  <c r="K9" i="2"/>
  <c r="H9" i="2"/>
  <c r="J9" i="2" s="1"/>
  <c r="F10" i="2" s="1"/>
  <c r="I10" i="2" s="1"/>
  <c r="P9" i="2"/>
  <c r="O16" i="2"/>
  <c r="N17" i="2"/>
  <c r="O13" i="1"/>
  <c r="J9" i="3" l="1"/>
  <c r="F10" i="3" s="1"/>
  <c r="P9" i="3"/>
  <c r="N18" i="3"/>
  <c r="O17" i="3"/>
  <c r="N18" i="2"/>
  <c r="O17" i="2"/>
  <c r="G10" i="2"/>
  <c r="Q9" i="2"/>
  <c r="O14" i="1"/>
  <c r="I10" i="3" l="1"/>
  <c r="G10" i="3"/>
  <c r="H10" i="3" s="1"/>
  <c r="Q9" i="3"/>
  <c r="O18" i="3"/>
  <c r="N19" i="3"/>
  <c r="H10" i="2"/>
  <c r="J10" i="2" s="1"/>
  <c r="F11" i="2" s="1"/>
  <c r="I11" i="2" s="1"/>
  <c r="P10" i="2"/>
  <c r="K10" i="2"/>
  <c r="Q10" i="2"/>
  <c r="O18" i="2"/>
  <c r="N19" i="2"/>
  <c r="O15" i="1"/>
  <c r="J10" i="3" l="1"/>
  <c r="Q10" i="3" s="1"/>
  <c r="P10" i="3"/>
  <c r="N20" i="3"/>
  <c r="O19" i="3"/>
  <c r="N20" i="2"/>
  <c r="O19" i="2"/>
  <c r="G11" i="2"/>
  <c r="O16" i="1"/>
  <c r="F11" i="3" l="1"/>
  <c r="O20" i="3"/>
  <c r="N21" i="3"/>
  <c r="P11" i="2"/>
  <c r="H11" i="2"/>
  <c r="J11" i="2" s="1"/>
  <c r="F12" i="2" s="1"/>
  <c r="I12" i="2" s="1"/>
  <c r="K11" i="2"/>
  <c r="O20" i="2"/>
  <c r="N21" i="2"/>
  <c r="O17" i="1"/>
  <c r="G11" i="3" l="1"/>
  <c r="I11" i="3"/>
  <c r="N22" i="3"/>
  <c r="O21" i="3"/>
  <c r="Q11" i="2"/>
  <c r="N22" i="2"/>
  <c r="O21" i="2"/>
  <c r="G12" i="2"/>
  <c r="O18" i="1"/>
  <c r="H11" i="3" l="1"/>
  <c r="P11" i="3"/>
  <c r="O22" i="3"/>
  <c r="N23" i="3"/>
  <c r="K12" i="2"/>
  <c r="H12" i="2"/>
  <c r="J12" i="2" s="1"/>
  <c r="F13" i="2" s="1"/>
  <c r="I13" i="2" s="1"/>
  <c r="P12" i="2"/>
  <c r="O22" i="2"/>
  <c r="N23" i="2"/>
  <c r="O19" i="1"/>
  <c r="J11" i="3" l="1"/>
  <c r="Q11" i="3" s="1"/>
  <c r="N24" i="3"/>
  <c r="O23" i="3"/>
  <c r="O23" i="2"/>
  <c r="N24" i="2"/>
  <c r="Q12" i="2"/>
  <c r="G13" i="2"/>
  <c r="O20" i="1"/>
  <c r="F12" i="3" l="1"/>
  <c r="N25" i="3"/>
  <c r="O24" i="3"/>
  <c r="P13" i="2"/>
  <c r="H13" i="2"/>
  <c r="J13" i="2" s="1"/>
  <c r="F14" i="2" s="1"/>
  <c r="I14" i="2" s="1"/>
  <c r="N25" i="2"/>
  <c r="O24" i="2"/>
  <c r="Q13" i="2"/>
  <c r="K13" i="2"/>
  <c r="O21" i="1"/>
  <c r="G12" i="3" l="1"/>
  <c r="I12" i="3"/>
  <c r="O25" i="3"/>
  <c r="N26" i="3"/>
  <c r="N26" i="2"/>
  <c r="O25" i="2"/>
  <c r="G14" i="2"/>
  <c r="O22" i="1"/>
  <c r="P12" i="3" l="1"/>
  <c r="H12" i="3"/>
  <c r="N27" i="3"/>
  <c r="O26" i="3"/>
  <c r="H14" i="2"/>
  <c r="J14" i="2" s="1"/>
  <c r="F15" i="2" s="1"/>
  <c r="I15" i="2" s="1"/>
  <c r="P14" i="2"/>
  <c r="K14" i="2"/>
  <c r="Q14" i="2"/>
  <c r="O26" i="2"/>
  <c r="N27" i="2"/>
  <c r="O23" i="1"/>
  <c r="J12" i="3" l="1"/>
  <c r="Q12" i="3" s="1"/>
  <c r="O27" i="3"/>
  <c r="N28" i="3"/>
  <c r="O27" i="2"/>
  <c r="N28" i="2"/>
  <c r="G15" i="2"/>
  <c r="O24" i="1"/>
  <c r="F13" i="3" l="1"/>
  <c r="N29" i="3"/>
  <c r="O28" i="3"/>
  <c r="H15" i="2"/>
  <c r="J15" i="2" s="1"/>
  <c r="F16" i="2" s="1"/>
  <c r="I16" i="2" s="1"/>
  <c r="P15" i="2"/>
  <c r="K15" i="2"/>
  <c r="N29" i="2"/>
  <c r="O28" i="2"/>
  <c r="O25" i="1"/>
  <c r="G13" i="3" l="1"/>
  <c r="I13" i="3"/>
  <c r="O29" i="3"/>
  <c r="N30" i="3"/>
  <c r="Q15" i="2"/>
  <c r="O29" i="2"/>
  <c r="N30" i="2"/>
  <c r="G16" i="2"/>
  <c r="O26" i="1"/>
  <c r="P13" i="3" l="1"/>
  <c r="H13" i="3"/>
  <c r="N31" i="3"/>
  <c r="O30" i="3"/>
  <c r="P16" i="2"/>
  <c r="H16" i="2"/>
  <c r="J16" i="2" s="1"/>
  <c r="F17" i="2" s="1"/>
  <c r="I17" i="2" s="1"/>
  <c r="K16" i="2"/>
  <c r="Q16" i="2"/>
  <c r="N31" i="2"/>
  <c r="O30" i="2"/>
  <c r="O27" i="1"/>
  <c r="J13" i="3" l="1"/>
  <c r="Q13" i="3" s="1"/>
  <c r="O31" i="3"/>
  <c r="N32" i="3"/>
  <c r="O31" i="2"/>
  <c r="N32" i="2"/>
  <c r="G17" i="2"/>
  <c r="O28" i="1"/>
  <c r="F14" i="3" l="1"/>
  <c r="N33" i="3"/>
  <c r="O33" i="3" s="1"/>
  <c r="O32" i="3"/>
  <c r="K17" i="2"/>
  <c r="P17" i="2"/>
  <c r="H17" i="2"/>
  <c r="J17" i="2" s="1"/>
  <c r="F18" i="2" s="1"/>
  <c r="I18" i="2" s="1"/>
  <c r="N33" i="2"/>
  <c r="O33" i="2" s="1"/>
  <c r="O32" i="2"/>
  <c r="O29" i="1"/>
  <c r="G14" i="3" l="1"/>
  <c r="I14" i="3"/>
  <c r="Q17" i="2"/>
  <c r="G18" i="2"/>
  <c r="O30" i="1"/>
  <c r="P14" i="3" l="1"/>
  <c r="H14" i="3"/>
  <c r="P18" i="2"/>
  <c r="H18" i="2"/>
  <c r="J18" i="2" s="1"/>
  <c r="F19" i="2" s="1"/>
  <c r="I19" i="2" s="1"/>
  <c r="K18" i="2"/>
  <c r="Q18" i="2"/>
  <c r="O31" i="1"/>
  <c r="J14" i="3" l="1"/>
  <c r="Q14" i="3" s="1"/>
  <c r="G19" i="2"/>
  <c r="O32" i="1"/>
  <c r="F15" i="3" l="1"/>
  <c r="H19" i="2"/>
  <c r="J19" i="2" s="1"/>
  <c r="F20" i="2" s="1"/>
  <c r="I20" i="2" s="1"/>
  <c r="P19" i="2"/>
  <c r="K19" i="2"/>
  <c r="Q19" i="2"/>
  <c r="O33" i="1"/>
  <c r="G15" i="3" l="1"/>
  <c r="I15" i="3"/>
  <c r="G20" i="2"/>
  <c r="C25" i="1"/>
  <c r="C29" i="1"/>
  <c r="C28" i="1"/>
  <c r="B28" i="1"/>
  <c r="B29" i="1"/>
  <c r="H15" i="3" l="1"/>
  <c r="P15" i="3"/>
  <c r="H20" i="2"/>
  <c r="J20" i="2" s="1"/>
  <c r="F21" i="2" s="1"/>
  <c r="I21" i="2" s="1"/>
  <c r="P20" i="2"/>
  <c r="K20" i="2"/>
  <c r="Q20" i="2"/>
  <c r="B25" i="1"/>
  <c r="G3" i="1" s="1"/>
  <c r="J3" i="1" s="1"/>
  <c r="J15" i="3" l="1"/>
  <c r="Q15" i="3" s="1"/>
  <c r="G21" i="2"/>
  <c r="F4" i="1"/>
  <c r="G4" i="1" s="1"/>
  <c r="P4" i="1" s="1"/>
  <c r="Q3" i="1"/>
  <c r="I4" i="1"/>
  <c r="K4" i="1" s="1"/>
  <c r="C24" i="1"/>
  <c r="B24" i="1"/>
  <c r="F16" i="3" l="1"/>
  <c r="K21" i="2"/>
  <c r="H21" i="2"/>
  <c r="J21" i="2" s="1"/>
  <c r="F22" i="2" s="1"/>
  <c r="I22" i="2" s="1"/>
  <c r="P21" i="2"/>
  <c r="H4" i="1"/>
  <c r="J4" i="1" s="1"/>
  <c r="Q4" i="1" s="1"/>
  <c r="B32" i="1"/>
  <c r="B33" i="1"/>
  <c r="I16" i="3" l="1"/>
  <c r="G16" i="3"/>
  <c r="G22" i="2"/>
  <c r="Q21" i="2"/>
  <c r="F5" i="1"/>
  <c r="G5" i="1"/>
  <c r="P5" i="1" s="1"/>
  <c r="I5" i="1"/>
  <c r="P16" i="3" l="1"/>
  <c r="H16" i="3"/>
  <c r="H22" i="2"/>
  <c r="J22" i="2" s="1"/>
  <c r="F23" i="2" s="1"/>
  <c r="I23" i="2" s="1"/>
  <c r="P22" i="2"/>
  <c r="K22" i="2"/>
  <c r="K5" i="1"/>
  <c r="H5" i="1"/>
  <c r="J5" i="1" s="1"/>
  <c r="J16" i="3" l="1"/>
  <c r="Q16" i="3" s="1"/>
  <c r="Q22" i="2"/>
  <c r="G23" i="2"/>
  <c r="F6" i="1"/>
  <c r="G6" i="1" s="1"/>
  <c r="P6" i="1" s="1"/>
  <c r="Q5" i="1"/>
  <c r="I6" i="1"/>
  <c r="F17" i="3" l="1"/>
  <c r="H23" i="2"/>
  <c r="J23" i="2" s="1"/>
  <c r="F24" i="2" s="1"/>
  <c r="I24" i="2" s="1"/>
  <c r="P23" i="2"/>
  <c r="Q23" i="2"/>
  <c r="K23" i="2"/>
  <c r="K6" i="1"/>
  <c r="H6" i="1"/>
  <c r="J6" i="1" s="1"/>
  <c r="G17" i="3" l="1"/>
  <c r="I17" i="3"/>
  <c r="G24" i="2"/>
  <c r="F7" i="1"/>
  <c r="G7" i="1" s="1"/>
  <c r="P7" i="1" s="1"/>
  <c r="Q6" i="1"/>
  <c r="I7" i="1"/>
  <c r="H17" i="3" l="1"/>
  <c r="P17" i="3"/>
  <c r="H24" i="2"/>
  <c r="J24" i="2" s="1"/>
  <c r="F25" i="2" s="1"/>
  <c r="I25" i="2" s="1"/>
  <c r="P24" i="2"/>
  <c r="K24" i="2"/>
  <c r="Q24" i="2"/>
  <c r="K7" i="1"/>
  <c r="H7" i="1"/>
  <c r="J7" i="1" s="1"/>
  <c r="J17" i="3" l="1"/>
  <c r="Q17" i="3" s="1"/>
  <c r="G25" i="2"/>
  <c r="F8" i="1"/>
  <c r="G8" i="1" s="1"/>
  <c r="P8" i="1" s="1"/>
  <c r="Q7" i="1"/>
  <c r="I8" i="1"/>
  <c r="F18" i="3" l="1"/>
  <c r="K25" i="2"/>
  <c r="H25" i="2"/>
  <c r="J25" i="2" s="1"/>
  <c r="F26" i="2" s="1"/>
  <c r="I26" i="2" s="1"/>
  <c r="P25" i="2"/>
  <c r="K8" i="1"/>
  <c r="H8" i="1"/>
  <c r="J8" i="1" s="1"/>
  <c r="I18" i="3" l="1"/>
  <c r="G18" i="3"/>
  <c r="G26" i="2"/>
  <c r="Q25" i="2"/>
  <c r="F9" i="1"/>
  <c r="G9" i="1" s="1"/>
  <c r="Q8" i="1"/>
  <c r="P9" i="1"/>
  <c r="I9" i="1"/>
  <c r="P18" i="3" l="1"/>
  <c r="H18" i="3"/>
  <c r="H26" i="2"/>
  <c r="J26" i="2" s="1"/>
  <c r="F27" i="2" s="1"/>
  <c r="I27" i="2" s="1"/>
  <c r="P26" i="2"/>
  <c r="K26" i="2"/>
  <c r="Q26" i="2"/>
  <c r="K9" i="1"/>
  <c r="H9" i="1"/>
  <c r="J9" i="1" s="1"/>
  <c r="J18" i="3" l="1"/>
  <c r="Q18" i="3" s="1"/>
  <c r="G27" i="2"/>
  <c r="F10" i="1"/>
  <c r="G10" i="1" s="1"/>
  <c r="Q9" i="1"/>
  <c r="P10" i="1"/>
  <c r="I10" i="1"/>
  <c r="F19" i="3" l="1"/>
  <c r="K27" i="2"/>
  <c r="P27" i="2"/>
  <c r="H27" i="2"/>
  <c r="J27" i="2" s="1"/>
  <c r="F28" i="2" s="1"/>
  <c r="I28" i="2" s="1"/>
  <c r="K10" i="1"/>
  <c r="H10" i="1"/>
  <c r="J10" i="1" s="1"/>
  <c r="I19" i="3" l="1"/>
  <c r="G19" i="3"/>
  <c r="G28" i="2"/>
  <c r="Q27" i="2"/>
  <c r="F11" i="1"/>
  <c r="G11" i="1" s="1"/>
  <c r="Q10" i="1"/>
  <c r="P11" i="1"/>
  <c r="I11" i="1"/>
  <c r="P19" i="3" l="1"/>
  <c r="H19" i="3"/>
  <c r="K28" i="2"/>
  <c r="H28" i="2"/>
  <c r="J28" i="2" s="1"/>
  <c r="F29" i="2" s="1"/>
  <c r="I29" i="2" s="1"/>
  <c r="P28" i="2"/>
  <c r="K11" i="1"/>
  <c r="H11" i="1"/>
  <c r="J11" i="1" s="1"/>
  <c r="J19" i="3" l="1"/>
  <c r="Q19" i="3" s="1"/>
  <c r="Q28" i="2"/>
  <c r="G29" i="2"/>
  <c r="F12" i="1"/>
  <c r="G12" i="1" s="1"/>
  <c r="Q11" i="1"/>
  <c r="P12" i="1"/>
  <c r="I12" i="1"/>
  <c r="F20" i="3" l="1"/>
  <c r="P29" i="2"/>
  <c r="H29" i="2"/>
  <c r="J29" i="2" s="1"/>
  <c r="F30" i="2" s="1"/>
  <c r="I30" i="2" s="1"/>
  <c r="K29" i="2"/>
  <c r="K12" i="1"/>
  <c r="H12" i="1"/>
  <c r="J12" i="1" s="1"/>
  <c r="G20" i="3" l="1"/>
  <c r="I20" i="3"/>
  <c r="Q29" i="2"/>
  <c r="G30" i="2"/>
  <c r="F13" i="1"/>
  <c r="G13" i="1" s="1"/>
  <c r="Q12" i="1"/>
  <c r="P13" i="1"/>
  <c r="I13" i="1"/>
  <c r="P20" i="3" l="1"/>
  <c r="H20" i="3"/>
  <c r="K30" i="2"/>
  <c r="P30" i="2"/>
  <c r="H30" i="2"/>
  <c r="J30" i="2" s="1"/>
  <c r="F31" i="2" s="1"/>
  <c r="I31" i="2" s="1"/>
  <c r="K13" i="1"/>
  <c r="H13" i="1"/>
  <c r="J13" i="1" s="1"/>
  <c r="J20" i="3" l="1"/>
  <c r="Q20" i="3" s="1"/>
  <c r="G31" i="2"/>
  <c r="Q30" i="2"/>
  <c r="F14" i="1"/>
  <c r="G14" i="1" s="1"/>
  <c r="Q13" i="1"/>
  <c r="P14" i="1"/>
  <c r="I14" i="1"/>
  <c r="F21" i="3" l="1"/>
  <c r="P31" i="2"/>
  <c r="H31" i="2"/>
  <c r="J31" i="2" s="1"/>
  <c r="F32" i="2" s="1"/>
  <c r="I32" i="2" s="1"/>
  <c r="K31" i="2"/>
  <c r="K14" i="1"/>
  <c r="H14" i="1"/>
  <c r="J14" i="1" s="1"/>
  <c r="I21" i="3" l="1"/>
  <c r="G21" i="3"/>
  <c r="Q31" i="2"/>
  <c r="G32" i="2"/>
  <c r="F15" i="1"/>
  <c r="G15" i="1" s="1"/>
  <c r="P15" i="1" s="1"/>
  <c r="Q14" i="1"/>
  <c r="I15" i="1"/>
  <c r="H21" i="3" l="1"/>
  <c r="P21" i="3"/>
  <c r="P32" i="2"/>
  <c r="H32" i="2"/>
  <c r="J32" i="2" s="1"/>
  <c r="F33" i="2" s="1"/>
  <c r="I33" i="2" s="1"/>
  <c r="K32" i="2"/>
  <c r="K15" i="1"/>
  <c r="H15" i="1"/>
  <c r="J15" i="1" s="1"/>
  <c r="J21" i="3" l="1"/>
  <c r="Q21" i="3" s="1"/>
  <c r="Q32" i="2"/>
  <c r="G33" i="2"/>
  <c r="F22" i="3" l="1"/>
  <c r="P33" i="2"/>
  <c r="H33" i="2"/>
  <c r="J33" i="2" s="1"/>
  <c r="Q33" i="2" s="1"/>
  <c r="K33" i="2"/>
  <c r="F16" i="1"/>
  <c r="G16" i="1" s="1"/>
  <c r="Q15" i="1"/>
  <c r="P16" i="1"/>
  <c r="I16" i="1"/>
  <c r="G22" i="3" l="1"/>
  <c r="I22" i="3"/>
  <c r="K16" i="1"/>
  <c r="H16" i="1"/>
  <c r="J16" i="1" s="1"/>
  <c r="H22" i="3" l="1"/>
  <c r="P22" i="3"/>
  <c r="J22" i="3" l="1"/>
  <c r="Q22" i="3" s="1"/>
  <c r="F17" i="1"/>
  <c r="G17" i="1" s="1"/>
  <c r="Q16" i="1"/>
  <c r="P17" i="1"/>
  <c r="I17" i="1"/>
  <c r="F23" i="3" l="1"/>
  <c r="K17" i="1"/>
  <c r="H17" i="1"/>
  <c r="J17" i="1" s="1"/>
  <c r="I23" i="3" l="1"/>
  <c r="G23" i="3"/>
  <c r="P23" i="3" l="1"/>
  <c r="H23" i="3"/>
  <c r="F18" i="1"/>
  <c r="G18" i="1" s="1"/>
  <c r="Q17" i="1"/>
  <c r="P18" i="1"/>
  <c r="I18" i="1"/>
  <c r="J23" i="3" l="1"/>
  <c r="Q23" i="3" s="1"/>
  <c r="K18" i="1"/>
  <c r="H18" i="1"/>
  <c r="J18" i="1" s="1"/>
  <c r="F24" i="3" l="1"/>
  <c r="I24" i="3" l="1"/>
  <c r="G24" i="3"/>
  <c r="F19" i="1"/>
  <c r="G19" i="1" s="1"/>
  <c r="Q18" i="1"/>
  <c r="P19" i="1"/>
  <c r="I19" i="1"/>
  <c r="P24" i="3" l="1"/>
  <c r="H24" i="3"/>
  <c r="K19" i="1"/>
  <c r="H19" i="1"/>
  <c r="J19" i="1" s="1"/>
  <c r="J24" i="3" l="1"/>
  <c r="Q24" i="3" s="1"/>
  <c r="F25" i="3" l="1"/>
  <c r="F20" i="1"/>
  <c r="G20" i="1" s="1"/>
  <c r="Q19" i="1"/>
  <c r="P20" i="1"/>
  <c r="I20" i="1"/>
  <c r="G25" i="3" l="1"/>
  <c r="I25" i="3"/>
  <c r="K20" i="1"/>
  <c r="H20" i="1"/>
  <c r="J20" i="1" s="1"/>
  <c r="H25" i="3" l="1"/>
  <c r="P25" i="3"/>
  <c r="J25" i="3" l="1"/>
  <c r="Q25" i="3" s="1"/>
  <c r="F21" i="1"/>
  <c r="G21" i="1" s="1"/>
  <c r="P21" i="1" s="1"/>
  <c r="Q20" i="1"/>
  <c r="I21" i="1"/>
  <c r="F26" i="3" l="1"/>
  <c r="K21" i="1"/>
  <c r="H21" i="1"/>
  <c r="J21" i="1" s="1"/>
  <c r="G26" i="3" l="1"/>
  <c r="I26" i="3"/>
  <c r="P26" i="3" l="1"/>
  <c r="H26" i="3"/>
  <c r="F22" i="1"/>
  <c r="G22" i="1" s="1"/>
  <c r="Q21" i="1"/>
  <c r="P22" i="1"/>
  <c r="I22" i="1"/>
  <c r="J26" i="3" l="1"/>
  <c r="Q26" i="3" s="1"/>
  <c r="K22" i="1"/>
  <c r="H22" i="1"/>
  <c r="J22" i="1" s="1"/>
  <c r="F27" i="3" l="1"/>
  <c r="G27" i="3" l="1"/>
  <c r="I27" i="3"/>
  <c r="F23" i="1"/>
  <c r="G23" i="1" s="1"/>
  <c r="Q22" i="1"/>
  <c r="P23" i="1"/>
  <c r="I23" i="1"/>
  <c r="P27" i="3" l="1"/>
  <c r="H27" i="3"/>
  <c r="K23" i="1"/>
  <c r="H23" i="1"/>
  <c r="J23" i="1" s="1"/>
  <c r="J27" i="3" l="1"/>
  <c r="Q27" i="3" s="1"/>
  <c r="F28" i="3" l="1"/>
  <c r="F24" i="1"/>
  <c r="G24" i="1" s="1"/>
  <c r="Q23" i="1"/>
  <c r="P24" i="1"/>
  <c r="I24" i="1"/>
  <c r="G28" i="3" l="1"/>
  <c r="I28" i="3"/>
  <c r="K24" i="1"/>
  <c r="H24" i="1"/>
  <c r="J24" i="1" s="1"/>
  <c r="H28" i="3" l="1"/>
  <c r="P28" i="3"/>
  <c r="J28" i="3" l="1"/>
  <c r="Q28" i="3" s="1"/>
  <c r="F25" i="1"/>
  <c r="G25" i="1" s="1"/>
  <c r="Q24" i="1"/>
  <c r="P25" i="1"/>
  <c r="I25" i="1"/>
  <c r="F29" i="3" l="1"/>
  <c r="K25" i="1"/>
  <c r="H25" i="1"/>
  <c r="J25" i="1" s="1"/>
  <c r="I29" i="3" l="1"/>
  <c r="G29" i="3"/>
  <c r="H29" i="3" l="1"/>
  <c r="P29" i="3"/>
  <c r="F26" i="1"/>
  <c r="G26" i="1" s="1"/>
  <c r="Q25" i="1"/>
  <c r="P26" i="1"/>
  <c r="I26" i="1"/>
  <c r="J29" i="3" l="1"/>
  <c r="Q29" i="3" s="1"/>
  <c r="K26" i="1"/>
  <c r="H26" i="1"/>
  <c r="J26" i="1" s="1"/>
  <c r="F30" i="3" l="1"/>
  <c r="G30" i="3" l="1"/>
  <c r="I30" i="3"/>
  <c r="F27" i="1"/>
  <c r="G27" i="1" s="1"/>
  <c r="P27" i="1" s="1"/>
  <c r="Q26" i="1"/>
  <c r="I27" i="1"/>
  <c r="P30" i="3" l="1"/>
  <c r="H30" i="3"/>
  <c r="K27" i="1"/>
  <c r="H27" i="1"/>
  <c r="J27" i="1" s="1"/>
  <c r="J30" i="3" l="1"/>
  <c r="Q30" i="3" s="1"/>
  <c r="F31" i="3" l="1"/>
  <c r="F28" i="1"/>
  <c r="G28" i="1" s="1"/>
  <c r="Q27" i="1"/>
  <c r="P28" i="1"/>
  <c r="I28" i="1"/>
  <c r="I31" i="3" l="1"/>
  <c r="G31" i="3"/>
  <c r="K28" i="1"/>
  <c r="H28" i="1"/>
  <c r="J28" i="1" s="1"/>
  <c r="H31" i="3" l="1"/>
  <c r="P31" i="3"/>
  <c r="J31" i="3" l="1"/>
  <c r="Q31" i="3" s="1"/>
  <c r="F29" i="1"/>
  <c r="G29" i="1" s="1"/>
  <c r="Q28" i="1"/>
  <c r="P29" i="1"/>
  <c r="I29" i="1"/>
  <c r="F32" i="3" l="1"/>
  <c r="K29" i="1"/>
  <c r="H29" i="1"/>
  <c r="J29" i="1" s="1"/>
  <c r="I32" i="3" l="1"/>
  <c r="G32" i="3"/>
  <c r="F30" i="1"/>
  <c r="G30" i="1" s="1"/>
  <c r="Q29" i="1"/>
  <c r="P30" i="1"/>
  <c r="I30" i="1"/>
  <c r="P32" i="3" l="1"/>
  <c r="H32" i="3"/>
  <c r="K30" i="1"/>
  <c r="H30" i="1"/>
  <c r="J30" i="1" s="1"/>
  <c r="J32" i="3" l="1"/>
  <c r="Q32" i="3" s="1"/>
  <c r="F31" i="1"/>
  <c r="G31" i="1" s="1"/>
  <c r="Q30" i="1"/>
  <c r="P31" i="1"/>
  <c r="I31" i="1"/>
  <c r="F33" i="3" l="1"/>
  <c r="K31" i="1"/>
  <c r="H31" i="1"/>
  <c r="J31" i="1" s="1"/>
  <c r="I33" i="3" l="1"/>
  <c r="G33" i="3"/>
  <c r="F32" i="1"/>
  <c r="G32" i="1" s="1"/>
  <c r="Q31" i="1"/>
  <c r="P32" i="1"/>
  <c r="I32" i="1"/>
  <c r="H33" i="3" l="1"/>
  <c r="P33" i="3"/>
  <c r="K32" i="1"/>
  <c r="H32" i="1"/>
  <c r="J32" i="1" s="1"/>
  <c r="J33" i="3" l="1"/>
  <c r="Q33" i="3" s="1"/>
  <c r="F33" i="1"/>
  <c r="G33" i="1" s="1"/>
  <c r="Q32" i="1"/>
  <c r="P33" i="1"/>
  <c r="I33" i="1"/>
  <c r="K33" i="1" l="1"/>
  <c r="H33" i="1"/>
  <c r="J33" i="1" l="1"/>
  <c r="Q33" i="1" s="1"/>
</calcChain>
</file>

<file path=xl/sharedStrings.xml><?xml version="1.0" encoding="utf-8"?>
<sst xmlns="http://schemas.openxmlformats.org/spreadsheetml/2006/main" count="168" uniqueCount="54">
  <si>
    <t xml:space="preserve"> </t>
  </si>
  <si>
    <t>Psi</t>
  </si>
  <si>
    <t>Theta</t>
  </si>
  <si>
    <t>Beta1</t>
  </si>
  <si>
    <t>p</t>
  </si>
  <si>
    <t>yd</t>
  </si>
  <si>
    <t>i</t>
  </si>
  <si>
    <t>p_ee0</t>
  </si>
  <si>
    <t>s_ee0</t>
  </si>
  <si>
    <t>s</t>
  </si>
  <si>
    <t>Beta2</t>
  </si>
  <si>
    <t>Mi</t>
  </si>
  <si>
    <t>Period</t>
  </si>
  <si>
    <t>Endogenous variables</t>
  </si>
  <si>
    <t>Change over time</t>
  </si>
  <si>
    <t>∆p: Inflation</t>
  </si>
  <si>
    <t>∆s: Exchange rate depreciation</t>
  </si>
  <si>
    <t>p: Price level</t>
  </si>
  <si>
    <t>s: Nominal exchange rate</t>
  </si>
  <si>
    <t>yd: Aggregate demand</t>
  </si>
  <si>
    <t>i: Nominal interest rate</t>
  </si>
  <si>
    <t>Parameters</t>
  </si>
  <si>
    <t>Exogenous variables</t>
  </si>
  <si>
    <t>Initial value</t>
  </si>
  <si>
    <t>Final value</t>
  </si>
  <si>
    <t>m: Money supply</t>
  </si>
  <si>
    <t>i*: Foreign nominal interest rate</t>
  </si>
  <si>
    <t>Beta0: Public spending</t>
  </si>
  <si>
    <t>p*: Foreign price level</t>
  </si>
  <si>
    <t>ypot: Potential output</t>
  </si>
  <si>
    <t>Steady State</t>
  </si>
  <si>
    <t>Initial SS</t>
  </si>
  <si>
    <t>Final SS</t>
  </si>
  <si>
    <t>Eigenvalues</t>
  </si>
  <si>
    <t>Real</t>
  </si>
  <si>
    <t>Imaginary</t>
  </si>
  <si>
    <t>Stability condition</t>
  </si>
  <si>
    <r>
      <t>λ</t>
    </r>
    <r>
      <rPr>
        <vertAlign val="subscript"/>
        <sz val="10"/>
        <rFont val="Arial"/>
        <family val="1"/>
      </rPr>
      <t>1</t>
    </r>
  </si>
  <si>
    <r>
      <t>λ</t>
    </r>
    <r>
      <rPr>
        <vertAlign val="subscript"/>
        <sz val="10"/>
        <rFont val="Arial"/>
        <family val="1"/>
      </rPr>
      <t>2</t>
    </r>
  </si>
  <si>
    <r>
      <t>Modulus (1+λ</t>
    </r>
    <r>
      <rPr>
        <vertAlign val="subscript"/>
        <sz val="10"/>
        <rFont val="Arial"/>
        <family val="1"/>
      </rPr>
      <t>1</t>
    </r>
    <r>
      <rPr>
        <sz val="10"/>
        <rFont val="Arial"/>
        <family val="1"/>
      </rPr>
      <t>)</t>
    </r>
  </si>
  <si>
    <r>
      <t>Modulus (1+λ</t>
    </r>
    <r>
      <rPr>
        <vertAlign val="subscript"/>
        <sz val="10"/>
        <rFont val="Arial"/>
        <family val="1"/>
      </rPr>
      <t>2</t>
    </r>
    <r>
      <rPr>
        <sz val="10"/>
        <rFont val="Arial"/>
        <family val="1"/>
      </rPr>
      <t>)</t>
    </r>
  </si>
  <si>
    <t>∆p</t>
  </si>
  <si>
    <t>∆s</t>
  </si>
  <si>
    <t>epsilon</t>
  </si>
  <si>
    <t>z</t>
  </si>
  <si>
    <t>Z</t>
  </si>
  <si>
    <t>Rho_z</t>
  </si>
  <si>
    <t>Std Dev z</t>
  </si>
  <si>
    <t>Real Ex</t>
  </si>
  <si>
    <t>Real Int</t>
  </si>
  <si>
    <t>Fixed Z</t>
  </si>
  <si>
    <t>EXERCISE 3: Exchange rate overshooting with Productivity Shocks and No Zero Lower Bound</t>
  </si>
  <si>
    <t>EXERCISE 3: Exchange rate overshooting with Zero Lower Bound</t>
  </si>
  <si>
    <t>EXERCISE 3: Exchange rate overshooting with Zero Lower Bound and Foreign Interest Rate Shocks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</si>
</sst>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1"/>
    </font>
    <font>
      <sz val="10"/>
      <name val="Arial"/>
      <family val="1"/>
    </font>
    <font>
      <sz val="10"/>
      <name val="Times New Roman"/>
      <family val="1"/>
    </font>
    <font>
      <sz val="11"/>
      <color rgb="FF000000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0" xfId="0" applyFont="1"/>
    <xf numFmtId="0" fontId="6" fillId="0" borderId="0" xfId="0" applyFont="1"/>
    <xf numFmtId="2" fontId="7" fillId="2" borderId="0" xfId="0" applyNumberFormat="1" applyFont="1" applyFill="1" applyAlignment="1" applyProtection="1">
      <alignment horizontal="center"/>
      <protection locked="0"/>
    </xf>
    <xf numFmtId="2" fontId="7" fillId="2" borderId="1" xfId="0" applyNumberFormat="1" applyFont="1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2" fontId="7" fillId="2" borderId="4" xfId="0" applyNumberFormat="1" applyFont="1" applyFill="1" applyBorder="1" applyAlignment="1" applyProtection="1">
      <alignment horizontal="center"/>
      <protection locked="0"/>
    </xf>
    <xf numFmtId="2" fontId="7" fillId="2" borderId="5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3B3B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Hoja1!$J$2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Hoja1!$J$3:$J$33</c:f>
              <c:numCache>
                <c:formatCode>0.00</c:formatCode>
                <c:ptCount val="31"/>
                <c:pt idx="0">
                  <c:v>0</c:v>
                </c:pt>
                <c:pt idx="1">
                  <c:v>-1.3005775357334757</c:v>
                </c:pt>
                <c:pt idx="2">
                  <c:v>-0.19493069267998636</c:v>
                </c:pt>
                <c:pt idx="3">
                  <c:v>0.15541004233586592</c:v>
                </c:pt>
                <c:pt idx="4">
                  <c:v>-0.28986921850008229</c:v>
                </c:pt>
                <c:pt idx="5">
                  <c:v>-0.2073730099102977</c:v>
                </c:pt>
                <c:pt idx="6">
                  <c:v>5.1291661535810822E-2</c:v>
                </c:pt>
                <c:pt idx="7">
                  <c:v>0.52537546014168812</c:v>
                </c:pt>
                <c:pt idx="8">
                  <c:v>-3.6304732212235535</c:v>
                </c:pt>
                <c:pt idx="9">
                  <c:v>-0.99586177428353273</c:v>
                </c:pt>
                <c:pt idx="10">
                  <c:v>0.45521413480114914</c:v>
                </c:pt>
                <c:pt idx="11">
                  <c:v>1.2272580739828072</c:v>
                </c:pt>
                <c:pt idx="12">
                  <c:v>0.3246620582469768</c:v>
                </c:pt>
                <c:pt idx="13">
                  <c:v>1.1040288983093023</c:v>
                </c:pt>
                <c:pt idx="14">
                  <c:v>-0.80086485210051028</c:v>
                </c:pt>
                <c:pt idx="15">
                  <c:v>-1.048439504952728</c:v>
                </c:pt>
                <c:pt idx="16">
                  <c:v>0.58483522793342224</c:v>
                </c:pt>
                <c:pt idx="17">
                  <c:v>-0.55997187567137419</c:v>
                </c:pt>
                <c:pt idx="18">
                  <c:v>9.9171058337037724E-2</c:v>
                </c:pt>
                <c:pt idx="19">
                  <c:v>1.8347403678168417</c:v>
                </c:pt>
                <c:pt idx="20">
                  <c:v>1.7306154570999093</c:v>
                </c:pt>
                <c:pt idx="21">
                  <c:v>0.24683845885403571</c:v>
                </c:pt>
                <c:pt idx="22">
                  <c:v>1.8475590448420349</c:v>
                </c:pt>
                <c:pt idx="23">
                  <c:v>1.6694432470295375</c:v>
                </c:pt>
                <c:pt idx="24">
                  <c:v>-0.56192918721123308</c:v>
                </c:pt>
                <c:pt idx="25">
                  <c:v>-8.0288326558841161E-2</c:v>
                </c:pt>
                <c:pt idx="26">
                  <c:v>-3.2137245783544585E-2</c:v>
                </c:pt>
                <c:pt idx="27">
                  <c:v>-0.25749769393013822</c:v>
                </c:pt>
                <c:pt idx="28">
                  <c:v>-1.0030104452898423</c:v>
                </c:pt>
                <c:pt idx="29">
                  <c:v>-0.5125042133277089</c:v>
                </c:pt>
                <c:pt idx="30">
                  <c:v>0.68120291500911667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9-4903-8418-921C0D10B097}"/>
            </c:ext>
          </c:extLst>
        </c:ser>
        <c:ser>
          <c:idx val="1"/>
          <c:order val="1"/>
          <c:tx>
            <c:strRef>
              <c:f>Hoja1!$K$2</c:f>
              <c:strCache>
                <c:ptCount val="1"/>
                <c:pt idx="0">
                  <c:v>∆s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Hoja1!$K$3:$K$33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-2.6011550714669625</c:v>
                </c:pt>
                <c:pt idx="3">
                  <c:v>-2.9910164568269124</c:v>
                </c:pt>
                <c:pt idx="4">
                  <c:v>-2.6801963721551942</c:v>
                </c:pt>
                <c:pt idx="5">
                  <c:v>-3.2599348091553679</c:v>
                </c:pt>
                <c:pt idx="6">
                  <c:v>-3.6746808289759656</c:v>
                </c:pt>
                <c:pt idx="7">
                  <c:v>-3.5720975059043383</c:v>
                </c:pt>
                <c:pt idx="8">
                  <c:v>-2.5213465856209609</c:v>
                </c:pt>
                <c:pt idx="9">
                  <c:v>-9.782293028068068</c:v>
                </c:pt>
                <c:pt idx="10">
                  <c:v>-11.77401657663512</c:v>
                </c:pt>
                <c:pt idx="11">
                  <c:v>-10.863588307032842</c:v>
                </c:pt>
                <c:pt idx="12">
                  <c:v>-8.4090721590672217</c:v>
                </c:pt>
                <c:pt idx="13">
                  <c:v>-7.7597480425732499</c:v>
                </c:pt>
                <c:pt idx="14">
                  <c:v>-5.55169024595466</c:v>
                </c:pt>
                <c:pt idx="15">
                  <c:v>-7.1534199501556657</c:v>
                </c:pt>
                <c:pt idx="16">
                  <c:v>-9.2502989600611443</c:v>
                </c:pt>
                <c:pt idx="17">
                  <c:v>-8.0806285041942942</c:v>
                </c:pt>
                <c:pt idx="18">
                  <c:v>-9.2005722555370255</c:v>
                </c:pt>
                <c:pt idx="19">
                  <c:v>-9.0022301388629558</c:v>
                </c:pt>
                <c:pt idx="20">
                  <c:v>-5.3327494032292861</c:v>
                </c:pt>
                <c:pt idx="21">
                  <c:v>-1.8715184890294552</c:v>
                </c:pt>
                <c:pt idx="22">
                  <c:v>-1.3778415713213974</c:v>
                </c:pt>
                <c:pt idx="23">
                  <c:v>2.3172765183626893</c:v>
                </c:pt>
                <c:pt idx="24">
                  <c:v>5.6561630124217572</c:v>
                </c:pt>
                <c:pt idx="25">
                  <c:v>4.5323046379992888</c:v>
                </c:pt>
                <c:pt idx="26">
                  <c:v>4.371727984881602</c:v>
                </c:pt>
                <c:pt idx="27">
                  <c:v>4.3074534933145117</c:v>
                </c:pt>
                <c:pt idx="28">
                  <c:v>3.7924581054542443</c:v>
                </c:pt>
                <c:pt idx="29">
                  <c:v>1.7864372148745531</c:v>
                </c:pt>
                <c:pt idx="30">
                  <c:v>0.76142878821914906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9-4903-8418-921C0D10B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612543"/>
        <c:axId val="534616863"/>
      </c:lineChart>
      <c:catAx>
        <c:axId val="53461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16863"/>
        <c:crosses val="autoZero"/>
        <c:auto val="1"/>
        <c:lblAlgn val="ctr"/>
        <c:lblOffset val="100"/>
        <c:noMultiLvlLbl val="0"/>
      </c:catAx>
      <c:valAx>
        <c:axId val="5346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Hoja1!$J$2</c:f>
              <c:strCache>
                <c:ptCount val="1"/>
                <c:pt idx="0">
                  <c:v>∆p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Hoja1!$J$3:$J$33</c:f>
              <c:numCache>
                <c:formatCode>0.00</c:formatCode>
                <c:ptCount val="31"/>
                <c:pt idx="0">
                  <c:v>0</c:v>
                </c:pt>
                <c:pt idx="1">
                  <c:v>-1.3005775357334757</c:v>
                </c:pt>
                <c:pt idx="2">
                  <c:v>-0.19493069267998636</c:v>
                </c:pt>
                <c:pt idx="3">
                  <c:v>0.15541004233586592</c:v>
                </c:pt>
                <c:pt idx="4">
                  <c:v>-0.28986921850008229</c:v>
                </c:pt>
                <c:pt idx="5">
                  <c:v>-0.2073730099102977</c:v>
                </c:pt>
                <c:pt idx="6">
                  <c:v>5.1291661535810822E-2</c:v>
                </c:pt>
                <c:pt idx="7">
                  <c:v>0.52537546014168812</c:v>
                </c:pt>
                <c:pt idx="8">
                  <c:v>-3.6304732212235535</c:v>
                </c:pt>
                <c:pt idx="9">
                  <c:v>-0.99586177428353273</c:v>
                </c:pt>
                <c:pt idx="10">
                  <c:v>0.45521413480114914</c:v>
                </c:pt>
                <c:pt idx="11">
                  <c:v>1.2272580739828072</c:v>
                </c:pt>
                <c:pt idx="12">
                  <c:v>0.3246620582469768</c:v>
                </c:pt>
                <c:pt idx="13">
                  <c:v>1.1040288983093023</c:v>
                </c:pt>
                <c:pt idx="14">
                  <c:v>-0.80086485210051028</c:v>
                </c:pt>
                <c:pt idx="15">
                  <c:v>-1.048439504952728</c:v>
                </c:pt>
                <c:pt idx="16">
                  <c:v>0.58483522793342224</c:v>
                </c:pt>
                <c:pt idx="17">
                  <c:v>-0.55997187567137419</c:v>
                </c:pt>
                <c:pt idx="18">
                  <c:v>9.9171058337037724E-2</c:v>
                </c:pt>
                <c:pt idx="19">
                  <c:v>1.8347403678168417</c:v>
                </c:pt>
                <c:pt idx="20">
                  <c:v>1.7306154570999093</c:v>
                </c:pt>
                <c:pt idx="21">
                  <c:v>0.24683845885403571</c:v>
                </c:pt>
                <c:pt idx="22">
                  <c:v>1.8475590448420349</c:v>
                </c:pt>
                <c:pt idx="23">
                  <c:v>1.6694432470295375</c:v>
                </c:pt>
                <c:pt idx="24">
                  <c:v>-0.56192918721123308</c:v>
                </c:pt>
                <c:pt idx="25">
                  <c:v>-8.0288326558841161E-2</c:v>
                </c:pt>
                <c:pt idx="26">
                  <c:v>-3.2137245783544585E-2</c:v>
                </c:pt>
                <c:pt idx="27">
                  <c:v>-0.25749769393013822</c:v>
                </c:pt>
                <c:pt idx="28">
                  <c:v>-1.0030104452898423</c:v>
                </c:pt>
                <c:pt idx="29">
                  <c:v>-0.5125042133277089</c:v>
                </c:pt>
                <c:pt idx="30">
                  <c:v>0.68120291500911667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3-4BD7-8B4B-EDD87738AA99}"/>
            </c:ext>
          </c:extLst>
        </c:ser>
        <c:ser>
          <c:idx val="1"/>
          <c:order val="1"/>
          <c:tx>
            <c:strRef>
              <c:f>Hoja1!$K$2</c:f>
              <c:strCache>
                <c:ptCount val="1"/>
                <c:pt idx="0">
                  <c:v>∆s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Hoja1!$K$3:$K$33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-2.6011550714669625</c:v>
                </c:pt>
                <c:pt idx="3">
                  <c:v>-2.9910164568269124</c:v>
                </c:pt>
                <c:pt idx="4">
                  <c:v>-2.6801963721551942</c:v>
                </c:pt>
                <c:pt idx="5">
                  <c:v>-3.2599348091553679</c:v>
                </c:pt>
                <c:pt idx="6">
                  <c:v>-3.6746808289759656</c:v>
                </c:pt>
                <c:pt idx="7">
                  <c:v>-3.5720975059043383</c:v>
                </c:pt>
                <c:pt idx="8">
                  <c:v>-2.5213465856209609</c:v>
                </c:pt>
                <c:pt idx="9">
                  <c:v>-9.782293028068068</c:v>
                </c:pt>
                <c:pt idx="10">
                  <c:v>-11.77401657663512</c:v>
                </c:pt>
                <c:pt idx="11">
                  <c:v>-10.863588307032842</c:v>
                </c:pt>
                <c:pt idx="12">
                  <c:v>-8.4090721590672217</c:v>
                </c:pt>
                <c:pt idx="13">
                  <c:v>-7.7597480425732499</c:v>
                </c:pt>
                <c:pt idx="14">
                  <c:v>-5.55169024595466</c:v>
                </c:pt>
                <c:pt idx="15">
                  <c:v>-7.1534199501556657</c:v>
                </c:pt>
                <c:pt idx="16">
                  <c:v>-9.2502989600611443</c:v>
                </c:pt>
                <c:pt idx="17">
                  <c:v>-8.0806285041942942</c:v>
                </c:pt>
                <c:pt idx="18">
                  <c:v>-9.2005722555370255</c:v>
                </c:pt>
                <c:pt idx="19">
                  <c:v>-9.0022301388629558</c:v>
                </c:pt>
                <c:pt idx="20">
                  <c:v>-5.3327494032292861</c:v>
                </c:pt>
                <c:pt idx="21">
                  <c:v>-1.8715184890294552</c:v>
                </c:pt>
                <c:pt idx="22">
                  <c:v>-1.3778415713213974</c:v>
                </c:pt>
                <c:pt idx="23">
                  <c:v>2.3172765183626893</c:v>
                </c:pt>
                <c:pt idx="24">
                  <c:v>5.6561630124217572</c:v>
                </c:pt>
                <c:pt idx="25">
                  <c:v>4.5323046379992888</c:v>
                </c:pt>
                <c:pt idx="26">
                  <c:v>4.371727984881602</c:v>
                </c:pt>
                <c:pt idx="27">
                  <c:v>4.3074534933145117</c:v>
                </c:pt>
                <c:pt idx="28">
                  <c:v>3.7924581054542443</c:v>
                </c:pt>
                <c:pt idx="29">
                  <c:v>1.7864372148745531</c:v>
                </c:pt>
                <c:pt idx="30">
                  <c:v>0.76142878821914906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3-4BD7-8B4B-EDD87738A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612543"/>
        <c:axId val="534616863"/>
      </c:lineChart>
      <c:catAx>
        <c:axId val="53461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16863"/>
        <c:crosses val="autoZero"/>
        <c:auto val="1"/>
        <c:lblAlgn val="ctr"/>
        <c:lblOffset val="100"/>
        <c:noMultiLvlLbl val="0"/>
      </c:catAx>
      <c:valAx>
        <c:axId val="53461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61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254001</xdr:colOff>
      <xdr:row>18</xdr:row>
      <xdr:rowOff>76993</xdr:rowOff>
    </xdr:from>
    <xdr:to>
      <xdr:col>21</xdr:col>
      <xdr:colOff>242095</xdr:colOff>
      <xdr:row>34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80496-03D6-9F72-5820-DD75E185A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254001</xdr:colOff>
      <xdr:row>18</xdr:row>
      <xdr:rowOff>76993</xdr:rowOff>
    </xdr:from>
    <xdr:to>
      <xdr:col>21</xdr:col>
      <xdr:colOff>242095</xdr:colOff>
      <xdr:row>34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09E56-7309-4C64-B7F7-A1DA49294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3"/>
  <sheetViews>
    <sheetView zoomScale="96" zoomScaleNormal="96" workbookViewId="0">
      <selection activeCell="I8" sqref="I8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9.5703125" style="1" customWidth="1"/>
    <col min="10" max="10" width="10.140625" style="1" customWidth="1"/>
    <col min="11" max="11" width="9.7109375" style="1" customWidth="1"/>
    <col min="12" max="12" width="6.28515625" style="1" customWidth="1"/>
    <col min="16" max="16384" width="11.42578125" style="1"/>
  </cols>
  <sheetData>
    <row r="1" spans="1:59" ht="13.9" customHeight="1" x14ac:dyDescent="0.2">
      <c r="A1" t="s">
        <v>51</v>
      </c>
      <c r="B1"/>
      <c r="C1"/>
      <c r="D1"/>
      <c r="E1"/>
      <c r="F1"/>
      <c r="G1"/>
      <c r="H1"/>
      <c r="I1"/>
      <c r="J1"/>
      <c r="K1"/>
      <c r="R1" s="1" t="s">
        <v>50</v>
      </c>
      <c r="BD1" s="2"/>
    </row>
    <row r="2" spans="1:59" ht="13.9" customHeight="1" x14ac:dyDescent="0.2">
      <c r="A2" t="s">
        <v>0</v>
      </c>
      <c r="B2"/>
      <c r="C2"/>
      <c r="D2"/>
      <c r="E2" t="s">
        <v>12</v>
      </c>
      <c r="F2" t="s">
        <v>4</v>
      </c>
      <c r="G2" t="s">
        <v>9</v>
      </c>
      <c r="H2" t="s">
        <v>5</v>
      </c>
      <c r="I2" t="s">
        <v>6</v>
      </c>
      <c r="J2" t="s">
        <v>41</v>
      </c>
      <c r="K2" t="s">
        <v>42</v>
      </c>
      <c r="M2" t="s">
        <v>43</v>
      </c>
      <c r="N2" t="s">
        <v>44</v>
      </c>
      <c r="O2" t="s">
        <v>45</v>
      </c>
      <c r="P2" s="1" t="s">
        <v>48</v>
      </c>
      <c r="Q2" s="1" t="s">
        <v>49</v>
      </c>
      <c r="R2" s="1" t="s">
        <v>45</v>
      </c>
      <c r="BD2" s="3"/>
      <c r="BE2" s="3"/>
      <c r="BF2" s="3"/>
    </row>
    <row r="3" spans="1:59" ht="13.9" customHeight="1" x14ac:dyDescent="0.25">
      <c r="A3" t="s">
        <v>13</v>
      </c>
      <c r="B3" t="s">
        <v>14</v>
      </c>
      <c r="C3"/>
      <c r="D3"/>
      <c r="E3" s="13">
        <v>0</v>
      </c>
      <c r="F3" s="11">
        <f>pbar_0</f>
        <v>1.5</v>
      </c>
      <c r="G3" s="11">
        <f>sbar_0</f>
        <v>76.515000000000001</v>
      </c>
      <c r="H3" s="11">
        <f>Beta0_0+Beta1*(G3-F3+pext_0)+(Beta2/Theta)*(m_0-F3-Psi*ypot_0)</f>
        <v>2000</v>
      </c>
      <c r="I3" s="11">
        <f>-1/Theta*(m_0-F3-Psi*ypot_0)</f>
        <v>3</v>
      </c>
      <c r="J3" s="11">
        <f t="shared" ref="J3" si="0">Mi*(H3-ypot_0)</f>
        <v>0</v>
      </c>
      <c r="K3" s="12">
        <f>I3-iext_0</f>
        <v>0</v>
      </c>
      <c r="L3"/>
      <c r="M3">
        <v>0</v>
      </c>
      <c r="N3">
        <v>0</v>
      </c>
      <c r="O3">
        <v>1</v>
      </c>
      <c r="P3" s="1">
        <f>G3/F3</f>
        <v>51.01</v>
      </c>
      <c r="Q3" s="5">
        <f>I3-J3</f>
        <v>3</v>
      </c>
      <c r="R3" s="1">
        <v>1</v>
      </c>
    </row>
    <row r="4" spans="1:59" ht="13.9" customHeight="1" x14ac:dyDescent="0.25">
      <c r="A4" t="s">
        <v>17</v>
      </c>
      <c r="B4" t="s">
        <v>15</v>
      </c>
      <c r="C4" t="s">
        <v>0</v>
      </c>
      <c r="D4"/>
      <c r="E4" s="13">
        <v>1</v>
      </c>
      <c r="F4" s="11">
        <f t="shared" ref="F4:G19" si="1">F3+J3</f>
        <v>1.5</v>
      </c>
      <c r="G4" s="11">
        <f>-(m_1-F4-Psi*ypot_1*R4)/(Theta*Lambda1)-iext_1/Lambda1+sbar_1</f>
        <v>71.770910734889881</v>
      </c>
      <c r="H4" s="11">
        <f t="shared" ref="H4:H33" si="2">Beta0_1+Beta1*(G4-F4+pext_1)-Beta2*I4</f>
        <v>1905.1182146977976</v>
      </c>
      <c r="I4" s="11">
        <f t="shared" ref="I4:I33" si="3">-1/Theta*(m_1-F4-Psi*ypot_1)</f>
        <v>3</v>
      </c>
      <c r="J4" s="11">
        <f>Mi*(H4-ypot_1*R4)</f>
        <v>-1.3005775357334757</v>
      </c>
      <c r="K4" s="12">
        <f t="shared" ref="K4:K33" si="4">I4-iext_1</f>
        <v>0</v>
      </c>
      <c r="L4"/>
      <c r="M4">
        <f ca="1">NORMINV(RAND(), 0, $B$36)</f>
        <v>-4.8767331227832889E-4</v>
      </c>
      <c r="N4">
        <f ca="1">$B$35*N3+M4</f>
        <v>-4.8767331227832889E-4</v>
      </c>
      <c r="O4">
        <f ca="1">EXP(N4)</f>
        <v>0.99951244558102359</v>
      </c>
      <c r="P4" s="1">
        <f t="shared" ref="P4:P33" si="5">G4/F4</f>
        <v>47.847273823259918</v>
      </c>
      <c r="Q4" s="5">
        <f t="shared" ref="Q4:Q33" si="6">I4-J4</f>
        <v>4.3005775357334759</v>
      </c>
      <c r="R4" s="1">
        <v>1.0175879841355726</v>
      </c>
    </row>
    <row r="5" spans="1:59" ht="13.9" customHeight="1" x14ac:dyDescent="0.25">
      <c r="A5" t="s">
        <v>18</v>
      </c>
      <c r="B5" t="s">
        <v>16</v>
      </c>
      <c r="C5"/>
      <c r="D5"/>
      <c r="E5" s="13">
        <v>2</v>
      </c>
      <c r="F5" s="11">
        <f t="shared" si="1"/>
        <v>0.19942246426652432</v>
      </c>
      <c r="G5" s="11">
        <f>-(m_1-F5-Psi*ypot_1*R5)/(Theta*Lambda1)-iext_1/Lambda1+sbar_1</f>
        <v>75.794467242292058</v>
      </c>
      <c r="H5" s="11">
        <f t="shared" si="2"/>
        <v>2011.8610110676575</v>
      </c>
      <c r="I5" s="11">
        <f t="shared" si="3"/>
        <v>0.39884492853303755</v>
      </c>
      <c r="J5" s="11">
        <f>Mi*(H5-ypot_1*R5)</f>
        <v>-0.19493069267998636</v>
      </c>
      <c r="K5" s="12">
        <f t="shared" si="4"/>
        <v>-2.6011550714669625</v>
      </c>
      <c r="L5"/>
      <c r="M5">
        <f t="shared" ref="M5:M33" ca="1" si="7">NORMINV(RAND(), 0, $B$36)</f>
        <v>-6.1205873500948149E-5</v>
      </c>
      <c r="N5">
        <f t="shared" ref="N5:N33" ca="1" si="8">$B$35*N4+M5</f>
        <v>-5.0011185455144417E-4</v>
      </c>
      <c r="O5">
        <f t="shared" ref="O5:O33" ca="1" si="9">EXP(N5)</f>
        <v>0.99950001318053738</v>
      </c>
      <c r="P5" s="1">
        <f t="shared" si="5"/>
        <v>380.06985582624333</v>
      </c>
      <c r="Q5" s="5">
        <f t="shared" si="6"/>
        <v>0.59377562121302385</v>
      </c>
      <c r="R5" s="1">
        <v>1.0156770401678281</v>
      </c>
    </row>
    <row r="6" spans="1:59" ht="13.9" customHeight="1" x14ac:dyDescent="0.25">
      <c r="A6" t="s">
        <v>19</v>
      </c>
      <c r="B6"/>
      <c r="C6"/>
      <c r="D6"/>
      <c r="E6" s="13">
        <f>E5+1</f>
        <v>3</v>
      </c>
      <c r="F6" s="11">
        <f t="shared" si="1"/>
        <v>4.4917715865379626E-3</v>
      </c>
      <c r="G6" s="11">
        <f>-(m_1-F6-Psi*ypot_1*R6)/(Theta*Lambda1)-iext_1/Lambda1+sbar_1</f>
        <v>77.070975668196894</v>
      </c>
      <c r="H6" s="11">
        <f t="shared" si="2"/>
        <v>2041.3287795778897</v>
      </c>
      <c r="I6" s="11">
        <f t="shared" si="3"/>
        <v>8.9835431730875825E-3</v>
      </c>
      <c r="J6" s="11">
        <f>Mi*(H6-ypot_1*R6)</f>
        <v>0.15541004233586592</v>
      </c>
      <c r="K6" s="12">
        <f t="shared" si="4"/>
        <v>-2.9910164568269124</v>
      </c>
      <c r="L6"/>
      <c r="M6">
        <f t="shared" ca="1" si="7"/>
        <v>-2.6401512831736558E-3</v>
      </c>
      <c r="N6">
        <f t="shared" ca="1" si="8"/>
        <v>-3.0902519522699556E-3</v>
      </c>
      <c r="O6">
        <f t="shared" ca="1" si="9"/>
        <v>0.99691451796161734</v>
      </c>
      <c r="P6" s="1">
        <f t="shared" si="5"/>
        <v>17158.257979809572</v>
      </c>
      <c r="Q6" s="5">
        <f t="shared" si="6"/>
        <v>-0.14642649916277833</v>
      </c>
      <c r="R6" s="1">
        <v>1.0128938876721516</v>
      </c>
    </row>
    <row r="7" spans="1:59" ht="13.9" customHeight="1" x14ac:dyDescent="0.25">
      <c r="A7" t="s">
        <v>20</v>
      </c>
      <c r="B7"/>
      <c r="C7"/>
      <c r="D7"/>
      <c r="E7" s="13">
        <f t="shared" ref="E7:E33" si="10">E6+1</f>
        <v>4</v>
      </c>
      <c r="F7" s="11">
        <f t="shared" si="1"/>
        <v>0.15990181392240388</v>
      </c>
      <c r="G7" s="11">
        <f>-(m_1-F7-Psi*ypot_1*R7)/(Theta*Lambda1)-iext_1/Lambda1+sbar_1</f>
        <v>75.447873665369798</v>
      </c>
      <c r="H7" s="11">
        <f t="shared" si="2"/>
        <v>2005.7274566661636</v>
      </c>
      <c r="I7" s="11">
        <f t="shared" si="3"/>
        <v>0.31980362784480576</v>
      </c>
      <c r="J7" s="11">
        <f>Mi*(H7-ypot_1*R7)</f>
        <v>-0.28986921850008229</v>
      </c>
      <c r="K7" s="12">
        <f t="shared" si="4"/>
        <v>-2.6801963721551942</v>
      </c>
      <c r="L7"/>
      <c r="M7">
        <f t="shared" ca="1" si="7"/>
        <v>1.5644747285214497E-3</v>
      </c>
      <c r="N7">
        <f t="shared" ca="1" si="8"/>
        <v>-1.2167520285215102E-3</v>
      </c>
      <c r="O7">
        <f t="shared" ca="1" si="9"/>
        <v>0.99878398791408862</v>
      </c>
      <c r="P7" s="1">
        <f t="shared" si="5"/>
        <v>471.83876039068986</v>
      </c>
      <c r="Q7" s="5">
        <f t="shared" si="6"/>
        <v>0.60967284634488805</v>
      </c>
      <c r="R7" s="1">
        <v>1.0173571892580859</v>
      </c>
    </row>
    <row r="8" spans="1:59" ht="13.9" customHeight="1" x14ac:dyDescent="0.25">
      <c r="A8"/>
      <c r="B8"/>
      <c r="C8"/>
      <c r="D8"/>
      <c r="E8" s="13">
        <f t="shared" si="10"/>
        <v>5</v>
      </c>
      <c r="F8" s="11">
        <f t="shared" si="1"/>
        <v>-0.12996740457767841</v>
      </c>
      <c r="G8" s="11">
        <f>-(m_1-F8-Psi*ypot_1*R8)/(Theta*Lambda1)-iext_1/Lambda1+sbar_1</f>
        <v>75.74667864701081</v>
      </c>
      <c r="H8" s="11">
        <f t="shared" si="2"/>
        <v>2017.5589145126855</v>
      </c>
      <c r="I8" s="11">
        <f t="shared" si="3"/>
        <v>-0.25993480915536793</v>
      </c>
      <c r="J8" s="11">
        <f>Mi*(H8-ypot_1*R8)</f>
        <v>-0.2073730099102977</v>
      </c>
      <c r="K8" s="12">
        <f t="shared" si="4"/>
        <v>-3.2599348091553679</v>
      </c>
      <c r="L8"/>
      <c r="M8">
        <f t="shared" ca="1" si="7"/>
        <v>1.6171091379862501E-2</v>
      </c>
      <c r="N8">
        <f t="shared" ca="1" si="8"/>
        <v>1.5076014554193141E-2</v>
      </c>
      <c r="O8">
        <f t="shared" ca="1" si="9"/>
        <v>1.0151902309156251</v>
      </c>
      <c r="P8" s="1">
        <f t="shared" si="5"/>
        <v>-582.81288984068942</v>
      </c>
      <c r="Q8" s="5">
        <f t="shared" si="6"/>
        <v>-5.2561799245070234E-2</v>
      </c>
      <c r="R8" s="1">
        <v>1.0191481077518576</v>
      </c>
      <c r="BG8" s="4"/>
    </row>
    <row r="9" spans="1:59" ht="13.9" customHeight="1" x14ac:dyDescent="0.25">
      <c r="A9" t="s">
        <v>21</v>
      </c>
      <c r="B9"/>
      <c r="C9"/>
      <c r="D9"/>
      <c r="E9" s="13">
        <f t="shared" si="10"/>
        <v>6</v>
      </c>
      <c r="F9" s="11">
        <f t="shared" si="1"/>
        <v>-0.33734041448797614</v>
      </c>
      <c r="G9" s="11">
        <f>-(m_1-F9-Psi*ypot_1*R9)/(Theta*Lambda1)-iext_1/Lambda1+sbar_1</f>
        <v>76.688691456911755</v>
      </c>
      <c r="H9" s="11">
        <f t="shared" si="2"/>
        <v>2040.5881055108923</v>
      </c>
      <c r="I9" s="11">
        <f t="shared" si="3"/>
        <v>-0.6746808289759656</v>
      </c>
      <c r="J9" s="11">
        <f>Mi*(H9-ypot_1*R9)</f>
        <v>5.1291661535810822E-2</v>
      </c>
      <c r="K9" s="12">
        <f t="shared" si="4"/>
        <v>-3.6746808289759656</v>
      </c>
      <c r="L9"/>
      <c r="M9">
        <f t="shared" ca="1" si="7"/>
        <v>-2.0488837879929244E-3</v>
      </c>
      <c r="N9">
        <f t="shared" ca="1" si="8"/>
        <v>1.1519529310780903E-2</v>
      </c>
      <c r="O9">
        <f t="shared" ca="1" si="9"/>
        <v>1.0115861345966977</v>
      </c>
      <c r="P9" s="1">
        <f t="shared" si="5"/>
        <v>-227.33324607225555</v>
      </c>
      <c r="Q9" s="5">
        <f t="shared" si="6"/>
        <v>-0.72597249051177637</v>
      </c>
      <c r="R9" s="1">
        <v>1.0177294696786556</v>
      </c>
    </row>
    <row r="10" spans="1:59" ht="13.9" customHeight="1" x14ac:dyDescent="0.25">
      <c r="A10" t="s">
        <v>1</v>
      </c>
      <c r="B10">
        <v>0.05</v>
      </c>
      <c r="C10"/>
      <c r="D10"/>
      <c r="E10" s="13">
        <f t="shared" si="10"/>
        <v>7</v>
      </c>
      <c r="F10" s="11">
        <f t="shared" si="1"/>
        <v>-0.28604875295216531</v>
      </c>
      <c r="G10" s="11">
        <f>-(m_1-F10-Psi*ypot_1*R10)/(Theta*Lambda1)-iext_1/Lambda1+sbar_1</f>
        <v>78.418371127952554</v>
      </c>
      <c r="H10" s="11">
        <f t="shared" si="2"/>
        <v>2074.145607368685</v>
      </c>
      <c r="I10" s="11">
        <f t="shared" si="3"/>
        <v>-0.57209750590433828</v>
      </c>
      <c r="J10" s="11">
        <f>Mi*(H10-ypot_1*R10)</f>
        <v>0.52537546014168812</v>
      </c>
      <c r="K10" s="12">
        <f t="shared" si="4"/>
        <v>-3.5720975059043383</v>
      </c>
      <c r="L10"/>
      <c r="M10">
        <f t="shared" ca="1" si="7"/>
        <v>-5.5045192658976011E-3</v>
      </c>
      <c r="N10">
        <f t="shared" ca="1" si="8"/>
        <v>4.8630571138052114E-3</v>
      </c>
      <c r="O10">
        <f t="shared" ca="1" si="9"/>
        <v>1.0048749009673803</v>
      </c>
      <c r="P10" s="1">
        <f t="shared" si="5"/>
        <v>-274.14337702449666</v>
      </c>
      <c r="Q10" s="5">
        <f t="shared" si="6"/>
        <v>-1.0974729660460265</v>
      </c>
      <c r="R10" s="1">
        <v>1.0108040306772581</v>
      </c>
    </row>
    <row r="11" spans="1:59" ht="13.9" customHeight="1" x14ac:dyDescent="0.25">
      <c r="A11" t="s">
        <v>2</v>
      </c>
      <c r="B11">
        <v>0.5</v>
      </c>
      <c r="C11"/>
      <c r="D11"/>
      <c r="E11" s="13">
        <f t="shared" si="10"/>
        <v>8</v>
      </c>
      <c r="F11" s="11">
        <f t="shared" si="1"/>
        <v>0.23932670718952281</v>
      </c>
      <c r="G11" s="11">
        <f>-(m_1-F11-Psi*ypot_1*R11)/(Theta*Lambda1)-iext_1/Lambda1+sbar_1</f>
        <v>63.263002286824943</v>
      </c>
      <c r="H11" s="11">
        <f t="shared" si="2"/>
        <v>1760.4256462512706</v>
      </c>
      <c r="I11" s="11">
        <f t="shared" si="3"/>
        <v>0.47865341437903908</v>
      </c>
      <c r="J11" s="11">
        <f>Mi*(H11-ypot_1*R11)</f>
        <v>-3.6304732212235535</v>
      </c>
      <c r="K11" s="12">
        <f t="shared" si="4"/>
        <v>-2.5213465856209609</v>
      </c>
      <c r="L11"/>
      <c r="M11">
        <f t="shared" ca="1" si="7"/>
        <v>3.1387312139034701E-3</v>
      </c>
      <c r="N11">
        <f t="shared" ca="1" si="8"/>
        <v>7.5154826163281608E-3</v>
      </c>
      <c r="O11">
        <f t="shared" ca="1" si="9"/>
        <v>1.0075437947377823</v>
      </c>
      <c r="P11" s="1">
        <f t="shared" si="5"/>
        <v>264.3374115230983</v>
      </c>
      <c r="Q11" s="5">
        <f t="shared" si="6"/>
        <v>4.1091266356025926</v>
      </c>
      <c r="R11" s="1">
        <v>1.0617364841868129</v>
      </c>
    </row>
    <row r="12" spans="1:59" ht="13.9" customHeight="1" x14ac:dyDescent="0.25">
      <c r="A12" t="s">
        <v>3</v>
      </c>
      <c r="B12">
        <v>20</v>
      </c>
      <c r="C12" t="s">
        <v>0</v>
      </c>
      <c r="D12"/>
      <c r="E12" s="13">
        <f t="shared" si="10"/>
        <v>9</v>
      </c>
      <c r="F12" s="11">
        <f t="shared" si="1"/>
        <v>-3.3911465140340309</v>
      </c>
      <c r="G12" s="11">
        <f>-(m_1-F12-Psi*ypot_1*R12)/(Theta*Lambda1)-iext_1/Lambda1+sbar_1</f>
        <v>72.84673333140492</v>
      </c>
      <c r="H12" s="11">
        <f t="shared" si="2"/>
        <v>2025.4358262115859</v>
      </c>
      <c r="I12" s="11">
        <f t="shared" si="3"/>
        <v>-6.782293028068068</v>
      </c>
      <c r="J12" s="11">
        <f>Mi*(H12-ypot_1*R12)</f>
        <v>-0.99586177428353273</v>
      </c>
      <c r="K12" s="12">
        <f t="shared" si="4"/>
        <v>-9.782293028068068</v>
      </c>
      <c r="L12"/>
      <c r="M12">
        <f t="shared" ca="1" si="7"/>
        <v>-1.207831725058822E-2</v>
      </c>
      <c r="N12">
        <f t="shared" ca="1" si="8"/>
        <v>-5.314382895892875E-3</v>
      </c>
      <c r="O12">
        <f t="shared" ca="1" si="9"/>
        <v>0.99469971345469943</v>
      </c>
      <c r="P12" s="1">
        <f t="shared" si="5"/>
        <v>-21.481446770268885</v>
      </c>
      <c r="Q12" s="5">
        <f t="shared" si="6"/>
        <v>-5.786431253784535</v>
      </c>
      <c r="R12" s="1">
        <v>1.0625110018199695</v>
      </c>
    </row>
    <row r="13" spans="1:59" ht="13.9" customHeight="1" x14ac:dyDescent="0.25">
      <c r="A13" t="s">
        <v>10</v>
      </c>
      <c r="B13">
        <v>0.1</v>
      </c>
      <c r="C13"/>
      <c r="D13"/>
      <c r="E13" s="13">
        <f t="shared" si="10"/>
        <v>10</v>
      </c>
      <c r="F13" s="11">
        <f t="shared" si="1"/>
        <v>-4.3870082883175634</v>
      </c>
      <c r="G13" s="11">
        <f>-(m_1-F13-Psi*ypot_1*R13)/(Theta*Lambda1)-iext_1/Lambda1+sbar_1</f>
        <v>78.132527172958333</v>
      </c>
      <c r="H13" s="11">
        <f t="shared" si="2"/>
        <v>2151.2681108831812</v>
      </c>
      <c r="I13" s="11">
        <f t="shared" si="3"/>
        <v>-8.7740165766351197</v>
      </c>
      <c r="J13" s="11">
        <f>Mi*(H13-ypot_1*R13)</f>
        <v>0.45521413480114914</v>
      </c>
      <c r="K13" s="12">
        <f t="shared" si="4"/>
        <v>-11.77401657663512</v>
      </c>
      <c r="L13"/>
      <c r="M13">
        <f t="shared" ca="1" si="7"/>
        <v>-1.4341737886867384E-2</v>
      </c>
      <c r="N13">
        <f t="shared" ca="1" si="8"/>
        <v>-1.9124682493170973E-2</v>
      </c>
      <c r="O13">
        <f t="shared" ca="1" si="9"/>
        <v>0.98105703397992849</v>
      </c>
      <c r="P13" s="1">
        <f t="shared" si="5"/>
        <v>-17.809979384133438</v>
      </c>
      <c r="Q13" s="5">
        <f t="shared" si="6"/>
        <v>-9.2292307114362693</v>
      </c>
      <c r="R13" s="1">
        <v>1.0528733487015332</v>
      </c>
    </row>
    <row r="14" spans="1:59" ht="13.9" customHeight="1" x14ac:dyDescent="0.25">
      <c r="A14" t="s">
        <v>11</v>
      </c>
      <c r="B14">
        <v>0.01</v>
      </c>
      <c r="C14"/>
      <c r="D14"/>
      <c r="E14" s="13">
        <f t="shared" si="10"/>
        <v>11</v>
      </c>
      <c r="F14" s="11">
        <f t="shared" si="1"/>
        <v>-3.9317941535164143</v>
      </c>
      <c r="G14" s="11">
        <f>-(m_1-F14-Psi*ypot_1*R14)/(Theta*Lambda1)-iext_1/Lambda1+sbar_1</f>
        <v>80.952016527722151</v>
      </c>
      <c r="H14" s="11">
        <f t="shared" si="2"/>
        <v>2198.4625724554749</v>
      </c>
      <c r="I14" s="11">
        <f t="shared" si="3"/>
        <v>-7.8635883070328418</v>
      </c>
      <c r="J14" s="11">
        <f>Mi*(H14-ypot_1*R14)</f>
        <v>1.2272580739828072</v>
      </c>
      <c r="K14" s="12">
        <f t="shared" si="4"/>
        <v>-10.863588307032842</v>
      </c>
      <c r="L14"/>
      <c r="M14">
        <f t="shared" ca="1" si="7"/>
        <v>-1.2637087183047209E-2</v>
      </c>
      <c r="N14">
        <f t="shared" ca="1" si="8"/>
        <v>-2.9849301426901086E-2</v>
      </c>
      <c r="O14">
        <f t="shared" ca="1" si="9"/>
        <v>0.9705917893256758</v>
      </c>
      <c r="P14" s="1">
        <f t="shared" si="5"/>
        <v>-20.58907800534838</v>
      </c>
      <c r="Q14" s="5">
        <f t="shared" si="6"/>
        <v>-9.0908463810156483</v>
      </c>
      <c r="R14" s="1">
        <v>1.037868382528597</v>
      </c>
    </row>
    <row r="15" spans="1:59" ht="13.9" customHeight="1" x14ac:dyDescent="0.25">
      <c r="A15"/>
      <c r="B15"/>
      <c r="C15" t="s">
        <v>0</v>
      </c>
      <c r="D15"/>
      <c r="E15" s="13">
        <f t="shared" si="10"/>
        <v>12</v>
      </c>
      <c r="F15" s="11">
        <f t="shared" si="1"/>
        <v>-2.7045360795336073</v>
      </c>
      <c r="G15" s="11">
        <f>-(m_1-F15-Psi*ypot_1*R15)/(Theta*Lambda1)-iext_1/Lambda1+sbar_1</f>
        <v>77.668589351758669</v>
      </c>
      <c r="H15" s="11">
        <f t="shared" si="2"/>
        <v>2108.0034158417525</v>
      </c>
      <c r="I15" s="11">
        <f t="shared" si="3"/>
        <v>-5.4090721590672217</v>
      </c>
      <c r="J15" s="11">
        <f>Mi*(H15-ypot_1*R15)</f>
        <v>0.3246620582469768</v>
      </c>
      <c r="K15" s="12">
        <f t="shared" si="4"/>
        <v>-8.4090721590672217</v>
      </c>
      <c r="L15"/>
      <c r="M15">
        <f t="shared" ca="1" si="7"/>
        <v>-7.2089154054368108E-4</v>
      </c>
      <c r="N15">
        <f t="shared" ca="1" si="8"/>
        <v>-2.758526282475466E-2</v>
      </c>
      <c r="O15">
        <f t="shared" ca="1" si="9"/>
        <v>0.97279173604606417</v>
      </c>
      <c r="P15" s="1">
        <f t="shared" si="5"/>
        <v>-28.717897290966253</v>
      </c>
      <c r="Q15" s="5">
        <f t="shared" si="6"/>
        <v>-5.7337342173141987</v>
      </c>
      <c r="R15" s="1">
        <v>1.0377686050085273</v>
      </c>
    </row>
    <row r="16" spans="1:59" ht="13.9" customHeight="1" x14ac:dyDescent="0.25">
      <c r="A16" t="s">
        <v>22</v>
      </c>
      <c r="B16" t="s">
        <v>23</v>
      </c>
      <c r="C16" t="s">
        <v>24</v>
      </c>
      <c r="D16"/>
      <c r="E16" s="13">
        <f t="shared" si="10"/>
        <v>13</v>
      </c>
      <c r="F16" s="11">
        <f t="shared" si="1"/>
        <v>-2.3798740212866303</v>
      </c>
      <c r="G16" s="11">
        <f>-(m_1-F16-Psi*ypot_1*R16)/(Theta*Lambda1)-iext_1/Lambda1+sbar_1</f>
        <v>80.513837873605695</v>
      </c>
      <c r="H16" s="11">
        <f t="shared" si="2"/>
        <v>2158.3502127021038</v>
      </c>
      <c r="I16" s="11">
        <f t="shared" si="3"/>
        <v>-4.7597480425732499</v>
      </c>
      <c r="J16" s="11">
        <f>Mi*(H16-ypot_1*R16)</f>
        <v>1.1040288983093023</v>
      </c>
      <c r="K16" s="12">
        <f t="shared" si="4"/>
        <v>-7.7597480425732499</v>
      </c>
      <c r="L16"/>
      <c r="M16">
        <f t="shared" ca="1" si="7"/>
        <v>-1.9332971054822402E-3</v>
      </c>
      <c r="N16">
        <f t="shared" ca="1" si="8"/>
        <v>-2.6760033647761437E-2</v>
      </c>
      <c r="O16">
        <f t="shared" ca="1" si="9"/>
        <v>0.97359484349806158</v>
      </c>
      <c r="P16" s="1">
        <f t="shared" si="5"/>
        <v>-33.831134401844317</v>
      </c>
      <c r="Q16" s="5">
        <f t="shared" si="6"/>
        <v>-5.863776940882552</v>
      </c>
      <c r="R16" s="1">
        <v>1.0239736614355868</v>
      </c>
    </row>
    <row r="17" spans="1:18" ht="13.9" customHeight="1" x14ac:dyDescent="0.25">
      <c r="A17" t="s">
        <v>25</v>
      </c>
      <c r="B17">
        <v>100</v>
      </c>
      <c r="C17">
        <v>100</v>
      </c>
      <c r="D17"/>
      <c r="E17" s="13">
        <f t="shared" si="10"/>
        <v>14</v>
      </c>
      <c r="F17" s="11">
        <f t="shared" si="1"/>
        <v>-1.275845122977328</v>
      </c>
      <c r="G17" s="11">
        <f>-(m_1-F17-Psi*ypot_1*R17)/(Theta*Lambda1)-iext_1/Lambda1+sbar_1</f>
        <v>73.573451375145794</v>
      </c>
      <c r="H17" s="11">
        <f t="shared" si="2"/>
        <v>1997.241098987058</v>
      </c>
      <c r="I17" s="11">
        <f t="shared" si="3"/>
        <v>-2.55169024595466</v>
      </c>
      <c r="J17" s="11">
        <f>Mi*(H17-ypot_1*R17)</f>
        <v>-0.80086485210051028</v>
      </c>
      <c r="K17" s="12">
        <f t="shared" si="4"/>
        <v>-5.55169024595466</v>
      </c>
      <c r="L17"/>
      <c r="M17">
        <f t="shared" ca="1" si="7"/>
        <v>4.7112812142537305E-3</v>
      </c>
      <c r="N17">
        <f t="shared" ca="1" si="8"/>
        <v>-1.9372749068731564E-2</v>
      </c>
      <c r="O17">
        <f t="shared" ca="1" si="9"/>
        <v>0.98081369670424967</v>
      </c>
      <c r="P17" s="1">
        <f t="shared" si="5"/>
        <v>-57.666444030019782</v>
      </c>
      <c r="Q17" s="5">
        <f t="shared" si="6"/>
        <v>-1.7508253938541496</v>
      </c>
      <c r="R17" s="1">
        <v>1.0386637920985544</v>
      </c>
    </row>
    <row r="18" spans="1:18" ht="13.9" customHeight="1" x14ac:dyDescent="0.25">
      <c r="A18" t="s">
        <v>26</v>
      </c>
      <c r="B18">
        <v>3</v>
      </c>
      <c r="C18">
        <v>3</v>
      </c>
      <c r="D18"/>
      <c r="E18" s="13">
        <f t="shared" si="10"/>
        <v>15</v>
      </c>
      <c r="F18" s="11">
        <f t="shared" si="1"/>
        <v>-2.0767099750778382</v>
      </c>
      <c r="G18" s="11">
        <f>-(m_1-F18-Psi*ypot_1*R18)/(Theta*Lambda1)-iext_1/Lambda1+sbar_1</f>
        <v>72.664535936330225</v>
      </c>
      <c r="H18" s="11">
        <f t="shared" si="2"/>
        <v>1995.2402602231766</v>
      </c>
      <c r="I18" s="11">
        <f t="shared" si="3"/>
        <v>-4.1534199501556657</v>
      </c>
      <c r="J18" s="11">
        <f>Mi*(H18-ypot_1*R18)</f>
        <v>-1.048439504952728</v>
      </c>
      <c r="K18" s="12">
        <f t="shared" si="4"/>
        <v>-7.1534199501556657</v>
      </c>
      <c r="L18"/>
      <c r="M18">
        <f t="shared" ca="1" si="7"/>
        <v>-1.0150636635819773E-2</v>
      </c>
      <c r="N18">
        <f t="shared" ca="1" si="8"/>
        <v>-2.7586110797678181E-2</v>
      </c>
      <c r="O18">
        <f t="shared" ca="1" si="9"/>
        <v>0.97279091114536154</v>
      </c>
      <c r="P18" s="1">
        <f t="shared" si="5"/>
        <v>-34.990218570894406</v>
      </c>
      <c r="Q18" s="5">
        <f t="shared" si="6"/>
        <v>-3.1049804452029379</v>
      </c>
      <c r="R18" s="1">
        <v>1.0500421053592246</v>
      </c>
    </row>
    <row r="19" spans="1:18" ht="13.9" customHeight="1" x14ac:dyDescent="0.25">
      <c r="A19" t="s">
        <v>27</v>
      </c>
      <c r="B19">
        <v>500</v>
      </c>
      <c r="C19">
        <v>500</v>
      </c>
      <c r="D19"/>
      <c r="E19" s="13">
        <f t="shared" si="10"/>
        <v>16</v>
      </c>
      <c r="F19" s="11">
        <f t="shared" si="1"/>
        <v>-3.1251494800305659</v>
      </c>
      <c r="G19" s="11">
        <f>-(m_1-F19-Psi*ypot_1*R19)/(Theta*Lambda1)-iext_1/Lambda1+sbar_1</f>
        <v>78.61454901393995</v>
      </c>
      <c r="H19" s="11">
        <f t="shared" si="2"/>
        <v>2135.418999775417</v>
      </c>
      <c r="I19" s="11">
        <f t="shared" si="3"/>
        <v>-6.2502989600611443</v>
      </c>
      <c r="J19" s="11">
        <f>Mi*(H19-ypot_1*R19)</f>
        <v>0.58483522793342224</v>
      </c>
      <c r="K19" s="12">
        <f t="shared" si="4"/>
        <v>-9.2502989600611443</v>
      </c>
      <c r="L19"/>
      <c r="M19">
        <f t="shared" ca="1" si="7"/>
        <v>6.5501655221639503E-3</v>
      </c>
      <c r="N19">
        <f t="shared" ca="1" si="8"/>
        <v>-1.8277334195746411E-2</v>
      </c>
      <c r="O19">
        <f t="shared" ca="1" si="9"/>
        <v>0.98188868328589929</v>
      </c>
      <c r="P19" s="1">
        <f t="shared" si="5"/>
        <v>-25.155452408366415</v>
      </c>
      <c r="Q19" s="5">
        <f t="shared" si="6"/>
        <v>-6.8351341879945666</v>
      </c>
      <c r="R19" s="1">
        <v>1.0384677384910375</v>
      </c>
    </row>
    <row r="20" spans="1:18" ht="13.9" customHeight="1" x14ac:dyDescent="0.25">
      <c r="A20" t="s">
        <v>28</v>
      </c>
      <c r="B20">
        <v>0</v>
      </c>
      <c r="C20">
        <v>0</v>
      </c>
      <c r="D20"/>
      <c r="E20" s="13">
        <f t="shared" si="10"/>
        <v>17</v>
      </c>
      <c r="F20" s="11">
        <f t="shared" ref="F20:G33" si="11">F19+J19</f>
        <v>-2.5403142520971436</v>
      </c>
      <c r="G20" s="11">
        <f>-(m_1-F20-Psi*ypot_1*R20)/(Theta*Lambda1)-iext_1/Lambda1+sbar_1</f>
        <v>74.44292685323569</v>
      </c>
      <c r="H20" s="11">
        <f t="shared" si="2"/>
        <v>2040.1728849570761</v>
      </c>
      <c r="I20" s="11">
        <f t="shared" si="3"/>
        <v>-5.0806285041942942</v>
      </c>
      <c r="J20" s="11">
        <f>Mi*(H20-ypot_1*R20)</f>
        <v>-0.55997187567137419</v>
      </c>
      <c r="K20" s="12">
        <f t="shared" si="4"/>
        <v>-8.0806285041942942</v>
      </c>
      <c r="L20"/>
      <c r="M20">
        <f t="shared" ca="1" si="7"/>
        <v>5.2983641567634502E-3</v>
      </c>
      <c r="N20">
        <f t="shared" ca="1" si="8"/>
        <v>-1.1151236619408322E-2</v>
      </c>
      <c r="O20">
        <f t="shared" ca="1" si="9"/>
        <v>0.98891070795299352</v>
      </c>
      <c r="P20" s="1">
        <f t="shared" si="5"/>
        <v>-29.304613313797578</v>
      </c>
      <c r="Q20" s="5">
        <f t="shared" si="6"/>
        <v>-4.5206566285229197</v>
      </c>
      <c r="R20" s="1">
        <v>1.0480850362621068</v>
      </c>
    </row>
    <row r="21" spans="1:18" ht="13.9" customHeight="1" x14ac:dyDescent="0.25">
      <c r="A21" t="s">
        <v>29</v>
      </c>
      <c r="B21">
        <v>2000</v>
      </c>
      <c r="C21">
        <v>2000</v>
      </c>
      <c r="D21"/>
      <c r="E21" s="13">
        <f t="shared" si="10"/>
        <v>18</v>
      </c>
      <c r="F21" s="11">
        <f t="shared" si="11"/>
        <v>-3.1002861277685176</v>
      </c>
      <c r="G21" s="11">
        <f>-(m_1-F21-Psi*ypot_1*R21)/(Theta*Lambda1)-iext_1/Lambda1+sbar_1</f>
        <v>76.843183445791468</v>
      </c>
      <c r="H21" s="11">
        <f t="shared" si="2"/>
        <v>2099.4894486967532</v>
      </c>
      <c r="I21" s="11">
        <f t="shared" si="3"/>
        <v>-6.2005722555370255</v>
      </c>
      <c r="J21" s="11">
        <f>Mi*(H21-ypot_1*R21)</f>
        <v>9.9171058337037724E-2</v>
      </c>
      <c r="K21" s="12">
        <f t="shared" si="4"/>
        <v>-9.2005722555370255</v>
      </c>
      <c r="L21"/>
      <c r="M21">
        <f t="shared" ca="1" si="7"/>
        <v>-2.0927456461340369E-2</v>
      </c>
      <c r="N21">
        <f t="shared" ca="1" si="8"/>
        <v>-3.096356941880786E-2</v>
      </c>
      <c r="O21">
        <f t="shared" ca="1" si="9"/>
        <v>0.96951089227795029</v>
      </c>
      <c r="P21" s="1">
        <f t="shared" si="5"/>
        <v>-24.785835977371747</v>
      </c>
      <c r="Q21" s="5">
        <f t="shared" si="6"/>
        <v>-6.2997433138740631</v>
      </c>
      <c r="R21" s="1">
        <v>1.0447861714315247</v>
      </c>
    </row>
    <row r="22" spans="1:18" ht="13.9" customHeight="1" x14ac:dyDescent="0.25">
      <c r="A22"/>
      <c r="B22"/>
      <c r="C22"/>
      <c r="D22"/>
      <c r="E22" s="13">
        <f t="shared" si="10"/>
        <v>19</v>
      </c>
      <c r="F22" s="11">
        <f t="shared" si="11"/>
        <v>-3.0011150694314801</v>
      </c>
      <c r="G22" s="11">
        <f>-(m_1-F22-Psi*ypot_1*R22)/(Theta*Lambda1)-iext_1/Lambda1+sbar_1</f>
        <v>83.174706524129306</v>
      </c>
      <c r="H22" s="11">
        <f t="shared" si="2"/>
        <v>2224.116654885102</v>
      </c>
      <c r="I22" s="11">
        <f t="shared" si="3"/>
        <v>-6.0022301388629558</v>
      </c>
      <c r="J22" s="11">
        <f>Mi*(H22-ypot_1*R22)</f>
        <v>1.8347403678168417</v>
      </c>
      <c r="K22" s="12">
        <f t="shared" si="4"/>
        <v>-9.0022301388629558</v>
      </c>
      <c r="L22"/>
      <c r="M22">
        <f t="shared" ca="1" si="7"/>
        <v>-4.8823827044806433E-3</v>
      </c>
      <c r="N22">
        <f t="shared" ca="1" si="8"/>
        <v>-3.2749595181407715E-2</v>
      </c>
      <c r="O22">
        <f t="shared" ca="1" si="9"/>
        <v>0.96778086624263771</v>
      </c>
      <c r="P22" s="1">
        <f t="shared" si="5"/>
        <v>-27.714600939938503</v>
      </c>
      <c r="Q22" s="5">
        <f t="shared" si="6"/>
        <v>-7.8369705066797977</v>
      </c>
      <c r="R22" s="1">
        <v>1.0203213090517089</v>
      </c>
    </row>
    <row r="23" spans="1:18" ht="13.9" customHeight="1" x14ac:dyDescent="0.25">
      <c r="A23" t="s">
        <v>30</v>
      </c>
      <c r="B23" t="s">
        <v>31</v>
      </c>
      <c r="C23" t="s">
        <v>32</v>
      </c>
      <c r="D23"/>
      <c r="E23" s="13">
        <f t="shared" si="10"/>
        <v>20</v>
      </c>
      <c r="F23" s="11">
        <f t="shared" si="11"/>
        <v>-1.1663747016146384</v>
      </c>
      <c r="G23" s="11">
        <f>-(m_1-F23-Psi*ypot_1*R23)/(Theta*Lambda1)-iext_1/Lambda1+sbar_1</f>
        <v>82.808277369463369</v>
      </c>
      <c r="H23" s="11">
        <f t="shared" si="2"/>
        <v>2179.7263163618836</v>
      </c>
      <c r="I23" s="11">
        <f t="shared" si="3"/>
        <v>-2.3327494032292861</v>
      </c>
      <c r="J23" s="11">
        <f>Mi*(H23-ypot_1*R23)</f>
        <v>1.7306154570999093</v>
      </c>
      <c r="K23" s="12">
        <f t="shared" si="4"/>
        <v>-5.3327494032292861</v>
      </c>
      <c r="L23"/>
      <c r="M23">
        <f t="shared" ca="1" si="7"/>
        <v>9.3649377887407362E-3</v>
      </c>
      <c r="N23">
        <f t="shared" ca="1" si="8"/>
        <v>-2.0109697874526208E-2</v>
      </c>
      <c r="O23">
        <f t="shared" ca="1" si="9"/>
        <v>0.98009115349313547</v>
      </c>
      <c r="P23" s="1">
        <f t="shared" si="5"/>
        <v>-70.996290690144448</v>
      </c>
      <c r="Q23" s="5">
        <f t="shared" si="6"/>
        <v>-4.0633648603291954</v>
      </c>
      <c r="R23" s="1">
        <v>1.0033323853259464</v>
      </c>
    </row>
    <row r="24" spans="1:18" ht="13.9" customHeight="1" x14ac:dyDescent="0.25">
      <c r="A24" t="s">
        <v>7</v>
      </c>
      <c r="B24">
        <f>m_0-Psi*ypot_0+Theta*iext_0</f>
        <v>1.5</v>
      </c>
      <c r="C24">
        <f>m_1-Psi*ypot_1+Theta*iext_1</f>
        <v>1.5</v>
      </c>
      <c r="D24"/>
      <c r="E24" s="13">
        <f t="shared" si="10"/>
        <v>21</v>
      </c>
      <c r="F24" s="11">
        <f t="shared" si="11"/>
        <v>0.56424075548527086</v>
      </c>
      <c r="G24" s="11">
        <f>-(m_1-F24-Psi*ypot_1*R24)/(Theta*Lambda1)-iext_1/Lambda1+sbar_1</f>
        <v>77.408560745255457</v>
      </c>
      <c r="H24" s="11">
        <f t="shared" si="2"/>
        <v>2036.7735516443065</v>
      </c>
      <c r="I24" s="11">
        <f t="shared" si="3"/>
        <v>1.1284815109705448</v>
      </c>
      <c r="J24" s="11">
        <f>Mi*(H24-ypot_1*R24)</f>
        <v>0.24683845885403571</v>
      </c>
      <c r="K24" s="12">
        <f t="shared" si="4"/>
        <v>-1.8715184890294552</v>
      </c>
      <c r="L24"/>
      <c r="M24">
        <f t="shared" ca="1" si="7"/>
        <v>-9.3366480828048146E-3</v>
      </c>
      <c r="N24">
        <f t="shared" ca="1" si="8"/>
        <v>-2.74353761698784E-2</v>
      </c>
      <c r="O24">
        <f t="shared" ca="1" si="9"/>
        <v>0.9729375554731915</v>
      </c>
      <c r="P24" s="1">
        <f t="shared" si="5"/>
        <v>137.19065840729783</v>
      </c>
      <c r="Q24" s="5">
        <f t="shared" si="6"/>
        <v>0.88164305211650906</v>
      </c>
      <c r="R24" s="1">
        <v>1.0060448528794514</v>
      </c>
    </row>
    <row r="25" spans="1:18" ht="13.9" customHeight="1" x14ac:dyDescent="0.25">
      <c r="A25" t="s">
        <v>8</v>
      </c>
      <c r="B25">
        <f>m_0-Beta0_0/Beta1-((1-Psi*Beta1)/Beta1)*ypot_0+((Theta*Beta1+Beta2)/Beta1)*iext_0</f>
        <v>76.515000000000001</v>
      </c>
      <c r="C25">
        <f>m_1-Beta0_1/Beta1-((1-Psi*Beta1)/Beta1)*ypot_1+((Theta*Beta1+Beta2)/Beta1)*iext_1</f>
        <v>76.515000000000001</v>
      </c>
      <c r="D25"/>
      <c r="E25" s="13">
        <f t="shared" si="10"/>
        <v>22</v>
      </c>
      <c r="F25" s="11">
        <f t="shared" si="11"/>
        <v>0.81107921433930663</v>
      </c>
      <c r="G25" s="11">
        <f>-(m_1-F25-Psi*ypot_1*R25)/(Theta*Lambda1)-iext_1/Lambda1+sbar_1</f>
        <v>83.249276263617958</v>
      </c>
      <c r="H25" s="11">
        <f t="shared" si="2"/>
        <v>2148.6017251427052</v>
      </c>
      <c r="I25" s="11">
        <f t="shared" si="3"/>
        <v>1.6221584286786026</v>
      </c>
      <c r="J25" s="11">
        <f>Mi*(H25-ypot_1*R25)</f>
        <v>1.8475590448420349</v>
      </c>
      <c r="K25" s="12">
        <f t="shared" si="4"/>
        <v>-1.3778415713213974</v>
      </c>
      <c r="L25"/>
      <c r="M25">
        <f t="shared" ca="1" si="7"/>
        <v>2.3545746152467263E-3</v>
      </c>
      <c r="N25">
        <f t="shared" ca="1" si="8"/>
        <v>-2.2337263937643834E-2</v>
      </c>
      <c r="O25">
        <f t="shared" ca="1" si="9"/>
        <v>0.97791036552724908</v>
      </c>
      <c r="P25" s="1">
        <f t="shared" si="5"/>
        <v>102.64013032491729</v>
      </c>
      <c r="Q25" s="5">
        <f t="shared" si="6"/>
        <v>-0.22540061616343232</v>
      </c>
      <c r="R25" s="1">
        <v>0.98192291032925083</v>
      </c>
    </row>
    <row r="26" spans="1:18" ht="13.9" customHeight="1" x14ac:dyDescent="0.25">
      <c r="A26"/>
      <c r="B26"/>
      <c r="C26"/>
      <c r="D26"/>
      <c r="E26" s="13">
        <f t="shared" si="10"/>
        <v>23</v>
      </c>
      <c r="F26" s="11">
        <f t="shared" si="11"/>
        <v>2.6586382591813416</v>
      </c>
      <c r="G26" s="11">
        <f>-(m_1-F26-Psi*ypot_1*R26)/(Theta*Lambda1)-iext_1/Lambda1+sbar_1</f>
        <v>82.613045626419122</v>
      </c>
      <c r="H26" s="11">
        <f t="shared" si="2"/>
        <v>2098.556419692919</v>
      </c>
      <c r="I26" s="11">
        <f t="shared" si="3"/>
        <v>5.3172765183626893</v>
      </c>
      <c r="J26" s="11">
        <f>Mi*(H26-ypot_1*R26)</f>
        <v>1.6694432470295375</v>
      </c>
      <c r="K26" s="12">
        <f t="shared" si="4"/>
        <v>2.3172765183626893</v>
      </c>
      <c r="L26"/>
      <c r="M26">
        <f t="shared" ca="1" si="7"/>
        <v>2.7965118918286047E-3</v>
      </c>
      <c r="N26">
        <f t="shared" ca="1" si="8"/>
        <v>-1.7307025652050844E-2</v>
      </c>
      <c r="O26">
        <f t="shared" ca="1" si="9"/>
        <v>0.98284188063723033</v>
      </c>
      <c r="P26" s="1">
        <f t="shared" si="5"/>
        <v>31.073443459682125</v>
      </c>
      <c r="Q26" s="5">
        <f t="shared" si="6"/>
        <v>3.6478332713331518</v>
      </c>
      <c r="R26" s="1">
        <v>0.96580604749498267</v>
      </c>
    </row>
    <row r="27" spans="1:18" ht="13.9" customHeight="1" x14ac:dyDescent="0.25">
      <c r="A27" t="s">
        <v>33</v>
      </c>
      <c r="B27" t="s">
        <v>34</v>
      </c>
      <c r="C27" t="s">
        <v>35</v>
      </c>
      <c r="D27"/>
      <c r="E27" s="13">
        <f t="shared" si="10"/>
        <v>24</v>
      </c>
      <c r="F27" s="11">
        <f t="shared" si="11"/>
        <v>4.3280815062108786</v>
      </c>
      <c r="G27" s="11">
        <f>-(m_1-F27-Psi*ypot_1*R27)/(Theta*Lambda1)-iext_1/Lambda1+sbar_1</f>
        <v>74.485894614073416</v>
      </c>
      <c r="H27" s="11">
        <f t="shared" si="2"/>
        <v>1902.2906458560085</v>
      </c>
      <c r="I27" s="11">
        <f t="shared" si="3"/>
        <v>8.6561630124217572</v>
      </c>
      <c r="J27" s="11">
        <f>Mi*(H27-ypot_1*R27)</f>
        <v>-0.56192918721123308</v>
      </c>
      <c r="K27" s="12">
        <f t="shared" si="4"/>
        <v>5.6561630124217572</v>
      </c>
      <c r="L27"/>
      <c r="M27">
        <f t="shared" ca="1" si="7"/>
        <v>6.5635569641862776E-3</v>
      </c>
      <c r="N27">
        <f t="shared" ca="1" si="8"/>
        <v>-9.0127661226594817E-3</v>
      </c>
      <c r="O27">
        <f t="shared" ca="1" si="9"/>
        <v>0.99102772711060427</v>
      </c>
      <c r="P27" s="1">
        <f t="shared" si="5"/>
        <v>17.209910327978978</v>
      </c>
      <c r="Q27" s="5">
        <f t="shared" si="6"/>
        <v>9.2180921996329896</v>
      </c>
      <c r="R27" s="1">
        <v>0.97924178228856595</v>
      </c>
    </row>
    <row r="28" spans="1:18" ht="13.9" customHeight="1" x14ac:dyDescent="0.3">
      <c r="A28" t="s">
        <v>37</v>
      </c>
      <c r="B28">
        <f>IF((Beta1*Mi+Beta2*Mi/Theta)^2+4*Beta1*Mi/Theta&gt;0,(-(Beta1*Mi+Beta2*Mi/Theta)-((Beta1*Mi+Beta2*Mi/Theta)^2+4*Beta1*Mi/Theta)^0.5)/2,(-(Beta1*Mi+Beta2*Mi/Theta))/2)</f>
        <v>-0.74146935914218415</v>
      </c>
      <c r="C28">
        <f>IF((Beta1*Mi+Beta2*Mi/Theta)^2+4*Beta1*Mi/Theta&gt;0, 0, -SQRT(-(Beta1*Mi+Beta2*Mi/Theta)^2+4*Beta1*Mi/Theta)/2)</f>
        <v>0</v>
      </c>
      <c r="D28"/>
      <c r="E28" s="13">
        <f t="shared" si="10"/>
        <v>25</v>
      </c>
      <c r="F28" s="11">
        <f t="shared" si="11"/>
        <v>3.7661523189996453</v>
      </c>
      <c r="G28" s="11">
        <f>-(m_1-F28-Psi*ypot_1*R28)/(Theta*Lambda1)-iext_1/Lambda1+sbar_1</f>
        <v>76.238666355532246</v>
      </c>
      <c r="H28" s="11">
        <f t="shared" si="2"/>
        <v>1948.6970502668521</v>
      </c>
      <c r="I28" s="11">
        <f t="shared" si="3"/>
        <v>7.5323046379992888</v>
      </c>
      <c r="J28" s="11">
        <f>Mi*(H28-ypot_1*R28)</f>
        <v>-8.0288326558841161E-2</v>
      </c>
      <c r="K28" s="12">
        <f t="shared" si="4"/>
        <v>4.5323046379992888</v>
      </c>
      <c r="L28"/>
      <c r="M28">
        <f t="shared" ca="1" si="7"/>
        <v>3.205797362719046E-3</v>
      </c>
      <c r="N28">
        <f t="shared" ca="1" si="8"/>
        <v>-4.9056921476744886E-3</v>
      </c>
      <c r="O28">
        <f t="shared" ca="1" si="9"/>
        <v>0.99510632110757724</v>
      </c>
      <c r="P28" s="1">
        <f t="shared" si="5"/>
        <v>20.243118147643731</v>
      </c>
      <c r="Q28" s="5">
        <f t="shared" si="6"/>
        <v>7.6125929645581296</v>
      </c>
      <c r="R28" s="1">
        <v>0.97836294146136815</v>
      </c>
    </row>
    <row r="29" spans="1:18" ht="13.9" customHeight="1" x14ac:dyDescent="0.3">
      <c r="A29" t="s">
        <v>38</v>
      </c>
      <c r="B29">
        <f>IF((Beta1*Mi+Beta2*Mi/Theta)^2+4*Beta1*Mi/Theta&gt;0,(-(Beta1*Mi+Beta2*Mi/Theta)+((Beta1*Mi+Beta2*Mi/Theta)^2+4*Beta1*Mi/Theta)^0.5)/2,(-(Beta1*Mi+Beta2*Mi/Theta))/2)</f>
        <v>0.53946935914218419</v>
      </c>
      <c r="C29">
        <f>IF((Beta1*Mi+Beta2*Mi/Theta)^2+4*Beta1*Mi/Theta&gt;0, 0, +SQRT(-(Beta1*Mi+Beta2*Mi/Theta)^2+4*Beta1*Mi/Theta)/2)</f>
        <v>0</v>
      </c>
      <c r="D29"/>
      <c r="E29" s="13">
        <f t="shared" si="10"/>
        <v>26</v>
      </c>
      <c r="F29" s="11">
        <f t="shared" si="11"/>
        <v>3.6858639924408041</v>
      </c>
      <c r="G29" s="11">
        <f>-(m_1-F29-Psi*ypot_1*R29)/(Theta*Lambda1)-iext_1/Lambda1+sbar_1</f>
        <v>76.413720305933495</v>
      </c>
      <c r="H29" s="11">
        <f t="shared" si="2"/>
        <v>1953.8199534713656</v>
      </c>
      <c r="I29" s="11">
        <f t="shared" si="3"/>
        <v>7.371727984881602</v>
      </c>
      <c r="J29" s="11">
        <f>Mi*(H29-ypot_1*R29)</f>
        <v>-3.2137245783544585E-2</v>
      </c>
      <c r="K29" s="12">
        <f t="shared" si="4"/>
        <v>4.371727984881602</v>
      </c>
      <c r="L29"/>
      <c r="M29">
        <f t="shared" ca="1" si="7"/>
        <v>1.7781958024678038E-2</v>
      </c>
      <c r="N29">
        <f t="shared" ca="1" si="8"/>
        <v>1.3366835091770998E-2</v>
      </c>
      <c r="O29">
        <f t="shared" ca="1" si="9"/>
        <v>1.0134565706128291</v>
      </c>
      <c r="P29" s="1">
        <f t="shared" si="5"/>
        <v>20.731562657397951</v>
      </c>
      <c r="Q29" s="5">
        <f t="shared" si="6"/>
        <v>7.4038652306651462</v>
      </c>
      <c r="R29" s="1">
        <v>0.97851683902485997</v>
      </c>
    </row>
    <row r="30" spans="1:18" ht="13.9" customHeight="1" x14ac:dyDescent="0.25">
      <c r="A30"/>
      <c r="B30"/>
      <c r="C30"/>
      <c r="D30"/>
      <c r="E30" s="13">
        <f t="shared" si="10"/>
        <v>27</v>
      </c>
      <c r="F30" s="11">
        <f t="shared" si="11"/>
        <v>3.6537267466572594</v>
      </c>
      <c r="G30" s="11">
        <f>-(m_1-F30-Psi*ypot_1*R30)/(Theta*Lambda1)-iext_1/Lambda1+sbar_1</f>
        <v>75.591443296393265</v>
      </c>
      <c r="H30" s="11">
        <f t="shared" si="2"/>
        <v>1938.0235856453887</v>
      </c>
      <c r="I30" s="11">
        <f t="shared" si="3"/>
        <v>7.3074534933145117</v>
      </c>
      <c r="J30" s="11">
        <f>Mi*(H30-ypot_1*R30)</f>
        <v>-0.25749769393013822</v>
      </c>
      <c r="K30" s="12">
        <f t="shared" si="4"/>
        <v>4.3074534933145117</v>
      </c>
      <c r="L30"/>
      <c r="M30">
        <f t="shared" ca="1" si="7"/>
        <v>1.1060286704050355E-3</v>
      </c>
      <c r="N30">
        <f t="shared" ca="1" si="8"/>
        <v>1.3136180252998933E-2</v>
      </c>
      <c r="O30">
        <f t="shared" ca="1" si="9"/>
        <v>1.0132228389076425</v>
      </c>
      <c r="P30" s="1">
        <f t="shared" si="5"/>
        <v>20.688860590231812</v>
      </c>
      <c r="Q30" s="5">
        <f t="shared" si="6"/>
        <v>7.5649511872446498</v>
      </c>
      <c r="R30" s="1">
        <v>0.98188667751920122</v>
      </c>
    </row>
    <row r="31" spans="1:18" ht="13.9" customHeight="1" x14ac:dyDescent="0.25">
      <c r="A31" t="s">
        <v>36</v>
      </c>
      <c r="B31"/>
      <c r="C31"/>
      <c r="D31"/>
      <c r="E31" s="13">
        <f t="shared" si="10"/>
        <v>28</v>
      </c>
      <c r="F31" s="11">
        <f t="shared" si="11"/>
        <v>3.3962290527271213</v>
      </c>
      <c r="G31" s="11">
        <f>-(m_1-F31-Psi*ypot_1*R31)/(Theta*Lambda1)-iext_1/Lambda1+sbar_1</f>
        <v>72.870173608443878</v>
      </c>
      <c r="H31" s="11">
        <f t="shared" si="2"/>
        <v>1888.7996453037897</v>
      </c>
      <c r="I31" s="11">
        <f t="shared" si="3"/>
        <v>6.7924581054542443</v>
      </c>
      <c r="J31" s="11">
        <f>Mi*(H31-ypot_1*R31)</f>
        <v>-1.0030104452898423</v>
      </c>
      <c r="K31" s="12">
        <f t="shared" si="4"/>
        <v>3.7924581054542443</v>
      </c>
      <c r="L31"/>
      <c r="M31">
        <f t="shared" ca="1" si="7"/>
        <v>-1.2765940754297605E-2</v>
      </c>
      <c r="N31">
        <f t="shared" ca="1" si="8"/>
        <v>-9.4337852659856503E-4</v>
      </c>
      <c r="O31">
        <f t="shared" ca="1" si="9"/>
        <v>0.999057066315028</v>
      </c>
      <c r="P31" s="1">
        <f t="shared" si="5"/>
        <v>21.456201121043417</v>
      </c>
      <c r="Q31" s="5">
        <f t="shared" si="6"/>
        <v>7.7954685507440864</v>
      </c>
      <c r="R31" s="1">
        <v>0.99455034491638694</v>
      </c>
    </row>
    <row r="32" spans="1:18" ht="13.9" customHeight="1" x14ac:dyDescent="0.3">
      <c r="A32" t="s">
        <v>39</v>
      </c>
      <c r="B32">
        <f>IF(C28=0,ABS(1+B28),SQRT((1+B28)^2+C28^2))</f>
        <v>0.25853064085781585</v>
      </c>
      <c r="C32"/>
      <c r="D32"/>
      <c r="E32" s="13">
        <f t="shared" si="10"/>
        <v>29</v>
      </c>
      <c r="F32" s="11">
        <f t="shared" si="11"/>
        <v>2.3932186074372792</v>
      </c>
      <c r="G32" s="11">
        <f>-(m_1-F32-Psi*ypot_1*R32)/(Theta*Lambda1)-iext_1/Lambda1+sbar_1</f>
        <v>74.652065532358748</v>
      </c>
      <c r="H32" s="11">
        <f t="shared" si="2"/>
        <v>1944.698294776942</v>
      </c>
      <c r="I32" s="11">
        <f t="shared" si="3"/>
        <v>4.7864372148745531</v>
      </c>
      <c r="J32" s="11">
        <f>Mi*(H32-ypot_1*R32)</f>
        <v>-0.5125042133277089</v>
      </c>
      <c r="K32" s="12">
        <f t="shared" si="4"/>
        <v>1.7864372148745531</v>
      </c>
      <c r="L32"/>
      <c r="M32">
        <f t="shared" ca="1" si="7"/>
        <v>-8.4430618607106399E-3</v>
      </c>
      <c r="N32">
        <f t="shared" ca="1" si="8"/>
        <v>-9.2921025346493491E-3</v>
      </c>
      <c r="O32">
        <f t="shared" ca="1" si="9"/>
        <v>0.99075093564189842</v>
      </c>
      <c r="P32" s="1">
        <f t="shared" si="5"/>
        <v>31.19316609872849</v>
      </c>
      <c r="Q32" s="5">
        <f t="shared" si="6"/>
        <v>5.2989414282022622</v>
      </c>
      <c r="R32" s="1">
        <v>0.99797435805485646</v>
      </c>
    </row>
    <row r="33" spans="1:18" ht="13.9" customHeight="1" thickBot="1" x14ac:dyDescent="0.35">
      <c r="A33" t="s">
        <v>40</v>
      </c>
      <c r="B33">
        <f>IF(C29=0,ABS(1+B29),SQRT((1+B29)^2+C29^2))</f>
        <v>1.5394693591421842</v>
      </c>
      <c r="C33"/>
      <c r="D33"/>
      <c r="E33" s="14">
        <f t="shared" si="10"/>
        <v>30</v>
      </c>
      <c r="F33" s="15">
        <f t="shared" si="11"/>
        <v>1.8807143941095703</v>
      </c>
      <c r="G33" s="11">
        <f>-(m_1-F33-Psi*ypot_1*R33)/(Theta*Lambda1)-iext_1/Lambda1+sbar_1</f>
        <v>79.002586963257997</v>
      </c>
      <c r="H33" s="11">
        <f t="shared" si="2"/>
        <v>2042.0613085041466</v>
      </c>
      <c r="I33" s="15">
        <f t="shared" si="3"/>
        <v>3.7614287882191491</v>
      </c>
      <c r="J33" s="11">
        <f>Mi*(H33-ypot_1*R33)</f>
        <v>0.68120291500911667</v>
      </c>
      <c r="K33" s="16">
        <f t="shared" si="4"/>
        <v>0.76142878821914906</v>
      </c>
      <c r="L33"/>
      <c r="M33">
        <f t="shared" ca="1" si="7"/>
        <v>5.6302154530684973E-4</v>
      </c>
      <c r="N33">
        <f t="shared" ca="1" si="8"/>
        <v>-7.799870735877565E-3</v>
      </c>
      <c r="O33">
        <f t="shared" ca="1" si="9"/>
        <v>0.99223046932178172</v>
      </c>
      <c r="P33" s="1">
        <f t="shared" si="5"/>
        <v>42.006690229359357</v>
      </c>
      <c r="Q33" s="5">
        <f t="shared" si="6"/>
        <v>3.0802258732100323</v>
      </c>
      <c r="R33" s="1">
        <v>0.98697050850161749</v>
      </c>
    </row>
    <row r="34" spans="1:18" ht="13.9" customHeight="1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8" ht="13.9" customHeight="1" x14ac:dyDescent="0.25">
      <c r="A35" s="9" t="s">
        <v>46</v>
      </c>
      <c r="B35" s="10">
        <v>0.9</v>
      </c>
      <c r="E35" s="8"/>
      <c r="F35" s="6"/>
      <c r="G35" s="6"/>
      <c r="H35" s="7"/>
      <c r="I35" s="6"/>
      <c r="J35" s="6"/>
      <c r="K35" s="6"/>
    </row>
    <row r="36" spans="1:18" ht="13.9" customHeight="1" x14ac:dyDescent="0.25">
      <c r="A36" s="9" t="s">
        <v>47</v>
      </c>
      <c r="B36" s="10">
        <v>0.01</v>
      </c>
      <c r="E36" s="8"/>
      <c r="F36" s="6"/>
      <c r="G36" s="6"/>
      <c r="H36" s="7"/>
      <c r="I36" s="6"/>
      <c r="J36" s="6"/>
      <c r="K36" s="6"/>
    </row>
    <row r="37" spans="1:18" ht="13.9" customHeight="1" x14ac:dyDescent="0.2">
      <c r="E37" s="8"/>
      <c r="F37" s="6"/>
      <c r="G37" s="6"/>
      <c r="H37" s="7"/>
      <c r="I37" s="6"/>
      <c r="J37" s="6"/>
      <c r="K37" s="6"/>
    </row>
    <row r="38" spans="1:18" ht="13.9" customHeight="1" x14ac:dyDescent="0.2">
      <c r="D38" s="3"/>
      <c r="E38" s="8"/>
      <c r="F38" s="6"/>
      <c r="G38" s="6"/>
      <c r="H38" s="7"/>
      <c r="I38" s="6"/>
      <c r="J38" s="6"/>
      <c r="K38" s="6"/>
    </row>
    <row r="39" spans="1:18" ht="13.9" customHeight="1" x14ac:dyDescent="0.2">
      <c r="D39" s="5"/>
      <c r="E39" s="8"/>
      <c r="F39" s="6"/>
      <c r="G39" s="6"/>
      <c r="H39" s="7"/>
      <c r="I39" s="6"/>
      <c r="J39" s="6"/>
      <c r="K39" s="6"/>
    </row>
    <row r="40" spans="1:18" ht="13.9" customHeight="1" x14ac:dyDescent="0.2">
      <c r="D40" s="5"/>
      <c r="E40" s="8"/>
      <c r="F40" s="6"/>
      <c r="G40" s="6"/>
      <c r="H40" s="7"/>
      <c r="I40" s="6"/>
      <c r="J40" s="6"/>
      <c r="K40" s="6"/>
    </row>
    <row r="41" spans="1:18" ht="13.9" customHeight="1" x14ac:dyDescent="0.2">
      <c r="E41" s="8"/>
      <c r="F41" s="6"/>
      <c r="G41" s="6"/>
      <c r="H41" s="7"/>
      <c r="I41" s="6"/>
      <c r="J41" s="6"/>
      <c r="K41" s="6"/>
    </row>
    <row r="42" spans="1:18" x14ac:dyDescent="0.2">
      <c r="E42" s="8"/>
      <c r="F42" s="6"/>
      <c r="G42" s="6"/>
      <c r="H42" s="7"/>
      <c r="I42" s="6"/>
      <c r="J42" s="6"/>
      <c r="K42" s="6"/>
    </row>
    <row r="43" spans="1:18" x14ac:dyDescent="0.2">
      <c r="E43" s="8"/>
      <c r="F43" s="6"/>
      <c r="G43" s="6"/>
      <c r="H43" s="7"/>
      <c r="I43" s="6"/>
      <c r="J43" s="6"/>
      <c r="K43" s="6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  <ignoredErrors>
    <ignoredError sqref="B24:C29 B32:B3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3"/>
  <sheetViews>
    <sheetView workbookViewId="0">
      <selection sqref="A1:XFD1048576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9.5703125" style="1" customWidth="1"/>
    <col min="10" max="10" width="10.140625" style="1" customWidth="1"/>
    <col min="11" max="11" width="9.7109375" style="1" customWidth="1"/>
    <col min="12" max="12" width="6.28515625" style="1" customWidth="1"/>
    <col min="16" max="16384" width="11.42578125" style="1"/>
  </cols>
  <sheetData>
    <row r="1" spans="1:59" ht="13.9" customHeight="1" x14ac:dyDescent="0.2">
      <c r="A1" t="s">
        <v>52</v>
      </c>
      <c r="B1"/>
      <c r="C1"/>
      <c r="D1"/>
      <c r="E1"/>
      <c r="F1"/>
      <c r="G1"/>
      <c r="H1"/>
      <c r="I1"/>
      <c r="J1"/>
      <c r="K1"/>
      <c r="R1" s="1" t="s">
        <v>50</v>
      </c>
      <c r="BD1" s="2"/>
    </row>
    <row r="2" spans="1:59" ht="13.9" customHeight="1" x14ac:dyDescent="0.2">
      <c r="A2" t="s">
        <v>0</v>
      </c>
      <c r="B2"/>
      <c r="C2"/>
      <c r="D2"/>
      <c r="E2" t="s">
        <v>12</v>
      </c>
      <c r="F2" t="s">
        <v>4</v>
      </c>
      <c r="G2" t="s">
        <v>9</v>
      </c>
      <c r="H2" t="s">
        <v>5</v>
      </c>
      <c r="I2" t="s">
        <v>6</v>
      </c>
      <c r="J2" t="s">
        <v>41</v>
      </c>
      <c r="K2" t="s">
        <v>42</v>
      </c>
      <c r="M2" t="s">
        <v>43</v>
      </c>
      <c r="N2" t="s">
        <v>44</v>
      </c>
      <c r="O2" t="s">
        <v>45</v>
      </c>
      <c r="P2" s="1" t="s">
        <v>48</v>
      </c>
      <c r="Q2" s="1" t="s">
        <v>49</v>
      </c>
      <c r="R2" s="1" t="s">
        <v>45</v>
      </c>
      <c r="BD2" s="3"/>
      <c r="BE2" s="3"/>
      <c r="BF2" s="3"/>
    </row>
    <row r="3" spans="1:59" ht="13.9" customHeight="1" x14ac:dyDescent="0.25">
      <c r="A3" t="s">
        <v>13</v>
      </c>
      <c r="B3" t="s">
        <v>14</v>
      </c>
      <c r="C3"/>
      <c r="D3"/>
      <c r="E3" s="13">
        <v>0</v>
      </c>
      <c r="F3" s="11">
        <f>pbar_0</f>
        <v>1.5</v>
      </c>
      <c r="G3" s="11">
        <f>sbar_0</f>
        <v>76.515000000000001</v>
      </c>
      <c r="H3" s="11">
        <f>Beta0_0+Beta1*(G3-F3+pext_0)+(Beta2/Theta)*(m_0-F3-Psi*ypot_0)</f>
        <v>2000</v>
      </c>
      <c r="I3" s="11">
        <f>MAX(0,-1/Theta*(m_0-F3-Psi*ypot_0))</f>
        <v>3</v>
      </c>
      <c r="J3" s="11">
        <f t="shared" ref="J3" si="0">Mi*(H3-ypot_0)</f>
        <v>0</v>
      </c>
      <c r="K3" s="12">
        <f>I3-iext_0</f>
        <v>0</v>
      </c>
      <c r="L3"/>
      <c r="M3">
        <v>0</v>
      </c>
      <c r="N3">
        <v>0</v>
      </c>
      <c r="O3">
        <v>1</v>
      </c>
      <c r="P3" s="1">
        <f>G3/F3</f>
        <v>51.01</v>
      </c>
      <c r="Q3" s="5">
        <f>I3-J3</f>
        <v>3</v>
      </c>
      <c r="R3" s="1">
        <v>1</v>
      </c>
    </row>
    <row r="4" spans="1:59" ht="13.9" customHeight="1" x14ac:dyDescent="0.25">
      <c r="A4" t="s">
        <v>17</v>
      </c>
      <c r="B4" t="s">
        <v>15</v>
      </c>
      <c r="C4" t="s">
        <v>0</v>
      </c>
      <c r="D4"/>
      <c r="E4" s="13">
        <v>1</v>
      </c>
      <c r="F4" s="11">
        <f t="shared" ref="F4:F33" si="1">F3+J3</f>
        <v>1.5</v>
      </c>
      <c r="G4" s="11">
        <f>-(m_1-F4-Psi*ypot_1*R4)/(Theta*Lambda1)-iext_1/Lambda1+sbar_1</f>
        <v>71.770910734889881</v>
      </c>
      <c r="H4" s="11">
        <f t="shared" ref="H4:H33" si="2">Beta0_1+Beta1*(G4-F4+pext_1)-Beta2*I4</f>
        <v>1905.1182146977976</v>
      </c>
      <c r="I4" s="11">
        <f>MAX(0,-1/Theta*(m_0-F4-Psi*ypot_0))</f>
        <v>3</v>
      </c>
      <c r="J4" s="11">
        <f>Mi*(H4-ypot_1*R4)</f>
        <v>-1.3005775357334757</v>
      </c>
      <c r="K4" s="12">
        <f t="shared" ref="K4:K33" si="3">I4-iext_1</f>
        <v>0</v>
      </c>
      <c r="L4"/>
      <c r="M4">
        <f ca="1">NORMINV(RAND(), 0, $B$36)</f>
        <v>1.4484917205154E-2</v>
      </c>
      <c r="N4">
        <f ca="1">$B$35*N3+M4</f>
        <v>1.4484917205154E-2</v>
      </c>
      <c r="O4">
        <f ca="1">EXP(N4)</f>
        <v>1.0145903319781633</v>
      </c>
      <c r="P4" s="1">
        <f t="shared" ref="P4:P33" si="4">G4/F4</f>
        <v>47.847273823259918</v>
      </c>
      <c r="Q4" s="5">
        <f t="shared" ref="Q4:Q33" si="5">I4-J4</f>
        <v>4.3005775357334759</v>
      </c>
      <c r="R4" s="1">
        <v>1.0175879841355726</v>
      </c>
    </row>
    <row r="5" spans="1:59" ht="13.9" customHeight="1" x14ac:dyDescent="0.25">
      <c r="A5" t="s">
        <v>18</v>
      </c>
      <c r="B5" t="s">
        <v>16</v>
      </c>
      <c r="C5"/>
      <c r="D5"/>
      <c r="E5" s="13">
        <v>2</v>
      </c>
      <c r="F5" s="11">
        <f t="shared" si="1"/>
        <v>0.19942246426652432</v>
      </c>
      <c r="G5" s="11">
        <f>-(m_1-F5-Psi*ypot_1*R5)/(Theta*Lambda1)-iext_1/Lambda1+sbar_1</f>
        <v>75.794467242292058</v>
      </c>
      <c r="H5" s="11">
        <f t="shared" si="2"/>
        <v>2011.8610110676575</v>
      </c>
      <c r="I5" s="11">
        <f>MAX(0,-1/Theta*(m_0-F5-Psi*ypot_0))</f>
        <v>0.39884492853303755</v>
      </c>
      <c r="J5" s="11">
        <f>Mi*(H5-ypot_1*R5)</f>
        <v>-0.19493069267998636</v>
      </c>
      <c r="K5" s="12">
        <f t="shared" si="3"/>
        <v>-2.6011550714669625</v>
      </c>
      <c r="L5"/>
      <c r="M5">
        <f t="shared" ref="M5:M33" ca="1" si="6">NORMINV(RAND(), 0, $B$36)</f>
        <v>-1.0020498632577163E-2</v>
      </c>
      <c r="N5">
        <f t="shared" ref="N5:N33" ca="1" si="7">$B$35*N4+M5</f>
        <v>3.0159268520614357E-3</v>
      </c>
      <c r="O5">
        <f t="shared" ref="O5:O33" ca="1" si="8">EXP(N5)</f>
        <v>1.0030204793349513</v>
      </c>
      <c r="P5" s="1">
        <f t="shared" si="4"/>
        <v>380.06985582624333</v>
      </c>
      <c r="Q5" s="5">
        <f t="shared" si="5"/>
        <v>0.59377562121302385</v>
      </c>
      <c r="R5" s="1">
        <v>1.0156770401678281</v>
      </c>
    </row>
    <row r="6" spans="1:59" ht="13.9" customHeight="1" x14ac:dyDescent="0.25">
      <c r="A6" t="s">
        <v>19</v>
      </c>
      <c r="B6"/>
      <c r="C6"/>
      <c r="D6"/>
      <c r="E6" s="13">
        <f>E5+1</f>
        <v>3</v>
      </c>
      <c r="F6" s="11">
        <f t="shared" si="1"/>
        <v>4.4917715865379626E-3</v>
      </c>
      <c r="G6" s="11">
        <f>-(m_1-F6-Psi*ypot_1*R6)/(Theta*Lambda1)-iext_1/Lambda1+sbar_1</f>
        <v>77.070975668196894</v>
      </c>
      <c r="H6" s="11">
        <f t="shared" si="2"/>
        <v>2041.3287795778897</v>
      </c>
      <c r="I6" s="11">
        <f>MAX(0,-1/Theta*(m_0-F6-Psi*ypot_0))</f>
        <v>8.9835431730875825E-3</v>
      </c>
      <c r="J6" s="11">
        <f>Mi*(H6-ypot_1*R6)</f>
        <v>0.15541004233586592</v>
      </c>
      <c r="K6" s="12">
        <f t="shared" si="3"/>
        <v>-2.9910164568269124</v>
      </c>
      <c r="L6"/>
      <c r="M6">
        <f t="shared" ca="1" si="6"/>
        <v>2.186857047793968E-3</v>
      </c>
      <c r="N6">
        <f t="shared" ca="1" si="7"/>
        <v>4.9011912146492602E-3</v>
      </c>
      <c r="O6">
        <f t="shared" ca="1" si="8"/>
        <v>1.0049132216988481</v>
      </c>
      <c r="P6" s="1">
        <f t="shared" si="4"/>
        <v>17158.257979809572</v>
      </c>
      <c r="Q6" s="5">
        <f t="shared" si="5"/>
        <v>-0.14642649916277833</v>
      </c>
      <c r="R6" s="1">
        <v>1.0128938876721516</v>
      </c>
    </row>
    <row r="7" spans="1:59" ht="13.9" customHeight="1" x14ac:dyDescent="0.25">
      <c r="A7" t="s">
        <v>20</v>
      </c>
      <c r="B7"/>
      <c r="C7"/>
      <c r="D7"/>
      <c r="E7" s="13">
        <f t="shared" ref="E7:E33" si="9">E6+1</f>
        <v>4</v>
      </c>
      <c r="F7" s="11">
        <f t="shared" si="1"/>
        <v>0.15990181392240388</v>
      </c>
      <c r="G7" s="11">
        <f>-(m_1-F7-Psi*ypot_1*R7)/(Theta*Lambda1)-iext_1/Lambda1+sbar_1</f>
        <v>75.447873665369798</v>
      </c>
      <c r="H7" s="11">
        <f t="shared" si="2"/>
        <v>2005.7274566661636</v>
      </c>
      <c r="I7" s="11">
        <f>MAX(0,-1/Theta*(m_0-F7-Psi*ypot_0))</f>
        <v>0.31980362784480576</v>
      </c>
      <c r="J7" s="11">
        <f>Mi*(H7-ypot_1*R7)</f>
        <v>-0.28986921850008229</v>
      </c>
      <c r="K7" s="12">
        <f t="shared" si="3"/>
        <v>-2.6801963721551942</v>
      </c>
      <c r="L7"/>
      <c r="M7">
        <f t="shared" ca="1" si="6"/>
        <v>3.3564828092885104E-3</v>
      </c>
      <c r="N7">
        <f t="shared" ca="1" si="7"/>
        <v>7.767554902472845E-3</v>
      </c>
      <c r="O7">
        <f t="shared" ca="1" si="8"/>
        <v>1.0077978006180894</v>
      </c>
      <c r="P7" s="1">
        <f t="shared" si="4"/>
        <v>471.83876039068986</v>
      </c>
      <c r="Q7" s="5">
        <f t="shared" si="5"/>
        <v>0.60967284634488805</v>
      </c>
      <c r="R7" s="1">
        <v>1.0173571892580859</v>
      </c>
    </row>
    <row r="8" spans="1:59" ht="13.9" customHeight="1" x14ac:dyDescent="0.25">
      <c r="A8"/>
      <c r="B8"/>
      <c r="C8"/>
      <c r="D8"/>
      <c r="E8" s="13">
        <f t="shared" si="9"/>
        <v>5</v>
      </c>
      <c r="F8" s="11">
        <f t="shared" si="1"/>
        <v>-0.12996740457767841</v>
      </c>
      <c r="G8" s="11">
        <f>-(m_1-F8-Psi*ypot_1*R8)/(Theta*Lambda1)-iext_1/Lambda1+sbar_1</f>
        <v>75.74667864701081</v>
      </c>
      <c r="H8" s="11">
        <f t="shared" si="2"/>
        <v>2017.53292103177</v>
      </c>
      <c r="I8" s="11">
        <f>MAX(0,-1/Theta*(m_0-F8-Psi*ypot_0))</f>
        <v>0</v>
      </c>
      <c r="J8" s="11">
        <f>Mi*(H8-ypot_1*R8)</f>
        <v>-0.20763294471945301</v>
      </c>
      <c r="K8" s="12">
        <f t="shared" si="3"/>
        <v>-3</v>
      </c>
      <c r="L8"/>
      <c r="M8">
        <f t="shared" ca="1" si="6"/>
        <v>-2.7955078392237105E-3</v>
      </c>
      <c r="N8">
        <f t="shared" ca="1" si="7"/>
        <v>4.1952915730018503E-3</v>
      </c>
      <c r="O8">
        <f t="shared" ca="1" si="8"/>
        <v>1.0042041041281295</v>
      </c>
      <c r="P8" s="1">
        <f t="shared" si="4"/>
        <v>-582.81288984068942</v>
      </c>
      <c r="Q8" s="5">
        <f t="shared" si="5"/>
        <v>0.20763294471945301</v>
      </c>
      <c r="R8" s="1">
        <v>1.0191481077518576</v>
      </c>
      <c r="BG8" s="4"/>
    </row>
    <row r="9" spans="1:59" ht="13.9" customHeight="1" x14ac:dyDescent="0.25">
      <c r="A9" t="s">
        <v>21</v>
      </c>
      <c r="B9"/>
      <c r="C9"/>
      <c r="D9"/>
      <c r="E9" s="13">
        <f t="shared" si="9"/>
        <v>6</v>
      </c>
      <c r="F9" s="11">
        <f t="shared" si="1"/>
        <v>-0.33760034929713145</v>
      </c>
      <c r="G9" s="11">
        <f>-(m_1-F9-Psi*ypot_1*R9)/(Theta*Lambda1)-iext_1/Lambda1+sbar_1</f>
        <v>76.689392591236313</v>
      </c>
      <c r="H9" s="11">
        <f t="shared" si="2"/>
        <v>2040.5398588106689</v>
      </c>
      <c r="I9" s="11">
        <f>MAX(0,-1/Theta*(m_0-F9-Psi*ypot_0))</f>
        <v>0</v>
      </c>
      <c r="J9" s="11">
        <f>Mi*(H9-ypot_1*R9)</f>
        <v>5.0809194533576373E-2</v>
      </c>
      <c r="K9" s="12">
        <f t="shared" si="3"/>
        <v>-3</v>
      </c>
      <c r="L9"/>
      <c r="M9">
        <f t="shared" ca="1" si="6"/>
        <v>6.3130357834951349E-3</v>
      </c>
      <c r="N9">
        <f t="shared" ca="1" si="7"/>
        <v>1.0088798199196801E-2</v>
      </c>
      <c r="O9">
        <f t="shared" ca="1" si="8"/>
        <v>1.0101398617024049</v>
      </c>
      <c r="P9" s="1">
        <f t="shared" si="4"/>
        <v>-227.16028804739133</v>
      </c>
      <c r="Q9" s="5">
        <f t="shared" si="5"/>
        <v>-5.0809194533576373E-2</v>
      </c>
      <c r="R9" s="1">
        <v>1.0177294696786556</v>
      </c>
    </row>
    <row r="10" spans="1:59" ht="13.9" customHeight="1" x14ac:dyDescent="0.25">
      <c r="A10" t="s">
        <v>1</v>
      </c>
      <c r="B10">
        <v>0.05</v>
      </c>
      <c r="C10"/>
      <c r="D10"/>
      <c r="E10" s="13">
        <f t="shared" si="9"/>
        <v>7</v>
      </c>
      <c r="F10" s="11">
        <f t="shared" si="1"/>
        <v>-0.2867911547635551</v>
      </c>
      <c r="G10" s="11">
        <f>-(m_1-F10-Psi*ypot_1*R10)/(Theta*Lambda1)-iext_1/Lambda1+sbar_1</f>
        <v>78.420373643099609</v>
      </c>
      <c r="H10" s="11">
        <f t="shared" si="2"/>
        <v>2074.143295957263</v>
      </c>
      <c r="I10" s="11">
        <f>MAX(0,-1/Theta*(m_0-F10-Psi*ypot_0))</f>
        <v>0</v>
      </c>
      <c r="J10" s="11">
        <f>Mi*(H10-ypot_1*R10)</f>
        <v>0.52535234602746872</v>
      </c>
      <c r="K10" s="12">
        <f t="shared" si="3"/>
        <v>-3</v>
      </c>
      <c r="L10"/>
      <c r="M10">
        <f t="shared" ca="1" si="6"/>
        <v>6.5877950410409289E-3</v>
      </c>
      <c r="N10">
        <f t="shared" ca="1" si="7"/>
        <v>1.5667713420318051E-2</v>
      </c>
      <c r="O10">
        <f t="shared" ca="1" si="8"/>
        <v>1.0157910955720963</v>
      </c>
      <c r="P10" s="1">
        <f t="shared" si="4"/>
        <v>-273.44069836377372</v>
      </c>
      <c r="Q10" s="5">
        <f t="shared" si="5"/>
        <v>-0.52535234602746872</v>
      </c>
      <c r="R10" s="1">
        <v>1.0108040306772581</v>
      </c>
    </row>
    <row r="11" spans="1:59" ht="13.9" customHeight="1" x14ac:dyDescent="0.25">
      <c r="A11" t="s">
        <v>2</v>
      </c>
      <c r="B11">
        <v>0.5</v>
      </c>
      <c r="C11"/>
      <c r="D11"/>
      <c r="E11" s="13">
        <f t="shared" si="9"/>
        <v>8</v>
      </c>
      <c r="F11" s="11">
        <f t="shared" si="1"/>
        <v>0.23856119126391362</v>
      </c>
      <c r="G11" s="11">
        <f>-(m_1-F11-Psi*ypot_1*R11)/(Theta*Lambda1)-iext_1/Lambda1+sbar_1</f>
        <v>63.265067148753943</v>
      </c>
      <c r="H11" s="11">
        <f t="shared" si="2"/>
        <v>1760.4824069115477</v>
      </c>
      <c r="I11" s="11">
        <f>MAX(0,-1/Theta*(m_0-F11-Psi*ypot_0))</f>
        <v>0.47712238252782413</v>
      </c>
      <c r="J11" s="11">
        <f>Mi*(H11-ypot_1*R11)</f>
        <v>-3.6299056146207818</v>
      </c>
      <c r="K11" s="12">
        <f t="shared" si="3"/>
        <v>-2.5228776174721759</v>
      </c>
      <c r="L11"/>
      <c r="M11">
        <f t="shared" ca="1" si="6"/>
        <v>-1.5930858404560944E-3</v>
      </c>
      <c r="N11">
        <f t="shared" ca="1" si="7"/>
        <v>1.2507856237830151E-2</v>
      </c>
      <c r="O11">
        <f t="shared" ca="1" si="8"/>
        <v>1.0125864066290198</v>
      </c>
      <c r="P11" s="1">
        <f t="shared" si="4"/>
        <v>265.19429591029143</v>
      </c>
      <c r="Q11" s="5">
        <f t="shared" si="5"/>
        <v>4.1070279971486059</v>
      </c>
      <c r="R11" s="1">
        <v>1.0617364841868129</v>
      </c>
    </row>
    <row r="12" spans="1:59" ht="13.9" customHeight="1" x14ac:dyDescent="0.25">
      <c r="A12" t="s">
        <v>3</v>
      </c>
      <c r="B12">
        <v>20</v>
      </c>
      <c r="C12" t="s">
        <v>0</v>
      </c>
      <c r="D12"/>
      <c r="E12" s="13">
        <f t="shared" si="9"/>
        <v>9</v>
      </c>
      <c r="F12" s="11">
        <f t="shared" si="1"/>
        <v>-3.3913444233568679</v>
      </c>
      <c r="G12" s="11">
        <f>-(m_1-F12-Psi*ypot_1*R12)/(Theta*Lambda1)-iext_1/Lambda1+sbar_1</f>
        <v>72.847267161482719</v>
      </c>
      <c r="H12" s="11">
        <f t="shared" si="2"/>
        <v>2024.7722316967918</v>
      </c>
      <c r="I12" s="11">
        <f>MAX(0,-1/Theta*(m_0-F12-Psi*ypot_0))</f>
        <v>0</v>
      </c>
      <c r="J12" s="11">
        <f>Mi*(H12-ypot_1*R12)</f>
        <v>-1.0024977194314739</v>
      </c>
      <c r="K12" s="12">
        <f t="shared" si="3"/>
        <v>-3</v>
      </c>
      <c r="L12"/>
      <c r="M12">
        <f t="shared" ca="1" si="6"/>
        <v>-1.7070804905121445E-3</v>
      </c>
      <c r="N12">
        <f t="shared" ca="1" si="7"/>
        <v>9.5499901235349908E-3</v>
      </c>
      <c r="O12">
        <f t="shared" ca="1" si="8"/>
        <v>1.0095957367899842</v>
      </c>
      <c r="P12" s="1">
        <f t="shared" si="4"/>
        <v>-21.480350583022179</v>
      </c>
      <c r="Q12" s="5">
        <f t="shared" si="5"/>
        <v>1.0024977194314739</v>
      </c>
      <c r="R12" s="1">
        <v>1.0625110018199695</v>
      </c>
    </row>
    <row r="13" spans="1:59" ht="13.9" customHeight="1" x14ac:dyDescent="0.25">
      <c r="A13" t="s">
        <v>10</v>
      </c>
      <c r="B13">
        <v>0.1</v>
      </c>
      <c r="C13"/>
      <c r="D13"/>
      <c r="E13" s="13">
        <f t="shared" si="9"/>
        <v>10</v>
      </c>
      <c r="F13" s="11">
        <f t="shared" si="1"/>
        <v>-4.3938421427883423</v>
      </c>
      <c r="G13" s="11">
        <f>-(m_1-F13-Psi*ypot_1*R13)/(Theta*Lambda1)-iext_1/Lambda1+sbar_1</f>
        <v>78.150960448417464</v>
      </c>
      <c r="H13" s="11">
        <f t="shared" si="2"/>
        <v>2150.8960518241161</v>
      </c>
      <c r="I13" s="11">
        <f>MAX(0,-1/Theta*(m_0-F13-Psi*ypot_0))</f>
        <v>0</v>
      </c>
      <c r="J13" s="11">
        <f>Mi*(H13-ypot_1*R13)</f>
        <v>0.45149354421049792</v>
      </c>
      <c r="K13" s="12">
        <f t="shared" si="3"/>
        <v>-3</v>
      </c>
      <c r="L13"/>
      <c r="M13">
        <f t="shared" ca="1" si="6"/>
        <v>-7.8641552556291631E-3</v>
      </c>
      <c r="N13">
        <f t="shared" ca="1" si="7"/>
        <v>7.3083585555232949E-4</v>
      </c>
      <c r="O13">
        <f t="shared" ca="1" si="8"/>
        <v>1.0007311029811472</v>
      </c>
      <c r="P13" s="1">
        <f t="shared" si="4"/>
        <v>-17.786474322180059</v>
      </c>
      <c r="Q13" s="5">
        <f t="shared" si="5"/>
        <v>-0.45149354421049792</v>
      </c>
      <c r="R13" s="1">
        <v>1.0528733487015332</v>
      </c>
    </row>
    <row r="14" spans="1:59" ht="13.9" customHeight="1" x14ac:dyDescent="0.25">
      <c r="A14" t="s">
        <v>11</v>
      </c>
      <c r="B14">
        <v>0.01</v>
      </c>
      <c r="C14"/>
      <c r="D14"/>
      <c r="E14" s="13">
        <f t="shared" si="9"/>
        <v>11</v>
      </c>
      <c r="F14" s="11">
        <f t="shared" si="1"/>
        <v>-3.9423485985778441</v>
      </c>
      <c r="G14" s="11">
        <f>-(m_1-F14-Psi*ypot_1*R14)/(Theta*Lambda1)-iext_1/Lambda1+sbar_1</f>
        <v>80.980485526289073</v>
      </c>
      <c r="H14" s="11">
        <f t="shared" si="2"/>
        <v>2198.4566824973381</v>
      </c>
      <c r="I14" s="11">
        <f>MAX(0,-1/Theta*(m_0-F14-Psi*ypot_0))</f>
        <v>0</v>
      </c>
      <c r="J14" s="11">
        <f>Mi*(H14-ypot_1*R14)</f>
        <v>1.2271991744014394</v>
      </c>
      <c r="K14" s="12">
        <f t="shared" si="3"/>
        <v>-3</v>
      </c>
      <c r="L14"/>
      <c r="M14">
        <f t="shared" ca="1" si="6"/>
        <v>-1.822044266731207E-2</v>
      </c>
      <c r="N14">
        <f t="shared" ca="1" si="7"/>
        <v>-1.7562690397314975E-2</v>
      </c>
      <c r="O14">
        <f t="shared" ca="1" si="8"/>
        <v>0.98259063473691033</v>
      </c>
      <c r="P14" s="1">
        <f t="shared" si="4"/>
        <v>-20.541178310690697</v>
      </c>
      <c r="Q14" s="5">
        <f t="shared" si="5"/>
        <v>-1.2271991744014394</v>
      </c>
      <c r="R14" s="1">
        <v>1.037868382528597</v>
      </c>
    </row>
    <row r="15" spans="1:59" ht="13.9" customHeight="1" x14ac:dyDescent="0.25">
      <c r="A15"/>
      <c r="B15"/>
      <c r="C15" t="s">
        <v>0</v>
      </c>
      <c r="D15"/>
      <c r="E15" s="13">
        <f t="shared" si="9"/>
        <v>12</v>
      </c>
      <c r="F15" s="11">
        <f t="shared" si="1"/>
        <v>-2.7151494241764045</v>
      </c>
      <c r="G15" s="11">
        <f>-(m_1-F15-Psi*ypot_1*R15)/(Theta*Lambda1)-iext_1/Lambda1+sbar_1</f>
        <v>77.697217222922689</v>
      </c>
      <c r="H15" s="11">
        <f t="shared" si="2"/>
        <v>2108.2473329419818</v>
      </c>
      <c r="I15" s="11">
        <f>MAX(0,-1/Theta*(m_0-F15-Psi*ypot_0))</f>
        <v>0</v>
      </c>
      <c r="J15" s="11">
        <f>Mi*(H15-ypot_1*R15)</f>
        <v>0.32710122924926965</v>
      </c>
      <c r="K15" s="12">
        <f t="shared" si="3"/>
        <v>-3</v>
      </c>
      <c r="L15"/>
      <c r="M15">
        <f t="shared" ca="1" si="6"/>
        <v>-1.4638121518356169E-3</v>
      </c>
      <c r="N15">
        <f t="shared" ca="1" si="7"/>
        <v>-1.7270233509419093E-2</v>
      </c>
      <c r="O15">
        <f t="shared" ca="1" si="8"/>
        <v>0.98287804216111307</v>
      </c>
      <c r="P15" s="1">
        <f t="shared" si="4"/>
        <v>-28.616184630976932</v>
      </c>
      <c r="Q15" s="5">
        <f t="shared" si="5"/>
        <v>-0.32710122924926965</v>
      </c>
      <c r="R15" s="1">
        <v>1.0377686050085273</v>
      </c>
    </row>
    <row r="16" spans="1:59" ht="13.9" customHeight="1" x14ac:dyDescent="0.25">
      <c r="A16" t="s">
        <v>22</v>
      </c>
      <c r="B16" t="s">
        <v>23</v>
      </c>
      <c r="C16" t="s">
        <v>24</v>
      </c>
      <c r="D16"/>
      <c r="E16" s="13">
        <f t="shared" si="9"/>
        <v>13</v>
      </c>
      <c r="F16" s="11">
        <f t="shared" si="1"/>
        <v>-2.3880481949271348</v>
      </c>
      <c r="G16" s="11">
        <f>-(m_1-F16-Psi*ypot_1*R16)/(Theta*Lambda1)-iext_1/Lambda1+sbar_1</f>
        <v>80.535886454682512</v>
      </c>
      <c r="H16" s="11">
        <f t="shared" si="2"/>
        <v>2158.4786929921929</v>
      </c>
      <c r="I16" s="11">
        <f>MAX(0,-1/Theta*(m_0-F16-Psi*ypot_0))</f>
        <v>0</v>
      </c>
      <c r="J16" s="11">
        <f>Mi*(H16-ypot_1*R16)</f>
        <v>1.1053137012101935</v>
      </c>
      <c r="K16" s="12">
        <f t="shared" si="3"/>
        <v>-3</v>
      </c>
      <c r="L16"/>
      <c r="M16">
        <f t="shared" ca="1" si="6"/>
        <v>-2.8128394668102386E-3</v>
      </c>
      <c r="N16">
        <f t="shared" ca="1" si="7"/>
        <v>-1.8356049625287422E-2</v>
      </c>
      <c r="O16">
        <f t="shared" ca="1" si="8"/>
        <v>0.98181139653830263</v>
      </c>
      <c r="P16" s="1">
        <f t="shared" si="4"/>
        <v>-33.724564950474068</v>
      </c>
      <c r="Q16" s="5">
        <f t="shared" si="5"/>
        <v>-1.1053137012101935</v>
      </c>
      <c r="R16" s="1">
        <v>1.0239736614355868</v>
      </c>
    </row>
    <row r="17" spans="1:18" ht="13.9" customHeight="1" x14ac:dyDescent="0.25">
      <c r="A17" t="s">
        <v>25</v>
      </c>
      <c r="B17">
        <v>100</v>
      </c>
      <c r="C17">
        <v>100</v>
      </c>
      <c r="D17"/>
      <c r="E17" s="13">
        <f t="shared" si="9"/>
        <v>14</v>
      </c>
      <c r="F17" s="11">
        <f t="shared" si="1"/>
        <v>-1.2827344937169414</v>
      </c>
      <c r="G17" s="11">
        <f>-(m_1-F17-Psi*ypot_1*R17)/(Theta*Lambda1)-iext_1/Lambda1+sbar_1</f>
        <v>73.592034397234769</v>
      </c>
      <c r="H17" s="11">
        <f t="shared" si="2"/>
        <v>1997.4953778190343</v>
      </c>
      <c r="I17" s="11">
        <f>MAX(0,-1/Theta*(m_0-F17-Psi*ypot_0))</f>
        <v>0</v>
      </c>
      <c r="J17" s="11">
        <f>Mi*(H17-ypot_1*R17)</f>
        <v>-0.79832206378074722</v>
      </c>
      <c r="K17" s="12">
        <f t="shared" si="3"/>
        <v>-3</v>
      </c>
      <c r="L17"/>
      <c r="M17">
        <f t="shared" ca="1" si="6"/>
        <v>4.0938611332639848E-3</v>
      </c>
      <c r="N17">
        <f t="shared" ca="1" si="7"/>
        <v>-1.2426583529494696E-2</v>
      </c>
      <c r="O17">
        <f t="shared" ca="1" si="8"/>
        <v>0.98765030763191963</v>
      </c>
      <c r="P17" s="1">
        <f t="shared" si="4"/>
        <v>-57.371213417664734</v>
      </c>
      <c r="Q17" s="5">
        <f t="shared" si="5"/>
        <v>0.79832206378074722</v>
      </c>
      <c r="R17" s="1">
        <v>1.0386637920985544</v>
      </c>
    </row>
    <row r="18" spans="1:18" ht="13.9" customHeight="1" x14ac:dyDescent="0.25">
      <c r="A18" t="s">
        <v>26</v>
      </c>
      <c r="B18">
        <v>3</v>
      </c>
      <c r="C18">
        <v>3</v>
      </c>
      <c r="D18"/>
      <c r="E18" s="13">
        <f t="shared" si="9"/>
        <v>15</v>
      </c>
      <c r="F18" s="11">
        <f t="shared" si="1"/>
        <v>-2.0810565574976887</v>
      </c>
      <c r="G18" s="11">
        <f>-(m_1-F18-Psi*ypot_1*R18)/(Theta*Lambda1)-iext_1/Lambda1+sbar_1</f>
        <v>72.676260176492718</v>
      </c>
      <c r="H18" s="11">
        <f t="shared" si="2"/>
        <v>1995.1463346798082</v>
      </c>
      <c r="I18" s="11">
        <f>MAX(0,-1/Theta*(m_0-F18-Psi*ypot_0))</f>
        <v>0</v>
      </c>
      <c r="J18" s="11">
        <f>Mi*(H18-ypot_1*R18)</f>
        <v>-1.049378760386412</v>
      </c>
      <c r="K18" s="12">
        <f t="shared" si="3"/>
        <v>-3</v>
      </c>
      <c r="L18"/>
      <c r="M18">
        <f t="shared" ca="1" si="6"/>
        <v>9.5840987930682249E-3</v>
      </c>
      <c r="N18">
        <f t="shared" ca="1" si="7"/>
        <v>-1.5998263834770023E-3</v>
      </c>
      <c r="O18">
        <f t="shared" ca="1" si="8"/>
        <v>0.99840145265657998</v>
      </c>
      <c r="P18" s="1">
        <f t="shared" si="4"/>
        <v>-34.922770318112043</v>
      </c>
      <c r="Q18" s="5">
        <f t="shared" si="5"/>
        <v>1.049378760386412</v>
      </c>
      <c r="R18" s="1">
        <v>1.0500421053592246</v>
      </c>
    </row>
    <row r="19" spans="1:18" ht="13.9" customHeight="1" x14ac:dyDescent="0.25">
      <c r="A19" t="s">
        <v>27</v>
      </c>
      <c r="B19">
        <v>500</v>
      </c>
      <c r="C19">
        <v>500</v>
      </c>
      <c r="D19"/>
      <c r="E19" s="13">
        <f t="shared" si="9"/>
        <v>16</v>
      </c>
      <c r="F19" s="11">
        <f t="shared" si="1"/>
        <v>-3.1304353178841007</v>
      </c>
      <c r="G19" s="11">
        <f>-(m_1-F19-Psi*ypot_1*R19)/(Theta*Lambda1)-iext_1/Lambda1+sbar_1</f>
        <v>78.628806751736832</v>
      </c>
      <c r="H19" s="11">
        <f t="shared" si="2"/>
        <v>2135.184841392419</v>
      </c>
      <c r="I19" s="11">
        <f>MAX(0,-1/Theta*(m_0-F19-Psi*ypot_0))</f>
        <v>0</v>
      </c>
      <c r="J19" s="11">
        <f>Mi*(H19-ypot_1*R19)</f>
        <v>0.5824936441034424</v>
      </c>
      <c r="K19" s="12">
        <f t="shared" si="3"/>
        <v>-3</v>
      </c>
      <c r="L19"/>
      <c r="M19">
        <f t="shared" ca="1" si="6"/>
        <v>-4.9640825658325326E-3</v>
      </c>
      <c r="N19">
        <f t="shared" ca="1" si="7"/>
        <v>-6.4039263109618352E-3</v>
      </c>
      <c r="O19">
        <f t="shared" ca="1" si="8"/>
        <v>0.9936165351239965</v>
      </c>
      <c r="P19" s="1">
        <f t="shared" si="4"/>
        <v>-25.117531195272548</v>
      </c>
      <c r="Q19" s="5">
        <f t="shared" si="5"/>
        <v>-0.5824936441034424</v>
      </c>
      <c r="R19" s="1">
        <v>1.0384677384910375</v>
      </c>
    </row>
    <row r="20" spans="1:18" ht="13.9" customHeight="1" x14ac:dyDescent="0.25">
      <c r="A20" t="s">
        <v>28</v>
      </c>
      <c r="B20">
        <v>0</v>
      </c>
      <c r="C20">
        <v>0</v>
      </c>
      <c r="D20"/>
      <c r="E20" s="13">
        <f t="shared" si="9"/>
        <v>17</v>
      </c>
      <c r="F20" s="11">
        <f t="shared" si="1"/>
        <v>-2.5479416737806582</v>
      </c>
      <c r="G20" s="11">
        <f>-(m_1-F20-Psi*ypot_1*R20)/(Theta*Lambda1)-iext_1/Lambda1+sbar_1</f>
        <v>74.46350065467324</v>
      </c>
      <c r="H20" s="11">
        <f t="shared" si="2"/>
        <v>2040.2288465690779</v>
      </c>
      <c r="I20" s="11">
        <f>MAX(0,-1/Theta*(m_0-F20-Psi*ypot_0))</f>
        <v>0</v>
      </c>
      <c r="J20" s="11">
        <f>Mi*(H20-ypot_1*R20)</f>
        <v>-0.55941225955135676</v>
      </c>
      <c r="K20" s="12">
        <f t="shared" si="3"/>
        <v>-3</v>
      </c>
      <c r="L20"/>
      <c r="M20">
        <f t="shared" ca="1" si="6"/>
        <v>-7.6633522805496753E-4</v>
      </c>
      <c r="N20">
        <f t="shared" ca="1" si="7"/>
        <v>-6.5298689079206192E-3</v>
      </c>
      <c r="O20">
        <f t="shared" ca="1" si="8"/>
        <v>0.99349140435699412</v>
      </c>
      <c r="P20" s="1">
        <f t="shared" si="4"/>
        <v>-29.224962808580955</v>
      </c>
      <c r="Q20" s="5">
        <f t="shared" si="5"/>
        <v>0.55941225955135676</v>
      </c>
      <c r="R20" s="1">
        <v>1.0480850362621068</v>
      </c>
    </row>
    <row r="21" spans="1:18" ht="13.9" customHeight="1" x14ac:dyDescent="0.25">
      <c r="A21" t="s">
        <v>29</v>
      </c>
      <c r="B21">
        <v>2000</v>
      </c>
      <c r="C21">
        <v>2000</v>
      </c>
      <c r="D21"/>
      <c r="E21" s="13">
        <f t="shared" si="9"/>
        <v>18</v>
      </c>
      <c r="F21" s="11">
        <f t="shared" si="1"/>
        <v>-3.107353933332015</v>
      </c>
      <c r="G21" s="11">
        <f>-(m_1-F21-Psi*ypot_1*R21)/(Theta*Lambda1)-iext_1/Lambda1+sbar_1</f>
        <v>76.862247768480898</v>
      </c>
      <c r="H21" s="11">
        <f t="shared" si="2"/>
        <v>2099.3920340362583</v>
      </c>
      <c r="I21" s="11">
        <f>MAX(0,-1/Theta*(m_0-F21-Psi*ypot_0))</f>
        <v>0</v>
      </c>
      <c r="J21" s="11">
        <f>Mi*(H21-ypot_1*R21)</f>
        <v>9.8196911732088665E-2</v>
      </c>
      <c r="K21" s="12">
        <f t="shared" si="3"/>
        <v>-3</v>
      </c>
      <c r="L21"/>
      <c r="M21">
        <f t="shared" ca="1" si="6"/>
        <v>-6.1859230214911321E-3</v>
      </c>
      <c r="N21">
        <f t="shared" ca="1" si="7"/>
        <v>-1.206280503861969E-2</v>
      </c>
      <c r="O21">
        <f t="shared" ca="1" si="8"/>
        <v>0.98800965892851544</v>
      </c>
      <c r="P21" s="1">
        <f t="shared" si="4"/>
        <v>-24.73559479143772</v>
      </c>
      <c r="Q21" s="5">
        <f t="shared" si="5"/>
        <v>-9.8196911732088665E-2</v>
      </c>
      <c r="R21" s="1">
        <v>1.0447861714315247</v>
      </c>
    </row>
    <row r="22" spans="1:18" ht="13.9" customHeight="1" x14ac:dyDescent="0.25">
      <c r="A22"/>
      <c r="B22"/>
      <c r="C22"/>
      <c r="D22"/>
      <c r="E22" s="13">
        <f t="shared" si="9"/>
        <v>19</v>
      </c>
      <c r="F22" s="11">
        <f t="shared" si="1"/>
        <v>-3.0091570215999264</v>
      </c>
      <c r="G22" s="11">
        <f>-(m_1-F22-Psi*ypot_1*R22)/(Theta*Lambda1)-iext_1/Lambda1+sbar_1</f>
        <v>83.196398458042154</v>
      </c>
      <c r="H22" s="11">
        <f t="shared" si="2"/>
        <v>2224.1111095928418</v>
      </c>
      <c r="I22" s="11">
        <f>MAX(0,-1/Theta*(m_0-F22-Psi*ypot_0))</f>
        <v>0</v>
      </c>
      <c r="J22" s="11">
        <f>Mi*(H22-ypot_1*R22)</f>
        <v>1.8346849148942397</v>
      </c>
      <c r="K22" s="12">
        <f t="shared" si="3"/>
        <v>-3</v>
      </c>
      <c r="L22"/>
      <c r="M22">
        <f t="shared" ca="1" si="6"/>
        <v>1.7621995070851416E-2</v>
      </c>
      <c r="N22">
        <f t="shared" ca="1" si="7"/>
        <v>6.7654705360936946E-3</v>
      </c>
      <c r="O22">
        <f t="shared" ca="1" si="8"/>
        <v>1.0067884080303515</v>
      </c>
      <c r="P22" s="1">
        <f t="shared" si="4"/>
        <v>-27.647742494277619</v>
      </c>
      <c r="Q22" s="5">
        <f t="shared" si="5"/>
        <v>-1.8346849148942397</v>
      </c>
      <c r="R22" s="1">
        <v>1.0203213090517089</v>
      </c>
    </row>
    <row r="23" spans="1:18" ht="13.9" customHeight="1" x14ac:dyDescent="0.25">
      <c r="A23" t="s">
        <v>30</v>
      </c>
      <c r="B23" t="s">
        <v>31</v>
      </c>
      <c r="C23" t="s">
        <v>32</v>
      </c>
      <c r="D23"/>
      <c r="E23" s="13">
        <f t="shared" si="9"/>
        <v>20</v>
      </c>
      <c r="F23" s="11">
        <f t="shared" si="1"/>
        <v>-1.1744721067056867</v>
      </c>
      <c r="G23" s="11">
        <f>-(m_1-F23-Psi*ypot_1*R23)/(Theta*Lambda1)-iext_1/Lambda1+sbar_1</f>
        <v>82.830118879139292</v>
      </c>
      <c r="H23" s="11">
        <f t="shared" si="2"/>
        <v>2180.0918197168994</v>
      </c>
      <c r="I23" s="11">
        <f>MAX(0,-1/Theta*(m_0-F23-Psi*ypot_0))</f>
        <v>0</v>
      </c>
      <c r="J23" s="11">
        <f>Mi*(H23-ypot_1*R23)</f>
        <v>1.7342704906500672</v>
      </c>
      <c r="K23" s="12">
        <f t="shared" si="3"/>
        <v>-3</v>
      </c>
      <c r="L23"/>
      <c r="M23">
        <f t="shared" ca="1" si="6"/>
        <v>6.7510534765942301E-3</v>
      </c>
      <c r="N23">
        <f t="shared" ca="1" si="7"/>
        <v>1.2839976959078556E-2</v>
      </c>
      <c r="O23">
        <f t="shared" ca="1" si="8"/>
        <v>1.0129227634091522</v>
      </c>
      <c r="P23" s="1">
        <f t="shared" si="4"/>
        <v>-70.525403205591715</v>
      </c>
      <c r="Q23" s="5">
        <f t="shared" si="5"/>
        <v>-1.7342704906500672</v>
      </c>
      <c r="R23" s="1">
        <v>1.0033323853259464</v>
      </c>
    </row>
    <row r="24" spans="1:18" ht="13.9" customHeight="1" x14ac:dyDescent="0.25">
      <c r="A24" t="s">
        <v>7</v>
      </c>
      <c r="B24">
        <f>m_0-Psi*ypot_0+Theta*iext_0</f>
        <v>1.5</v>
      </c>
      <c r="C24">
        <f>m_1-Psi*ypot_1+Theta*iext_1</f>
        <v>1.5</v>
      </c>
      <c r="D24"/>
      <c r="E24" s="13">
        <f t="shared" si="9"/>
        <v>21</v>
      </c>
      <c r="F24" s="11">
        <f t="shared" si="1"/>
        <v>0.55979838394438053</v>
      </c>
      <c r="G24" s="11">
        <f>-(m_1-F24-Psi*ypot_1*R24)/(Theta*Lambda1)-iext_1/Lambda1+sbar_1</f>
        <v>77.420543361896634</v>
      </c>
      <c r="H24" s="11">
        <f t="shared" si="2"/>
        <v>2037.1029398822561</v>
      </c>
      <c r="I24" s="11">
        <f>MAX(0,-1/Theta*(m_0-F24-Psi*ypot_0))</f>
        <v>1.1195967678887655</v>
      </c>
      <c r="J24" s="11">
        <f>Mi*(H24-ypot_1*R24)</f>
        <v>0.25013234123353184</v>
      </c>
      <c r="K24" s="12">
        <f t="shared" si="3"/>
        <v>-1.8804032321112345</v>
      </c>
      <c r="L24"/>
      <c r="M24">
        <f t="shared" ca="1" si="6"/>
        <v>1.2118557039426641E-2</v>
      </c>
      <c r="N24">
        <f t="shared" ca="1" si="7"/>
        <v>2.3674536302597339E-2</v>
      </c>
      <c r="O24">
        <f t="shared" ca="1" si="8"/>
        <v>1.023957002820467</v>
      </c>
      <c r="P24" s="1">
        <f t="shared" si="4"/>
        <v>138.30076252879795</v>
      </c>
      <c r="Q24" s="5">
        <f t="shared" si="5"/>
        <v>0.8694644266552336</v>
      </c>
      <c r="R24" s="1">
        <v>1.0060448528794514</v>
      </c>
    </row>
    <row r="25" spans="1:18" ht="13.9" customHeight="1" x14ac:dyDescent="0.25">
      <c r="A25" t="s">
        <v>8</v>
      </c>
      <c r="B25">
        <f>m_0-Beta0_0/Beta1-((1-Psi*Beta1)/Beta1)*ypot_0+((Theta*Beta1+Beta2)/Beta1)*iext_0</f>
        <v>76.515000000000001</v>
      </c>
      <c r="C25">
        <f>m_1-Beta0_1/Beta1-((1-Psi*Beta1)/Beta1)*ypot_1+((Theta*Beta1+Beta2)/Beta1)*iext_1</f>
        <v>76.515000000000001</v>
      </c>
      <c r="D25"/>
      <c r="E25" s="13">
        <f t="shared" si="9"/>
        <v>22</v>
      </c>
      <c r="F25" s="11">
        <f t="shared" si="1"/>
        <v>0.80993072517791243</v>
      </c>
      <c r="G25" s="11">
        <f>-(m_1-F25-Psi*ypot_1*R25)/(Theta*Lambda1)-iext_1/Lambda1+sbar_1</f>
        <v>83.252374137177355</v>
      </c>
      <c r="H25" s="11">
        <f t="shared" si="2"/>
        <v>2148.6868820949535</v>
      </c>
      <c r="I25" s="11">
        <f>MAX(0,-1/Theta*(m_0-F25-Psi*ypot_0))</f>
        <v>1.6198614503558133</v>
      </c>
      <c r="J25" s="11">
        <f>Mi*(H25-ypot_1*R25)</f>
        <v>1.848410614364518</v>
      </c>
      <c r="K25" s="12">
        <f t="shared" si="3"/>
        <v>-1.3801385496441867</v>
      </c>
      <c r="L25"/>
      <c r="M25">
        <f t="shared" ca="1" si="6"/>
        <v>5.250275458768998E-3</v>
      </c>
      <c r="N25">
        <f t="shared" ca="1" si="7"/>
        <v>2.6557358131106604E-2</v>
      </c>
      <c r="O25">
        <f t="shared" ca="1" si="8"/>
        <v>1.0269131473914086</v>
      </c>
      <c r="P25" s="1">
        <f t="shared" si="4"/>
        <v>102.78949982900059</v>
      </c>
      <c r="Q25" s="5">
        <f t="shared" si="5"/>
        <v>-0.22854916400870473</v>
      </c>
      <c r="R25" s="1">
        <v>0.98192291032925083</v>
      </c>
    </row>
    <row r="26" spans="1:18" ht="13.9" customHeight="1" x14ac:dyDescent="0.25">
      <c r="A26"/>
      <c r="B26"/>
      <c r="C26"/>
      <c r="D26"/>
      <c r="E26" s="13">
        <f t="shared" si="9"/>
        <v>23</v>
      </c>
      <c r="F26" s="11">
        <f t="shared" si="1"/>
        <v>2.6583413395424307</v>
      </c>
      <c r="G26" s="11">
        <f>-(m_1-F26-Psi*ypot_1*R26)/(Theta*Lambda1)-iext_1/Lambda1+sbar_1</f>
        <v>82.613846521655731</v>
      </c>
      <c r="H26" s="11">
        <f t="shared" si="2"/>
        <v>2098.5784353743575</v>
      </c>
      <c r="I26" s="11">
        <f>MAX(0,-1/Theta*(m_0-F26-Psi*ypot_0))</f>
        <v>5.3166826790848631</v>
      </c>
      <c r="J26" s="11">
        <f>Mi*(H26-ypot_1*R26)</f>
        <v>1.669663403843922</v>
      </c>
      <c r="K26" s="12">
        <f t="shared" si="3"/>
        <v>2.3166826790848631</v>
      </c>
      <c r="L26"/>
      <c r="M26">
        <f t="shared" ca="1" si="6"/>
        <v>9.5036326783421322E-3</v>
      </c>
      <c r="N26">
        <f t="shared" ca="1" si="7"/>
        <v>3.3405254996338077E-2</v>
      </c>
      <c r="O26">
        <f t="shared" ca="1" si="8"/>
        <v>1.0339694756436024</v>
      </c>
      <c r="P26" s="1">
        <f t="shared" si="4"/>
        <v>31.077215439863608</v>
      </c>
      <c r="Q26" s="5">
        <f t="shared" si="5"/>
        <v>3.6470192752409414</v>
      </c>
      <c r="R26" s="1">
        <v>0.96580604749498267</v>
      </c>
    </row>
    <row r="27" spans="1:18" ht="13.9" customHeight="1" x14ac:dyDescent="0.25">
      <c r="A27" t="s">
        <v>33</v>
      </c>
      <c r="B27" t="s">
        <v>34</v>
      </c>
      <c r="C27" t="s">
        <v>35</v>
      </c>
      <c r="D27"/>
      <c r="E27" s="13">
        <f t="shared" si="9"/>
        <v>24</v>
      </c>
      <c r="F27" s="11">
        <f t="shared" si="1"/>
        <v>4.3280047433863524</v>
      </c>
      <c r="G27" s="11">
        <f>-(m_1-F27-Psi*ypot_1*R27)/(Theta*Lambda1)-iext_1/Lambda1+sbar_1</f>
        <v>74.48610167003217</v>
      </c>
      <c r="H27" s="11">
        <f t="shared" si="2"/>
        <v>1902.2963375842392</v>
      </c>
      <c r="I27" s="11">
        <f>MAX(0,-1/Theta*(m_0-F27-Psi*ypot_0))</f>
        <v>8.6560094867727173</v>
      </c>
      <c r="J27" s="11">
        <f>Mi*(H27-ypot_1*R27)</f>
        <v>-0.56187226992892647</v>
      </c>
      <c r="K27" s="12">
        <f t="shared" si="3"/>
        <v>5.6560094867727173</v>
      </c>
      <c r="L27"/>
      <c r="M27">
        <f t="shared" ca="1" si="6"/>
        <v>6.3216901155943228E-3</v>
      </c>
      <c r="N27">
        <f t="shared" ca="1" si="7"/>
        <v>3.638641961229859E-2</v>
      </c>
      <c r="O27">
        <f t="shared" ca="1" si="8"/>
        <v>1.0370565080479681</v>
      </c>
      <c r="P27" s="1">
        <f t="shared" si="4"/>
        <v>17.21026340921987</v>
      </c>
      <c r="Q27" s="5">
        <f t="shared" si="5"/>
        <v>9.2178817567016438</v>
      </c>
      <c r="R27" s="1">
        <v>0.97924178228856595</v>
      </c>
    </row>
    <row r="28" spans="1:18" ht="13.9" customHeight="1" x14ac:dyDescent="0.3">
      <c r="A28" t="s">
        <v>37</v>
      </c>
      <c r="B28">
        <f>IF((Beta1*Mi+Beta2*Mi/Theta)^2+4*Beta1*Mi/Theta&gt;0,(-(Beta1*Mi+Beta2*Mi/Theta)-((Beta1*Mi+Beta2*Mi/Theta)^2+4*Beta1*Mi/Theta)^0.5)/2,(-(Beta1*Mi+Beta2*Mi/Theta))/2)</f>
        <v>-0.74146935914218415</v>
      </c>
      <c r="C28">
        <f>IF((Beta1*Mi+Beta2*Mi/Theta)^2+4*Beta1*Mi/Theta&gt;0, 0, -SQRT(-(Beta1*Mi+Beta2*Mi/Theta)^2+4*Beta1*Mi/Theta)/2)</f>
        <v>0</v>
      </c>
      <c r="D28"/>
      <c r="E28" s="13">
        <f t="shared" si="9"/>
        <v>25</v>
      </c>
      <c r="F28" s="11">
        <f t="shared" si="1"/>
        <v>3.766132473457426</v>
      </c>
      <c r="G28" s="11">
        <f>-(m_1-F28-Psi*ypot_1*R28)/(Theta*Lambda1)-iext_1/Lambda1+sbar_1</f>
        <v>76.238719885841931</v>
      </c>
      <c r="H28" s="11">
        <f t="shared" si="2"/>
        <v>1948.6985217529984</v>
      </c>
      <c r="I28" s="11">
        <f>MAX(0,-1/Theta*(m_0-F28-Psi*ypot_0))</f>
        <v>7.5322649469148644</v>
      </c>
      <c r="J28" s="11">
        <f>Mi*(H28-ypot_1*R28)</f>
        <v>-8.0273611697377872E-2</v>
      </c>
      <c r="K28" s="12">
        <f t="shared" si="3"/>
        <v>4.5322649469148644</v>
      </c>
      <c r="L28"/>
      <c r="M28">
        <f t="shared" ca="1" si="6"/>
        <v>-1.6938262547347746E-2</v>
      </c>
      <c r="N28">
        <f t="shared" ca="1" si="7"/>
        <v>1.5809515103720986E-2</v>
      </c>
      <c r="O28">
        <f t="shared" ca="1" si="8"/>
        <v>1.015935146672537</v>
      </c>
      <c r="P28" s="1">
        <f t="shared" si="4"/>
        <v>20.243239031858174</v>
      </c>
      <c r="Q28" s="5">
        <f t="shared" si="5"/>
        <v>7.6125385586122425</v>
      </c>
      <c r="R28" s="1">
        <v>0.97836294146136815</v>
      </c>
    </row>
    <row r="29" spans="1:18" ht="13.9" customHeight="1" x14ac:dyDescent="0.3">
      <c r="A29" t="s">
        <v>38</v>
      </c>
      <c r="B29">
        <f>IF((Beta1*Mi+Beta2*Mi/Theta)^2+4*Beta1*Mi/Theta&gt;0,(-(Beta1*Mi+Beta2*Mi/Theta)+((Beta1*Mi+Beta2*Mi/Theta)^2+4*Beta1*Mi/Theta)^0.5)/2,(-(Beta1*Mi+Beta2*Mi/Theta))/2)</f>
        <v>0.53946935914218419</v>
      </c>
      <c r="C29">
        <f>IF((Beta1*Mi+Beta2*Mi/Theta)^2+4*Beta1*Mi/Theta&gt;0, 0, +SQRT(-(Beta1*Mi+Beta2*Mi/Theta)^2+4*Beta1*Mi/Theta)/2)</f>
        <v>0</v>
      </c>
      <c r="D29"/>
      <c r="E29" s="13">
        <f t="shared" si="9"/>
        <v>26</v>
      </c>
      <c r="F29" s="11">
        <f t="shared" si="1"/>
        <v>3.6858588617600483</v>
      </c>
      <c r="G29" s="11">
        <f>-(m_1-F29-Psi*ypot_1*R29)/(Theta*Lambda1)-iext_1/Lambda1+sbar_1</f>
        <v>76.41373414515877</v>
      </c>
      <c r="H29" s="11">
        <f t="shared" si="2"/>
        <v>1953.8203338956223</v>
      </c>
      <c r="I29" s="11">
        <f>MAX(0,-1/Theta*(m_0-F29-Psi*ypot_0))</f>
        <v>7.3717177235201063</v>
      </c>
      <c r="J29" s="11">
        <f>Mi*(H29-ypot_1*R29)</f>
        <v>-3.21334415409774E-2</v>
      </c>
      <c r="K29" s="12">
        <f t="shared" si="3"/>
        <v>4.3717177235201063</v>
      </c>
      <c r="L29"/>
      <c r="M29">
        <f t="shared" ca="1" si="6"/>
        <v>8.4907487914018236E-3</v>
      </c>
      <c r="N29">
        <f t="shared" ca="1" si="7"/>
        <v>2.2719312384750712E-2</v>
      </c>
      <c r="O29">
        <f t="shared" ca="1" si="8"/>
        <v>1.0229793616079985</v>
      </c>
      <c r="P29" s="1">
        <f t="shared" si="4"/>
        <v>20.731595270218829</v>
      </c>
      <c r="Q29" s="5">
        <f t="shared" si="5"/>
        <v>7.4038511650610834</v>
      </c>
      <c r="R29" s="1">
        <v>0.97851683902485997</v>
      </c>
    </row>
    <row r="30" spans="1:18" ht="13.9" customHeight="1" x14ac:dyDescent="0.25">
      <c r="A30"/>
      <c r="B30"/>
      <c r="C30"/>
      <c r="D30"/>
      <c r="E30" s="13">
        <f t="shared" si="9"/>
        <v>27</v>
      </c>
      <c r="F30" s="11">
        <f t="shared" si="1"/>
        <v>3.6537254202190708</v>
      </c>
      <c r="G30" s="11">
        <f>-(m_1-F30-Psi*ypot_1*R30)/(Theta*Lambda1)-iext_1/Lambda1+sbar_1</f>
        <v>75.591446874257045</v>
      </c>
      <c r="H30" s="11">
        <f t="shared" si="2"/>
        <v>1938.0236839967156</v>
      </c>
      <c r="I30" s="11">
        <f>MAX(0,-1/Theta*(m_0-F30-Psi*ypot_0))</f>
        <v>7.3074508404381504</v>
      </c>
      <c r="J30" s="11">
        <f>Mi*(H30-ypot_1*R30)</f>
        <v>-0.2574967104168695</v>
      </c>
      <c r="K30" s="12">
        <f t="shared" si="3"/>
        <v>4.3074508404381504</v>
      </c>
      <c r="L30"/>
      <c r="M30">
        <f t="shared" ca="1" si="6"/>
        <v>-1.7026202739009937E-2</v>
      </c>
      <c r="N30">
        <f t="shared" ca="1" si="7"/>
        <v>3.4211784072657042E-3</v>
      </c>
      <c r="O30">
        <f t="shared" ca="1" si="8"/>
        <v>1.0034270373176668</v>
      </c>
      <c r="P30" s="1">
        <f t="shared" si="4"/>
        <v>20.688869080294687</v>
      </c>
      <c r="Q30" s="5">
        <f t="shared" si="5"/>
        <v>7.5649475508550204</v>
      </c>
      <c r="R30" s="1">
        <v>0.98188667751920122</v>
      </c>
    </row>
    <row r="31" spans="1:18" ht="13.9" customHeight="1" x14ac:dyDescent="0.25">
      <c r="A31" t="s">
        <v>36</v>
      </c>
      <c r="B31"/>
      <c r="C31"/>
      <c r="D31"/>
      <c r="E31" s="13">
        <f t="shared" si="9"/>
        <v>28</v>
      </c>
      <c r="F31" s="11">
        <f t="shared" si="1"/>
        <v>3.3962287098022013</v>
      </c>
      <c r="G31" s="11">
        <f>-(m_1-F31-Psi*ypot_1*R31)/(Theta*Lambda1)-iext_1/Lambda1+sbar_1</f>
        <v>72.87017453343131</v>
      </c>
      <c r="H31" s="11">
        <f t="shared" si="2"/>
        <v>1888.7996707306218</v>
      </c>
      <c r="I31" s="11">
        <f>MAX(0,-1/Theta*(m_0-F31-Psi*ypot_0))</f>
        <v>6.7924574196044034</v>
      </c>
      <c r="J31" s="11">
        <f>Mi*(H31-ypot_1*R31)</f>
        <v>-1.0030101910215217</v>
      </c>
      <c r="K31" s="12">
        <f t="shared" si="3"/>
        <v>3.7924574196044034</v>
      </c>
      <c r="L31"/>
      <c r="M31">
        <f t="shared" ca="1" si="6"/>
        <v>5.8545665390420387E-3</v>
      </c>
      <c r="N31">
        <f t="shared" ca="1" si="7"/>
        <v>8.9336271055811718E-3</v>
      </c>
      <c r="O31">
        <f t="shared" ca="1" si="8"/>
        <v>1.0089736510497596</v>
      </c>
      <c r="P31" s="1">
        <f t="shared" si="4"/>
        <v>21.45620355988196</v>
      </c>
      <c r="Q31" s="5">
        <f t="shared" si="5"/>
        <v>7.7954676106259253</v>
      </c>
      <c r="R31" s="1">
        <v>0.99455034491638694</v>
      </c>
    </row>
    <row r="32" spans="1:18" ht="13.9" customHeight="1" x14ac:dyDescent="0.3">
      <c r="A32" t="s">
        <v>39</v>
      </c>
      <c r="B32">
        <f>IF(C28=0,ABS(1+B28),SQRT((1+B28)^2+C28^2))</f>
        <v>0.25853064085781585</v>
      </c>
      <c r="C32"/>
      <c r="D32"/>
      <c r="E32" s="13">
        <f t="shared" si="9"/>
        <v>29</v>
      </c>
      <c r="F32" s="11">
        <f t="shared" si="1"/>
        <v>2.3932185187806798</v>
      </c>
      <c r="G32" s="11">
        <f>-(m_1-F32-Psi*ypot_1*R32)/(Theta*Lambda1)-iext_1/Lambda1+sbar_1</f>
        <v>74.652065771496311</v>
      </c>
      <c r="H32" s="11">
        <f t="shared" si="2"/>
        <v>1944.6983013505562</v>
      </c>
      <c r="I32" s="11">
        <f>MAX(0,-1/Theta*(m_0-F32-Psi*ypot_0))</f>
        <v>4.7864370375613703</v>
      </c>
      <c r="J32" s="11">
        <f>Mi*(H32-ypot_1*R32)</f>
        <v>-0.51250414759156682</v>
      </c>
      <c r="K32" s="12">
        <f t="shared" si="3"/>
        <v>1.7864370375613703</v>
      </c>
      <c r="L32"/>
      <c r="M32">
        <f t="shared" ca="1" si="6"/>
        <v>-3.7736288490994468E-3</v>
      </c>
      <c r="N32">
        <f t="shared" ca="1" si="7"/>
        <v>4.2666355459236079E-3</v>
      </c>
      <c r="O32">
        <f t="shared" ca="1" si="8"/>
        <v>1.0042757505942836</v>
      </c>
      <c r="P32" s="1">
        <f t="shared" si="4"/>
        <v>31.193167354199971</v>
      </c>
      <c r="Q32" s="5">
        <f t="shared" si="5"/>
        <v>5.2989411851529375</v>
      </c>
      <c r="R32" s="1">
        <v>0.99797435805485646</v>
      </c>
    </row>
    <row r="33" spans="1:18" ht="13.9" customHeight="1" thickBot="1" x14ac:dyDescent="0.35">
      <c r="A33" t="s">
        <v>40</v>
      </c>
      <c r="B33">
        <f>IF(C29=0,ABS(1+B29),SQRT((1+B29)^2+C29^2))</f>
        <v>1.5394693591421842</v>
      </c>
      <c r="C33"/>
      <c r="D33"/>
      <c r="E33" s="14">
        <f t="shared" si="9"/>
        <v>30</v>
      </c>
      <c r="F33" s="15">
        <f t="shared" si="1"/>
        <v>1.880714371189113</v>
      </c>
      <c r="G33" s="11">
        <f>-(m_1-F33-Psi*ypot_1*R33)/(Theta*Lambda1)-iext_1/Lambda1+sbar_1</f>
        <v>79.002587025082434</v>
      </c>
      <c r="H33" s="11">
        <f t="shared" si="2"/>
        <v>2042.0613102036286</v>
      </c>
      <c r="I33" s="11">
        <f>MAX(0,-1/Theta*(m_0-F33-Psi*ypot_0))</f>
        <v>3.7614287423782287</v>
      </c>
      <c r="J33" s="11">
        <f>Mi*(H33-ypot_1*R33)</f>
        <v>0.68120293200393689</v>
      </c>
      <c r="K33" s="16">
        <f t="shared" si="3"/>
        <v>0.76142874237822866</v>
      </c>
      <c r="L33"/>
      <c r="M33">
        <f t="shared" ca="1" si="6"/>
        <v>8.2536720051846462E-3</v>
      </c>
      <c r="N33">
        <f t="shared" ca="1" si="7"/>
        <v>1.2093643996515894E-2</v>
      </c>
      <c r="O33">
        <f t="shared" ca="1" si="8"/>
        <v>1.0121670677976398</v>
      </c>
      <c r="P33" s="1">
        <f t="shared" si="4"/>
        <v>42.006690774172014</v>
      </c>
      <c r="Q33" s="5">
        <f t="shared" si="5"/>
        <v>3.0802258103742917</v>
      </c>
      <c r="R33" s="1">
        <v>0.98697050850161749</v>
      </c>
    </row>
    <row r="34" spans="1:18" ht="13.9" customHeight="1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8" ht="13.9" customHeight="1" x14ac:dyDescent="0.25">
      <c r="A35" s="9" t="s">
        <v>46</v>
      </c>
      <c r="B35" s="10">
        <v>0.9</v>
      </c>
      <c r="E35" s="8"/>
      <c r="F35" s="6"/>
      <c r="G35" s="6"/>
      <c r="H35" s="7"/>
      <c r="I35" s="6"/>
      <c r="J35" s="6"/>
      <c r="K35" s="6"/>
    </row>
    <row r="36" spans="1:18" ht="13.9" customHeight="1" x14ac:dyDescent="0.25">
      <c r="A36" s="9" t="s">
        <v>47</v>
      </c>
      <c r="B36" s="10">
        <v>0.01</v>
      </c>
      <c r="E36" s="8"/>
      <c r="F36" s="6"/>
      <c r="G36" s="6"/>
      <c r="H36" s="7"/>
      <c r="I36" s="6"/>
      <c r="J36" s="6"/>
      <c r="K36" s="6"/>
    </row>
    <row r="37" spans="1:18" ht="13.9" customHeight="1" x14ac:dyDescent="0.2">
      <c r="E37" s="8"/>
      <c r="F37" s="6"/>
      <c r="G37" s="6"/>
      <c r="H37" s="7"/>
      <c r="I37" s="6"/>
      <c r="J37" s="6"/>
      <c r="K37" s="6"/>
    </row>
    <row r="38" spans="1:18" ht="13.9" customHeight="1" x14ac:dyDescent="0.2">
      <c r="D38" s="3"/>
      <c r="E38" s="8"/>
      <c r="F38" s="6"/>
      <c r="G38" s="6"/>
      <c r="H38" s="7"/>
      <c r="I38" s="6"/>
      <c r="J38" s="6"/>
      <c r="K38" s="6"/>
    </row>
    <row r="39" spans="1:18" ht="13.9" customHeight="1" x14ac:dyDescent="0.2">
      <c r="D39" s="5"/>
      <c r="E39" s="8"/>
      <c r="F39" s="6"/>
      <c r="G39" s="6"/>
      <c r="H39" s="7"/>
      <c r="I39" s="6"/>
      <c r="J39" s="6"/>
      <c r="K39" s="6"/>
    </row>
    <row r="40" spans="1:18" ht="13.9" customHeight="1" x14ac:dyDescent="0.2">
      <c r="D40" s="5"/>
      <c r="E40" s="8"/>
      <c r="F40" s="6"/>
      <c r="G40" s="6"/>
      <c r="H40" s="7"/>
      <c r="I40" s="6"/>
      <c r="J40" s="6"/>
      <c r="K40" s="6"/>
    </row>
    <row r="41" spans="1:18" ht="13.9" customHeight="1" x14ac:dyDescent="0.2">
      <c r="E41" s="8"/>
      <c r="F41" s="6"/>
      <c r="G41" s="6"/>
      <c r="H41" s="7"/>
      <c r="I41" s="6"/>
      <c r="J41" s="6"/>
      <c r="K41" s="6"/>
    </row>
    <row r="42" spans="1:18" x14ac:dyDescent="0.2">
      <c r="E42" s="8"/>
      <c r="F42" s="6"/>
      <c r="G42" s="6"/>
      <c r="H42" s="7"/>
      <c r="I42" s="6"/>
      <c r="J42" s="6"/>
      <c r="K42" s="6"/>
    </row>
    <row r="43" spans="1:18" x14ac:dyDescent="0.2">
      <c r="E43" s="8"/>
      <c r="F43" s="6"/>
      <c r="G43" s="6"/>
      <c r="H43" s="7"/>
      <c r="I43" s="6"/>
      <c r="J43" s="6"/>
      <c r="K43" s="6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43"/>
  <sheetViews>
    <sheetView tabSelected="1" workbookViewId="0">
      <selection activeCell="S26" sqref="S26"/>
    </sheetView>
  </sheetViews>
  <sheetFormatPr defaultColWidth="11.42578125" defaultRowHeight="12.75" x14ac:dyDescent="0.2"/>
  <cols>
    <col min="1" max="1" width="31.7109375" style="1" customWidth="1"/>
    <col min="2" max="2" width="13.85546875" style="1" customWidth="1"/>
    <col min="3" max="3" width="16.28515625" style="1" customWidth="1"/>
    <col min="4" max="4" width="3" style="1" customWidth="1"/>
    <col min="5" max="6" width="10.28515625" style="1" customWidth="1"/>
    <col min="7" max="7" width="10.7109375" style="1" customWidth="1"/>
    <col min="8" max="8" width="12.42578125" style="1" customWidth="1"/>
    <col min="9" max="9" width="9.5703125" style="1" customWidth="1"/>
    <col min="10" max="10" width="10.140625" style="1" customWidth="1"/>
    <col min="11" max="11" width="9.7109375" style="1" customWidth="1"/>
    <col min="12" max="12" width="6.28515625" style="1" customWidth="1"/>
    <col min="16" max="16384" width="11.42578125" style="1"/>
  </cols>
  <sheetData>
    <row r="1" spans="1:59" ht="13.9" customHeight="1" x14ac:dyDescent="0.2">
      <c r="A1" t="s">
        <v>53</v>
      </c>
      <c r="B1"/>
      <c r="C1"/>
      <c r="D1"/>
      <c r="E1"/>
      <c r="F1"/>
      <c r="G1"/>
      <c r="H1"/>
      <c r="I1"/>
      <c r="J1"/>
      <c r="K1"/>
      <c r="R1" s="1" t="s">
        <v>50</v>
      </c>
      <c r="BD1" s="2"/>
    </row>
    <row r="2" spans="1:59" ht="13.9" customHeight="1" x14ac:dyDescent="0.2">
      <c r="A2" t="s">
        <v>0</v>
      </c>
      <c r="B2"/>
      <c r="C2"/>
      <c r="D2"/>
      <c r="E2" t="s">
        <v>12</v>
      </c>
      <c r="F2" t="s">
        <v>4</v>
      </c>
      <c r="G2" t="s">
        <v>9</v>
      </c>
      <c r="H2" t="s">
        <v>5</v>
      </c>
      <c r="I2" t="s">
        <v>6</v>
      </c>
      <c r="J2" t="s">
        <v>41</v>
      </c>
      <c r="K2" t="s">
        <v>42</v>
      </c>
      <c r="M2" t="s">
        <v>43</v>
      </c>
      <c r="N2" t="s">
        <v>44</v>
      </c>
      <c r="O2" t="s">
        <v>45</v>
      </c>
      <c r="P2" s="1" t="s">
        <v>48</v>
      </c>
      <c r="Q2" s="1" t="s">
        <v>49</v>
      </c>
      <c r="R2" s="1" t="s">
        <v>45</v>
      </c>
      <c r="BD2" s="3"/>
      <c r="BE2" s="3"/>
      <c r="BF2" s="3"/>
    </row>
    <row r="3" spans="1:59" ht="13.9" customHeight="1" x14ac:dyDescent="0.25">
      <c r="A3" t="s">
        <v>13</v>
      </c>
      <c r="B3" t="s">
        <v>14</v>
      </c>
      <c r="C3"/>
      <c r="D3"/>
      <c r="E3" s="13">
        <v>0</v>
      </c>
      <c r="F3" s="11">
        <f>pbar_0</f>
        <v>1.5</v>
      </c>
      <c r="G3" s="11">
        <f>sbar_0</f>
        <v>76.515000000000001</v>
      </c>
      <c r="H3" s="11">
        <f>Beta0_0+Beta1*(G3-F3+pext_0)+(Beta2/Theta)*(m_0-F3-Psi*ypot_0)</f>
        <v>2000</v>
      </c>
      <c r="I3" s="11">
        <f>MAX(0,-1/Theta*(m_0-F3-Psi*ypot_0))</f>
        <v>3</v>
      </c>
      <c r="J3" s="11">
        <f t="shared" ref="J3" si="0">Mi*(H3-ypot_0)</f>
        <v>0</v>
      </c>
      <c r="K3" s="12">
        <f>I3-iext_0 * R3</f>
        <v>0</v>
      </c>
      <c r="L3"/>
      <c r="M3">
        <v>0</v>
      </c>
      <c r="N3">
        <v>0</v>
      </c>
      <c r="O3">
        <v>1</v>
      </c>
      <c r="P3" s="1">
        <f>G3/F3</f>
        <v>51.01</v>
      </c>
      <c r="Q3" s="5">
        <f>I3-J3</f>
        <v>3</v>
      </c>
      <c r="R3" s="1">
        <v>1</v>
      </c>
    </row>
    <row r="4" spans="1:59" ht="13.9" customHeight="1" x14ac:dyDescent="0.25">
      <c r="A4" t="s">
        <v>17</v>
      </c>
      <c r="B4" t="s">
        <v>15</v>
      </c>
      <c r="C4" t="s">
        <v>0</v>
      </c>
      <c r="D4"/>
      <c r="E4" s="13">
        <v>1</v>
      </c>
      <c r="F4" s="11">
        <f t="shared" ref="F4:F33" si="1">F3+J3</f>
        <v>1.5</v>
      </c>
      <c r="G4" s="11">
        <f>-(m_1-F4-Psi*ypot_1*R4)/(Theta*Lambda1)-iext_1/Lambda1+sbar_1</f>
        <v>71.770910734889881</v>
      </c>
      <c r="H4" s="11">
        <f t="shared" ref="H4:H33" si="2">Beta0_1+Beta1*(G4-F4+pext_1)-Beta2*I4</f>
        <v>1905.1182146977976</v>
      </c>
      <c r="I4" s="11">
        <f>MAX(0,-1/Theta*(m_0-F4-Psi*ypot_0))</f>
        <v>3</v>
      </c>
      <c r="J4" s="11">
        <f>Mi*(H4-ypot_1)</f>
        <v>-0.94881785302202393</v>
      </c>
      <c r="K4" s="12">
        <f>I4-iext_0 * R4</f>
        <v>-5.2763952406717607E-2</v>
      </c>
      <c r="L4"/>
      <c r="M4">
        <f ca="1">NORMINV(RAND(), 0, $B$36)</f>
        <v>4.4972188824560959E-3</v>
      </c>
      <c r="N4">
        <f ca="1">$B$35*N3+M4</f>
        <v>4.4972188824560959E-3</v>
      </c>
      <c r="O4">
        <f ca="1">EXP(N4)</f>
        <v>1.0045073465477121</v>
      </c>
      <c r="P4" s="1">
        <f t="shared" ref="P4:P33" si="3">G4/F4</f>
        <v>47.847273823259918</v>
      </c>
      <c r="Q4" s="5">
        <f t="shared" ref="Q4:Q33" si="4">I4-J4</f>
        <v>3.9488178530220237</v>
      </c>
      <c r="R4" s="1">
        <v>1.0175879841355726</v>
      </c>
    </row>
    <row r="5" spans="1:59" ht="13.9" customHeight="1" x14ac:dyDescent="0.25">
      <c r="A5" t="s">
        <v>18</v>
      </c>
      <c r="B5" t="s">
        <v>16</v>
      </c>
      <c r="C5"/>
      <c r="D5"/>
      <c r="E5" s="13">
        <v>2</v>
      </c>
      <c r="F5" s="11">
        <f t="shared" si="1"/>
        <v>0.55118214697797607</v>
      </c>
      <c r="G5" s="11">
        <f>-(m_1-F5-Psi*ypot_1*R5)/(Theta*Lambda1)-iext_1/Lambda1+sbar_1</f>
        <v>74.845649389270008</v>
      </c>
      <c r="H5" s="11">
        <f t="shared" si="2"/>
        <v>1985.7791084164451</v>
      </c>
      <c r="I5" s="11">
        <f>MAX(0,-1/Theta*(m_0-F5-Psi*ypot_0))</f>
        <v>1.1023642939559579</v>
      </c>
      <c r="J5" s="11">
        <f>Mi*(H5-ypot_1)</f>
        <v>-0.14220891583554932</v>
      </c>
      <c r="K5" s="12">
        <f>I5-iext_0 * R5</f>
        <v>-1.9446668265475262</v>
      </c>
      <c r="L5"/>
      <c r="M5">
        <f t="shared" ref="M5:M33" ca="1" si="5">NORMINV(RAND(), 0, $B$36)</f>
        <v>-5.8251674350647429E-3</v>
      </c>
      <c r="N5">
        <f t="shared" ref="N5:N33" ca="1" si="6">$B$35*N4+M5</f>
        <v>-1.7776704408542562E-3</v>
      </c>
      <c r="O5">
        <f t="shared" ref="O5:O33" ca="1" si="7">EXP(N5)</f>
        <v>0.99822390867938682</v>
      </c>
      <c r="P5" s="1">
        <f t="shared" si="3"/>
        <v>135.79113510775716</v>
      </c>
      <c r="Q5" s="5">
        <f t="shared" si="4"/>
        <v>1.2445732097915072</v>
      </c>
      <c r="R5" s="1">
        <v>1.0156770401678281</v>
      </c>
    </row>
    <row r="6" spans="1:59" ht="13.9" customHeight="1" x14ac:dyDescent="0.25">
      <c r="A6" t="s">
        <v>19</v>
      </c>
      <c r="B6"/>
      <c r="C6"/>
      <c r="D6"/>
      <c r="E6" s="13">
        <f>E5+1</f>
        <v>3</v>
      </c>
      <c r="F6" s="11">
        <f t="shared" si="1"/>
        <v>0.40897323114242679</v>
      </c>
      <c r="G6" s="11">
        <f>-(m_1-F6-Psi*ypot_1*R6)/(Theta*Lambda1)-iext_1/Lambda1+sbar_1</f>
        <v>75.979948899339362</v>
      </c>
      <c r="H6" s="11">
        <f t="shared" si="2"/>
        <v>2011.3377187177102</v>
      </c>
      <c r="I6" s="11">
        <f>MAX(0,-1/Theta*(m_0-F6-Psi*ypot_0))</f>
        <v>0.81794646228485135</v>
      </c>
      <c r="J6" s="11">
        <f>Mi*(H6-ypot_1)</f>
        <v>0.11337718717710232</v>
      </c>
      <c r="K6" s="12">
        <f>I6-iext_0 * R6</f>
        <v>-2.2207352007316032</v>
      </c>
      <c r="L6"/>
      <c r="M6">
        <f t="shared" ca="1" si="5"/>
        <v>-2.1957397944253169E-2</v>
      </c>
      <c r="N6">
        <f t="shared" ca="1" si="6"/>
        <v>-2.3557301341021998E-2</v>
      </c>
      <c r="O6">
        <f t="shared" ca="1" si="7"/>
        <v>0.97671800581378043</v>
      </c>
      <c r="P6" s="1">
        <f t="shared" si="3"/>
        <v>185.78220556660102</v>
      </c>
      <c r="Q6" s="5">
        <f t="shared" si="4"/>
        <v>0.70456927510774903</v>
      </c>
      <c r="R6" s="1">
        <v>1.0128938876721516</v>
      </c>
    </row>
    <row r="7" spans="1:59" ht="13.9" customHeight="1" x14ac:dyDescent="0.25">
      <c r="A7" t="s">
        <v>20</v>
      </c>
      <c r="B7"/>
      <c r="C7"/>
      <c r="D7"/>
      <c r="E7" s="13">
        <f t="shared" ref="E7:E33" si="8">E6+1</f>
        <v>4</v>
      </c>
      <c r="F7" s="11">
        <f t="shared" si="1"/>
        <v>0.52235041831952911</v>
      </c>
      <c r="G7" s="11">
        <f>-(m_1-F7-Psi*ypot_1*R7)/(Theta*Lambda1)-iext_1/Lambda1+sbar_1</f>
        <v>74.470224083689303</v>
      </c>
      <c r="H7" s="11">
        <f t="shared" si="2"/>
        <v>1978.8530032237315</v>
      </c>
      <c r="I7" s="11">
        <f>MAX(0,-1/Theta*(m_0-F7-Psi*ypot_0))</f>
        <v>1.0447008366390662</v>
      </c>
      <c r="J7" s="11">
        <f>Mi*(H7-ypot_1)</f>
        <v>-0.21146996776268454</v>
      </c>
      <c r="K7" s="12">
        <f>I7-iext_0 * R7</f>
        <v>-2.0073707311351914</v>
      </c>
      <c r="L7"/>
      <c r="M7">
        <f t="shared" ca="1" si="5"/>
        <v>-4.0967150555528773E-3</v>
      </c>
      <c r="N7">
        <f t="shared" ca="1" si="6"/>
        <v>-2.5298286262472679E-2</v>
      </c>
      <c r="O7">
        <f t="shared" ca="1" si="7"/>
        <v>0.97501903386455802</v>
      </c>
      <c r="P7" s="1">
        <f t="shared" si="3"/>
        <v>142.56755900238375</v>
      </c>
      <c r="Q7" s="5">
        <f t="shared" si="4"/>
        <v>1.2561708044017508</v>
      </c>
      <c r="R7" s="1">
        <v>1.0173571892580859</v>
      </c>
    </row>
    <row r="8" spans="1:59" ht="13.9" customHeight="1" x14ac:dyDescent="0.25">
      <c r="A8"/>
      <c r="B8"/>
      <c r="C8"/>
      <c r="D8"/>
      <c r="E8" s="13">
        <f t="shared" si="8"/>
        <v>5</v>
      </c>
      <c r="F8" s="11">
        <f t="shared" si="1"/>
        <v>0.31088045055684455</v>
      </c>
      <c r="G8" s="11">
        <f>-(m_1-F8-Psi*ypot_1*R8)/(Theta*Lambda1)-iext_1/Lambda1+sbar_1</f>
        <v>74.557559097567648</v>
      </c>
      <c r="H8" s="11">
        <f t="shared" si="2"/>
        <v>1984.8713968501047</v>
      </c>
      <c r="I8" s="11">
        <f>MAX(0,-1/Theta*(m_0-F8-Psi*ypot_0))</f>
        <v>0.62176090111370286</v>
      </c>
      <c r="J8" s="11">
        <f>Mi*(H8-ypot_1)</f>
        <v>-0.15128603149895298</v>
      </c>
      <c r="K8" s="12">
        <f>I8-iext_0 * R8</f>
        <v>-2.4356834221418699</v>
      </c>
      <c r="L8"/>
      <c r="M8">
        <f t="shared" ca="1" si="5"/>
        <v>-1.5574784974865547E-2</v>
      </c>
      <c r="N8">
        <f t="shared" ca="1" si="6"/>
        <v>-3.8343242611090955E-2</v>
      </c>
      <c r="O8">
        <f t="shared" ca="1" si="7"/>
        <v>0.96238255349239743</v>
      </c>
      <c r="P8" s="1">
        <f t="shared" si="3"/>
        <v>239.82710705681632</v>
      </c>
      <c r="Q8" s="5">
        <f t="shared" si="4"/>
        <v>0.77304693261265589</v>
      </c>
      <c r="R8" s="1">
        <v>1.0191481077518576</v>
      </c>
      <c r="BG8" s="4"/>
    </row>
    <row r="9" spans="1:59" ht="13.9" customHeight="1" x14ac:dyDescent="0.25">
      <c r="A9" t="s">
        <v>21</v>
      </c>
      <c r="B9"/>
      <c r="C9"/>
      <c r="D9"/>
      <c r="E9" s="13">
        <f t="shared" si="8"/>
        <v>6</v>
      </c>
      <c r="F9" s="11">
        <f t="shared" si="1"/>
        <v>0.15959441905789157</v>
      </c>
      <c r="G9" s="11">
        <f>-(m_1-F9-Psi*ypot_1*R9)/(Theta*Lambda1)-iext_1/Lambda1+sbar_1</f>
        <v>75.348285875969651</v>
      </c>
      <c r="H9" s="11">
        <f t="shared" si="2"/>
        <v>2003.7419102544236</v>
      </c>
      <c r="I9" s="11">
        <f>MAX(0,-1/Theta*(m_0-F9-Psi*ypot_0))</f>
        <v>0.31918883811579235</v>
      </c>
      <c r="J9" s="11">
        <f>Mi*(H9-ypot_1)</f>
        <v>3.7419102544236013E-2</v>
      </c>
      <c r="K9" s="12">
        <f>I9-iext_0 * R9</f>
        <v>-2.7339995709201745</v>
      </c>
      <c r="L9"/>
      <c r="M9">
        <f t="shared" ca="1" si="5"/>
        <v>4.7638737259839076E-3</v>
      </c>
      <c r="N9">
        <f t="shared" ca="1" si="6"/>
        <v>-2.9745044623997956E-2</v>
      </c>
      <c r="O9">
        <f t="shared" ca="1" si="7"/>
        <v>0.9706929853976527</v>
      </c>
      <c r="P9" s="1">
        <f t="shared" si="3"/>
        <v>472.12356372335097</v>
      </c>
      <c r="Q9" s="5">
        <f t="shared" si="4"/>
        <v>0.28176973557155632</v>
      </c>
      <c r="R9" s="1">
        <v>1.0177294696786556</v>
      </c>
    </row>
    <row r="10" spans="1:59" ht="13.9" customHeight="1" x14ac:dyDescent="0.25">
      <c r="A10" t="s">
        <v>1</v>
      </c>
      <c r="B10">
        <v>0.05</v>
      </c>
      <c r="C10"/>
      <c r="D10"/>
      <c r="E10" s="13">
        <f t="shared" si="8"/>
        <v>7</v>
      </c>
      <c r="F10" s="11">
        <f t="shared" si="1"/>
        <v>0.19701352160212759</v>
      </c>
      <c r="G10" s="11">
        <f>-(m_1-F10-Psi*ypot_1*R10)/(Theta*Lambda1)-iext_1/Lambda1+sbar_1</f>
        <v>77.115384649554684</v>
      </c>
      <c r="H10" s="11">
        <f t="shared" si="2"/>
        <v>2038.3280198547307</v>
      </c>
      <c r="I10" s="11">
        <f>MAX(0,-1/Theta*(m_0-F10-Psi*ypot_0))</f>
        <v>0.39402704320426096</v>
      </c>
      <c r="J10" s="11">
        <f>Mi*(H10-ypot_1)</f>
        <v>0.38328019854730655</v>
      </c>
      <c r="K10" s="12">
        <f>I10-iext_0 * R10</f>
        <v>-2.6383850488275131</v>
      </c>
      <c r="L10"/>
      <c r="M10">
        <f t="shared" ca="1" si="5"/>
        <v>6.1087460685314253E-3</v>
      </c>
      <c r="N10">
        <f t="shared" ca="1" si="6"/>
        <v>-2.0661794093066736E-2</v>
      </c>
      <c r="O10">
        <f t="shared" ca="1" si="7"/>
        <v>0.97955019821688882</v>
      </c>
      <c r="P10" s="1">
        <f t="shared" si="3"/>
        <v>391.42178680146947</v>
      </c>
      <c r="Q10" s="5">
        <f t="shared" si="4"/>
        <v>1.0746844656954413E-2</v>
      </c>
      <c r="R10" s="1">
        <v>1.0108040306772581</v>
      </c>
    </row>
    <row r="11" spans="1:59" ht="13.9" customHeight="1" x14ac:dyDescent="0.25">
      <c r="A11" t="s">
        <v>2</v>
      </c>
      <c r="B11">
        <v>0.5</v>
      </c>
      <c r="C11"/>
      <c r="D11"/>
      <c r="E11" s="13">
        <f t="shared" si="8"/>
        <v>8</v>
      </c>
      <c r="F11" s="11">
        <f t="shared" si="1"/>
        <v>0.58029372014943414</v>
      </c>
      <c r="G11" s="11">
        <f>-(m_1-F11-Psi*ypot_1*R11)/(Theta*Lambda1)-iext_1/Lambda1+sbar_1</f>
        <v>62.343296006974413</v>
      </c>
      <c r="H11" s="11">
        <f t="shared" si="2"/>
        <v>1735.1439869924695</v>
      </c>
      <c r="I11" s="11">
        <f>MAX(0,-1/Theta*(m_0-F11-Psi*ypot_0))</f>
        <v>1.1605874402988547</v>
      </c>
      <c r="J11" s="11">
        <f>Mi*(H11-ypot_1)</f>
        <v>-2.6485601300753046</v>
      </c>
      <c r="K11" s="12">
        <f>I11-iext_0 * R11</f>
        <v>-2.0246220122615837</v>
      </c>
      <c r="L11"/>
      <c r="M11">
        <f t="shared" ca="1" si="5"/>
        <v>-2.0309102768231307E-3</v>
      </c>
      <c r="N11">
        <f t="shared" ca="1" si="6"/>
        <v>-2.0626524960583193E-2</v>
      </c>
      <c r="O11">
        <f t="shared" ca="1" si="7"/>
        <v>0.97958474671184814</v>
      </c>
      <c r="P11" s="1">
        <f t="shared" si="3"/>
        <v>107.43403528633758</v>
      </c>
      <c r="Q11" s="5">
        <f t="shared" si="4"/>
        <v>3.8091475703741593</v>
      </c>
      <c r="R11" s="1">
        <v>1.0617364841868129</v>
      </c>
    </row>
    <row r="12" spans="1:59" ht="13.9" customHeight="1" x14ac:dyDescent="0.25">
      <c r="A12" t="s">
        <v>3</v>
      </c>
      <c r="B12">
        <v>20</v>
      </c>
      <c r="C12" t="s">
        <v>0</v>
      </c>
      <c r="D12"/>
      <c r="E12" s="13">
        <f t="shared" si="8"/>
        <v>9</v>
      </c>
      <c r="F12" s="11">
        <f t="shared" si="1"/>
        <v>-2.0682664099258705</v>
      </c>
      <c r="G12" s="11">
        <f>-(m_1-F12-Psi*ypot_1*R12)/(Theta*Lambda1)-iext_1/Lambda1+sbar_1</f>
        <v>69.278466921479037</v>
      </c>
      <c r="H12" s="11">
        <f t="shared" si="2"/>
        <v>1926.9346666280981</v>
      </c>
      <c r="I12" s="11">
        <f>MAX(0,-1/Theta*(m_0-F12-Psi*ypot_0))</f>
        <v>0</v>
      </c>
      <c r="J12" s="11">
        <f>Mi*(H12-ypot_1)</f>
        <v>-0.73065333371901942</v>
      </c>
      <c r="K12" s="12">
        <f>I12-iext_0 * R12</f>
        <v>-3.1875330054599083</v>
      </c>
      <c r="L12"/>
      <c r="M12">
        <f t="shared" ca="1" si="5"/>
        <v>-6.1160763410169003E-3</v>
      </c>
      <c r="N12">
        <f t="shared" ca="1" si="6"/>
        <v>-2.4679948805541776E-2</v>
      </c>
      <c r="O12">
        <f t="shared" ca="1" si="7"/>
        <v>0.97562211108782027</v>
      </c>
      <c r="P12" s="1">
        <f t="shared" si="3"/>
        <v>-33.495910676208325</v>
      </c>
      <c r="Q12" s="5">
        <f t="shared" si="4"/>
        <v>0.73065333371901942</v>
      </c>
      <c r="R12" s="1">
        <v>1.0625110018199695</v>
      </c>
    </row>
    <row r="13" spans="1:59" ht="13.9" customHeight="1" x14ac:dyDescent="0.25">
      <c r="A13" t="s">
        <v>10</v>
      </c>
      <c r="B13">
        <v>0.1</v>
      </c>
      <c r="C13"/>
      <c r="D13"/>
      <c r="E13" s="13">
        <f t="shared" si="8"/>
        <v>10</v>
      </c>
      <c r="F13" s="11">
        <f t="shared" si="1"/>
        <v>-2.7989197436448898</v>
      </c>
      <c r="G13" s="11">
        <f>-(m_1-F13-Psi*ypot_1*R13)/(Theta*Lambda1)-iext_1/Lambda1+sbar_1</f>
        <v>73.848901625680284</v>
      </c>
      <c r="H13" s="11">
        <f t="shared" si="2"/>
        <v>2032.9564273865035</v>
      </c>
      <c r="I13" s="11">
        <f>MAX(0,-1/Theta*(m_0-F13-Psi*ypot_0))</f>
        <v>0</v>
      </c>
      <c r="J13" s="11">
        <f>Mi*(H13-ypot_1)</f>
        <v>0.32956427386503495</v>
      </c>
      <c r="K13" s="12">
        <f>I13-iext_0 * R13</f>
        <v>-3.1586200461045992</v>
      </c>
      <c r="L13"/>
      <c r="M13">
        <f t="shared" ca="1" si="5"/>
        <v>1.0397390472797622E-2</v>
      </c>
      <c r="N13">
        <f t="shared" ca="1" si="6"/>
        <v>-1.1814563452189978E-2</v>
      </c>
      <c r="O13">
        <f t="shared" ca="1" si="7"/>
        <v>0.98825495445867184</v>
      </c>
      <c r="P13" s="1">
        <f t="shared" si="3"/>
        <v>-26.384787128447865</v>
      </c>
      <c r="Q13" s="5">
        <f t="shared" si="4"/>
        <v>-0.32956427386503495</v>
      </c>
      <c r="R13" s="1">
        <v>1.0528733487015332</v>
      </c>
    </row>
    <row r="14" spans="1:59" ht="13.9" customHeight="1" x14ac:dyDescent="0.25">
      <c r="A14" t="s">
        <v>11</v>
      </c>
      <c r="B14">
        <v>0.01</v>
      </c>
      <c r="C14"/>
      <c r="D14"/>
      <c r="E14" s="13">
        <f t="shared" si="8"/>
        <v>11</v>
      </c>
      <c r="F14" s="11">
        <f t="shared" si="1"/>
        <v>-2.4693554697798548</v>
      </c>
      <c r="G14" s="11">
        <f>-(m_1-F14-Psi*ypot_1*R14)/(Theta*Lambda1)-iext_1/Lambda1+sbar_1</f>
        <v>77.007312230221629</v>
      </c>
      <c r="H14" s="11">
        <f t="shared" si="2"/>
        <v>2089.5333540000297</v>
      </c>
      <c r="I14" s="11">
        <f>MAX(0,-1/Theta*(m_0-F14-Psi*ypot_0))</f>
        <v>0</v>
      </c>
      <c r="J14" s="11">
        <f>Mi*(H14-ypot_1)</f>
        <v>0.89533354000029708</v>
      </c>
      <c r="K14" s="12">
        <f>I14-iext_0 * R14</f>
        <v>-3.1136051475857913</v>
      </c>
      <c r="L14"/>
      <c r="M14">
        <f t="shared" ca="1" si="5"/>
        <v>1.2289249445992408E-2</v>
      </c>
      <c r="N14">
        <f t="shared" ca="1" si="6"/>
        <v>1.6561423390214283E-3</v>
      </c>
      <c r="O14">
        <f t="shared" ca="1" si="7"/>
        <v>1.0016575145001385</v>
      </c>
      <c r="P14" s="1">
        <f t="shared" si="3"/>
        <v>-31.185187054939036</v>
      </c>
      <c r="Q14" s="5">
        <f t="shared" si="4"/>
        <v>-0.89533354000029708</v>
      </c>
      <c r="R14" s="1">
        <v>1.037868382528597</v>
      </c>
    </row>
    <row r="15" spans="1:59" ht="13.9" customHeight="1" x14ac:dyDescent="0.25">
      <c r="A15"/>
      <c r="B15"/>
      <c r="C15" t="s">
        <v>0</v>
      </c>
      <c r="D15"/>
      <c r="E15" s="13">
        <f t="shared" si="8"/>
        <v>12</v>
      </c>
      <c r="F15" s="11">
        <f t="shared" si="1"/>
        <v>-1.5740219297795577</v>
      </c>
      <c r="G15" s="11">
        <f>-(m_1-F15-Psi*ypot_1*R15)/(Theta*Lambda1)-iext_1/Lambda1+sbar_1</f>
        <v>74.619200632413737</v>
      </c>
      <c r="H15" s="11">
        <f t="shared" si="2"/>
        <v>2023.8644512438659</v>
      </c>
      <c r="I15" s="11">
        <f>MAX(0,-1/Theta*(m_0-F15-Psi*ypot_0))</f>
        <v>0</v>
      </c>
      <c r="J15" s="11">
        <f>Mi*(H15-ypot_1)</f>
        <v>0.23864451243865914</v>
      </c>
      <c r="K15" s="12">
        <f>I15-iext_0 * R15</f>
        <v>-3.1133058150255817</v>
      </c>
      <c r="L15"/>
      <c r="M15">
        <f t="shared" ca="1" si="5"/>
        <v>-1.7531858623423786E-2</v>
      </c>
      <c r="N15">
        <f t="shared" ca="1" si="6"/>
        <v>-1.6041330518304499E-2</v>
      </c>
      <c r="O15">
        <f t="shared" ca="1" si="7"/>
        <v>0.98408664640360699</v>
      </c>
      <c r="P15" s="1">
        <f t="shared" si="3"/>
        <v>-47.406709665642445</v>
      </c>
      <c r="Q15" s="5">
        <f t="shared" si="4"/>
        <v>-0.23864451243865914</v>
      </c>
      <c r="R15" s="1">
        <v>1.0377686050085273</v>
      </c>
    </row>
    <row r="16" spans="1:59" ht="13.9" customHeight="1" x14ac:dyDescent="0.25">
      <c r="A16" t="s">
        <v>22</v>
      </c>
      <c r="B16" t="s">
        <v>23</v>
      </c>
      <c r="C16" t="s">
        <v>24</v>
      </c>
      <c r="D16"/>
      <c r="E16" s="13">
        <f t="shared" si="8"/>
        <v>13</v>
      </c>
      <c r="F16" s="11">
        <f t="shared" si="1"/>
        <v>-1.3353774173408985</v>
      </c>
      <c r="G16" s="11">
        <f>-(m_1-F16-Psi*ypot_1*R16)/(Theta*Lambda1)-iext_1/Lambda1+sbar_1</f>
        <v>77.696468305821739</v>
      </c>
      <c r="H16" s="11">
        <f t="shared" si="2"/>
        <v>2080.6369144632527</v>
      </c>
      <c r="I16" s="11">
        <f>MAX(0,-1/Theta*(m_0-F16-Psi*ypot_0))</f>
        <v>0</v>
      </c>
      <c r="J16" s="11">
        <f>Mi*(H16-ypot_1)</f>
        <v>0.80636914463252651</v>
      </c>
      <c r="K16" s="12">
        <f>I16-iext_0 * R16</f>
        <v>-3.0719209843067601</v>
      </c>
      <c r="L16"/>
      <c r="M16">
        <f t="shared" ca="1" si="5"/>
        <v>1.6228034019155825E-2</v>
      </c>
      <c r="N16">
        <f t="shared" ca="1" si="6"/>
        <v>1.7908365526817759E-3</v>
      </c>
      <c r="O16">
        <f t="shared" ca="1" si="7"/>
        <v>1.0017924410581203</v>
      </c>
      <c r="P16" s="1">
        <f t="shared" si="3"/>
        <v>-58.183152790270071</v>
      </c>
      <c r="Q16" s="5">
        <f t="shared" si="4"/>
        <v>-0.80636914463252651</v>
      </c>
      <c r="R16" s="1">
        <v>1.0239736614355868</v>
      </c>
    </row>
    <row r="17" spans="1:18" ht="13.9" customHeight="1" x14ac:dyDescent="0.25">
      <c r="A17" t="s">
        <v>25</v>
      </c>
      <c r="B17">
        <v>100</v>
      </c>
      <c r="C17">
        <v>100</v>
      </c>
      <c r="D17"/>
      <c r="E17" s="13">
        <f t="shared" si="8"/>
        <v>14</v>
      </c>
      <c r="F17" s="11">
        <f t="shared" si="1"/>
        <v>-0.52900827270837203</v>
      </c>
      <c r="G17" s="11">
        <f>-(m_1-F17-Psi*ypot_1*R17)/(Theta*Lambda1)-iext_1/Lambda1+sbar_1</f>
        <v>71.55897339015398</v>
      </c>
      <c r="H17" s="11">
        <f t="shared" si="2"/>
        <v>1941.7596332572471</v>
      </c>
      <c r="I17" s="11">
        <f>MAX(0,-1/Theta*(m_0-F17-Psi*ypot_0))</f>
        <v>0</v>
      </c>
      <c r="J17" s="11">
        <f>Mi*(H17-ypot_1)</f>
        <v>-0.58240366742752936</v>
      </c>
      <c r="K17" s="12">
        <f>I17-iext_0 * R17</f>
        <v>-3.1159913762956633</v>
      </c>
      <c r="L17"/>
      <c r="M17">
        <f t="shared" ca="1" si="5"/>
        <v>4.750148127673201E-3</v>
      </c>
      <c r="N17">
        <f t="shared" ca="1" si="6"/>
        <v>6.3619010250867995E-3</v>
      </c>
      <c r="O17">
        <f t="shared" ca="1" si="7"/>
        <v>1.0063821809007909</v>
      </c>
      <c r="P17" s="1">
        <f t="shared" si="3"/>
        <v>-135.27004601230973</v>
      </c>
      <c r="Q17" s="5">
        <f t="shared" si="4"/>
        <v>0.58240366742752936</v>
      </c>
      <c r="R17" s="1">
        <v>1.0386637920985544</v>
      </c>
    </row>
    <row r="18" spans="1:18" ht="13.9" customHeight="1" x14ac:dyDescent="0.25">
      <c r="A18" t="s">
        <v>26</v>
      </c>
      <c r="B18">
        <v>3</v>
      </c>
      <c r="C18">
        <v>3</v>
      </c>
      <c r="D18"/>
      <c r="E18" s="13">
        <f t="shared" si="8"/>
        <v>15</v>
      </c>
      <c r="F18" s="11">
        <f t="shared" si="1"/>
        <v>-1.1114119401359015</v>
      </c>
      <c r="G18" s="11">
        <f>-(m_1-F18-Psi*ypot_1*R18)/(Theta*Lambda1)-iext_1/Lambda1+sbar_1</f>
        <v>70.060792374873543</v>
      </c>
      <c r="H18" s="11">
        <f t="shared" si="2"/>
        <v>1923.4440863001887</v>
      </c>
      <c r="I18" s="11">
        <f>MAX(0,-1/Theta*(m_0-F18-Psi*ypot_0))</f>
        <v>0</v>
      </c>
      <c r="J18" s="11">
        <f>Mi*(H18-ypot_1)</f>
        <v>-0.76555913699811295</v>
      </c>
      <c r="K18" s="12">
        <f>I18-iext_0 * R18</f>
        <v>-3.1501263160776736</v>
      </c>
      <c r="L18"/>
      <c r="M18">
        <f t="shared" ca="1" si="5"/>
        <v>-6.8677036348929448E-3</v>
      </c>
      <c r="N18">
        <f t="shared" ca="1" si="6"/>
        <v>-1.1419927123148248E-3</v>
      </c>
      <c r="O18">
        <f t="shared" ca="1" si="7"/>
        <v>0.99885865911321237</v>
      </c>
      <c r="P18" s="1">
        <f t="shared" si="3"/>
        <v>-63.037645939188515</v>
      </c>
      <c r="Q18" s="5">
        <f t="shared" si="4"/>
        <v>0.76555913699811295</v>
      </c>
      <c r="R18" s="1">
        <v>1.0500421053592246</v>
      </c>
    </row>
    <row r="19" spans="1:18" ht="13.9" customHeight="1" x14ac:dyDescent="0.25">
      <c r="A19" t="s">
        <v>27</v>
      </c>
      <c r="B19">
        <v>500</v>
      </c>
      <c r="C19">
        <v>500</v>
      </c>
      <c r="D19"/>
      <c r="E19" s="13">
        <f t="shared" si="8"/>
        <v>16</v>
      </c>
      <c r="F19" s="11">
        <f t="shared" si="1"/>
        <v>-1.8769710771340145</v>
      </c>
      <c r="G19" s="11">
        <f>-(m_1-F19-Psi*ypot_1*R19)/(Theta*Lambda1)-iext_1/Lambda1+sbar_1</f>
        <v>75.247778998411349</v>
      </c>
      <c r="H19" s="11">
        <f t="shared" si="2"/>
        <v>2042.4950015109073</v>
      </c>
      <c r="I19" s="11">
        <f>MAX(0,-1/Theta*(m_0-F19-Psi*ypot_0))</f>
        <v>0</v>
      </c>
      <c r="J19" s="11">
        <f>Mi*(H19-ypot_1)</f>
        <v>0.42495001510907288</v>
      </c>
      <c r="K19" s="12">
        <f>I19-iext_0 * R19</f>
        <v>-3.1154032154731124</v>
      </c>
      <c r="L19"/>
      <c r="M19">
        <f t="shared" ca="1" si="5"/>
        <v>-2.1507522874434203E-3</v>
      </c>
      <c r="N19">
        <f t="shared" ca="1" si="6"/>
        <v>-3.1785457285267629E-3</v>
      </c>
      <c r="O19">
        <f t="shared" ca="1" si="7"/>
        <v>0.99682650049997545</v>
      </c>
      <c r="P19" s="1">
        <f t="shared" si="3"/>
        <v>-40.090004537155004</v>
      </c>
      <c r="Q19" s="5">
        <f t="shared" si="4"/>
        <v>-0.42495001510907288</v>
      </c>
      <c r="R19" s="1">
        <v>1.0384677384910375</v>
      </c>
    </row>
    <row r="20" spans="1:18" ht="13.9" customHeight="1" x14ac:dyDescent="0.25">
      <c r="A20" t="s">
        <v>28</v>
      </c>
      <c r="B20">
        <v>0</v>
      </c>
      <c r="C20">
        <v>0</v>
      </c>
      <c r="D20"/>
      <c r="E20" s="13">
        <f t="shared" si="8"/>
        <v>17</v>
      </c>
      <c r="F20" s="11">
        <f t="shared" si="1"/>
        <v>-1.4520210620249416</v>
      </c>
      <c r="G20" s="11">
        <f>-(m_1-F20-Psi*ypot_1*R20)/(Theta*Lambda1)-iext_1/Lambda1+sbar_1</f>
        <v>71.507422704200408</v>
      </c>
      <c r="H20" s="11">
        <f t="shared" si="2"/>
        <v>1959.1888753245071</v>
      </c>
      <c r="I20" s="11">
        <f>MAX(0,-1/Theta*(m_0-F20-Psi*ypot_0))</f>
        <v>0</v>
      </c>
      <c r="J20" s="11">
        <f>Mi*(H20-ypot_1)</f>
        <v>-0.40811124675492921</v>
      </c>
      <c r="K20" s="12">
        <f>I20-iext_0 * R20</f>
        <v>-3.1442551087863206</v>
      </c>
      <c r="L20"/>
      <c r="M20">
        <f t="shared" ca="1" si="5"/>
        <v>9.2402307261163236E-3</v>
      </c>
      <c r="N20">
        <f t="shared" ca="1" si="6"/>
        <v>6.3795395704422369E-3</v>
      </c>
      <c r="O20">
        <f t="shared" ca="1" si="7"/>
        <v>1.0063999321750865</v>
      </c>
      <c r="P20" s="1">
        <f t="shared" si="3"/>
        <v>-49.246821946562171</v>
      </c>
      <c r="Q20" s="5">
        <f t="shared" si="4"/>
        <v>0.40811124675492921</v>
      </c>
      <c r="R20" s="1">
        <v>1.0480850362621068</v>
      </c>
    </row>
    <row r="21" spans="1:18" ht="13.9" customHeight="1" x14ac:dyDescent="0.25">
      <c r="A21" t="s">
        <v>29</v>
      </c>
      <c r="B21">
        <v>2000</v>
      </c>
      <c r="C21">
        <v>2000</v>
      </c>
      <c r="D21"/>
      <c r="E21" s="13">
        <f t="shared" si="8"/>
        <v>18</v>
      </c>
      <c r="F21" s="11">
        <f t="shared" si="1"/>
        <v>-1.8601323087798709</v>
      </c>
      <c r="G21" s="11">
        <f>-(m_1-F21-Psi*ypot_1*R21)/(Theta*Lambda1)-iext_1/Lambda1+sbar_1</f>
        <v>73.498058515953787</v>
      </c>
      <c r="H21" s="11">
        <f t="shared" si="2"/>
        <v>2007.163816494673</v>
      </c>
      <c r="I21" s="11">
        <f>MAX(0,-1/Theta*(m_0-F21-Psi*ypot_0))</f>
        <v>0</v>
      </c>
      <c r="J21" s="11">
        <f>Mi*(H21-ypot_1)</f>
        <v>7.1638164946730282E-2</v>
      </c>
      <c r="K21" s="12">
        <f>I21-iext_0 * R21</f>
        <v>-3.1343585142945742</v>
      </c>
      <c r="L21"/>
      <c r="M21">
        <f t="shared" ca="1" si="5"/>
        <v>-9.2874289675994124E-3</v>
      </c>
      <c r="N21">
        <f t="shared" ca="1" si="6"/>
        <v>-3.545843354201399E-3</v>
      </c>
      <c r="O21">
        <f t="shared" ca="1" si="7"/>
        <v>0.99646043572460907</v>
      </c>
      <c r="P21" s="1">
        <f t="shared" si="3"/>
        <v>-39.512274567266594</v>
      </c>
      <c r="Q21" s="5">
        <f t="shared" si="4"/>
        <v>-7.1638164946730282E-2</v>
      </c>
      <c r="R21" s="1">
        <v>1.0447861714315247</v>
      </c>
    </row>
    <row r="22" spans="1:18" ht="13.9" customHeight="1" x14ac:dyDescent="0.25">
      <c r="A22"/>
      <c r="B22"/>
      <c r="C22"/>
      <c r="D22"/>
      <c r="E22" s="13">
        <f t="shared" si="8"/>
        <v>19</v>
      </c>
      <c r="F22" s="11">
        <f t="shared" si="1"/>
        <v>-1.7884941438331405</v>
      </c>
      <c r="G22" s="11">
        <f>-(m_1-F22-Psi*ypot_1*R22)/(Theta*Lambda1)-iext_1/Lambda1+sbar_1</f>
        <v>79.903847356054598</v>
      </c>
      <c r="H22" s="11">
        <f t="shared" si="2"/>
        <v>2133.8468299977549</v>
      </c>
      <c r="I22" s="11">
        <f>MAX(0,-1/Theta*(m_0-F22-Psi*ypot_0))</f>
        <v>0</v>
      </c>
      <c r="J22" s="11">
        <f>Mi*(H22-ypot_1)</f>
        <v>1.3384682999775488</v>
      </c>
      <c r="K22" s="12">
        <f>I22-iext_0 * R22</f>
        <v>-3.060963927155127</v>
      </c>
      <c r="L22"/>
      <c r="M22">
        <f t="shared" ca="1" si="5"/>
        <v>1.140953440665262E-2</v>
      </c>
      <c r="N22">
        <f t="shared" ca="1" si="6"/>
        <v>8.2182753878713606E-3</v>
      </c>
      <c r="O22">
        <f t="shared" ca="1" si="7"/>
        <v>1.0082521381138843</v>
      </c>
      <c r="P22" s="1">
        <f t="shared" si="3"/>
        <v>-44.676605529612132</v>
      </c>
      <c r="Q22" s="5">
        <f t="shared" si="4"/>
        <v>-1.3384682999775488</v>
      </c>
      <c r="R22" s="1">
        <v>1.0203213090517089</v>
      </c>
    </row>
    <row r="23" spans="1:18" ht="13.9" customHeight="1" x14ac:dyDescent="0.25">
      <c r="A23" t="s">
        <v>30</v>
      </c>
      <c r="B23" t="s">
        <v>31</v>
      </c>
      <c r="C23" t="s">
        <v>32</v>
      </c>
      <c r="D23"/>
      <c r="E23" s="13">
        <f t="shared" si="8"/>
        <v>20</v>
      </c>
      <c r="F23" s="11">
        <f t="shared" si="1"/>
        <v>-0.45002584385559175</v>
      </c>
      <c r="G23" s="11">
        <f>-(m_1-F23-Psi*ypot_1*R23)/(Theta*Lambda1)-iext_1/Lambda1+sbar_1</f>
        <v>80.876036073375843</v>
      </c>
      <c r="H23" s="11">
        <f t="shared" si="2"/>
        <v>2126.5212383446287</v>
      </c>
      <c r="I23" s="11">
        <f>MAX(0,-1/Theta*(m_0-F23-Psi*ypot_0))</f>
        <v>0</v>
      </c>
      <c r="J23" s="11">
        <f>Mi*(H23-ypot_1)</f>
        <v>1.2652123834462874</v>
      </c>
      <c r="K23" s="12">
        <f>I23-iext_0 * R23</f>
        <v>-3.0099971559778389</v>
      </c>
      <c r="L23"/>
      <c r="M23">
        <f t="shared" ca="1" si="5"/>
        <v>1.5107457597456615E-2</v>
      </c>
      <c r="N23">
        <f t="shared" ca="1" si="6"/>
        <v>2.250390544654084E-2</v>
      </c>
      <c r="O23">
        <f t="shared" ca="1" si="7"/>
        <v>1.022759028487356</v>
      </c>
      <c r="P23" s="1">
        <f t="shared" si="3"/>
        <v>-179.71420347878524</v>
      </c>
      <c r="Q23" s="5">
        <f t="shared" si="4"/>
        <v>-1.2652123834462874</v>
      </c>
      <c r="R23" s="1">
        <v>1.0033323853259464</v>
      </c>
    </row>
    <row r="24" spans="1:18" ht="13.9" customHeight="1" x14ac:dyDescent="0.25">
      <c r="A24" t="s">
        <v>7</v>
      </c>
      <c r="B24">
        <f>m_0-Psi*ypot_0+Theta*iext_0</f>
        <v>1.5</v>
      </c>
      <c r="C24">
        <f>m_1-Psi*ypot_1+Theta*iext_1</f>
        <v>1.5</v>
      </c>
      <c r="D24"/>
      <c r="E24" s="13">
        <f t="shared" si="8"/>
        <v>21</v>
      </c>
      <c r="F24" s="11">
        <f t="shared" si="1"/>
        <v>0.81518653959069565</v>
      </c>
      <c r="G24" s="11">
        <f>-(m_1-F24-Psi*ypot_1*R24)/(Theta*Lambda1)-iext_1/Lambda1+sbar_1</f>
        <v>76.73167293860152</v>
      </c>
      <c r="H24" s="11">
        <f t="shared" si="2"/>
        <v>2018.1666906722983</v>
      </c>
      <c r="I24" s="11">
        <f>MAX(0,-1/Theta*(m_0-F24-Psi*ypot_0))</f>
        <v>1.6303730791813962</v>
      </c>
      <c r="J24" s="11">
        <f>Mi*(H24-ypot_1)</f>
        <v>0.18166690672298275</v>
      </c>
      <c r="K24" s="12">
        <f>I24-iext_0 * R24</f>
        <v>-1.3877614794569579</v>
      </c>
      <c r="L24"/>
      <c r="M24">
        <f t="shared" ca="1" si="5"/>
        <v>6.2687984444549736E-3</v>
      </c>
      <c r="N24">
        <f t="shared" ca="1" si="6"/>
        <v>2.6522313346341732E-2</v>
      </c>
      <c r="O24">
        <f t="shared" ca="1" si="7"/>
        <v>1.0268771600717737</v>
      </c>
      <c r="P24" s="1">
        <f t="shared" si="3"/>
        <v>94.12774771419609</v>
      </c>
      <c r="Q24" s="5">
        <f t="shared" si="4"/>
        <v>1.4487061724584134</v>
      </c>
      <c r="R24" s="1">
        <v>1.0060448528794514</v>
      </c>
    </row>
    <row r="25" spans="1:18" ht="13.9" customHeight="1" x14ac:dyDescent="0.25">
      <c r="A25" t="s">
        <v>8</v>
      </c>
      <c r="B25">
        <f>m_0-Beta0_0/Beta1-((1-Psi*Beta1)/Beta1)*ypot_0+((Theta*Beta1+Beta2)/Beta1)*iext_0</f>
        <v>76.515000000000001</v>
      </c>
      <c r="C25">
        <f>m_1-Beta0_1/Beta1-((1-Psi*Beta1)/Beta1)*ypot_1+((Theta*Beta1+Beta2)/Beta1)*iext_1</f>
        <v>76.515000000000001</v>
      </c>
      <c r="D25"/>
      <c r="E25" s="13">
        <f t="shared" si="8"/>
        <v>22</v>
      </c>
      <c r="F25" s="11">
        <f t="shared" si="1"/>
        <v>0.99685344631367845</v>
      </c>
      <c r="G25" s="11">
        <f>-(m_1-F25-Psi*ypot_1*R25)/(Theta*Lambda1)-iext_1/Lambda1+sbar_1</f>
        <v>82.748178734276209</v>
      </c>
      <c r="H25" s="11">
        <f t="shared" si="2"/>
        <v>2134.8271350699879</v>
      </c>
      <c r="I25" s="11">
        <f>MAX(0,-1/Theta*(m_0-F25-Psi*ypot_0))</f>
        <v>1.9937068926273582</v>
      </c>
      <c r="J25" s="11">
        <f>Mi*(H25-ypot_1)</f>
        <v>1.3482713506998789</v>
      </c>
      <c r="K25" s="12">
        <f>I25-iext_0 * R25</f>
        <v>-0.95206183836039404</v>
      </c>
      <c r="L25"/>
      <c r="M25">
        <f t="shared" ca="1" si="5"/>
        <v>-1.757009824960173E-3</v>
      </c>
      <c r="N25">
        <f t="shared" ca="1" si="6"/>
        <v>2.2113072186747386E-2</v>
      </c>
      <c r="O25">
        <f t="shared" ca="1" si="7"/>
        <v>1.0223593783456402</v>
      </c>
      <c r="P25" s="1">
        <f t="shared" si="3"/>
        <v>83.009372180309398</v>
      </c>
      <c r="Q25" s="5">
        <f t="shared" si="4"/>
        <v>0.64543554192747932</v>
      </c>
      <c r="R25" s="1">
        <v>0.98192291032925083</v>
      </c>
    </row>
    <row r="26" spans="1:18" ht="13.9" customHeight="1" x14ac:dyDescent="0.25">
      <c r="A26"/>
      <c r="B26"/>
      <c r="C26"/>
      <c r="D26"/>
      <c r="E26" s="13">
        <f t="shared" si="8"/>
        <v>23</v>
      </c>
      <c r="F26" s="11">
        <f t="shared" si="1"/>
        <v>2.3451247970135576</v>
      </c>
      <c r="G26" s="11">
        <f>-(m_1-F26-Psi*ypot_1*R26)/(Theta*Lambda1)-iext_1/Lambda1+sbar_1</f>
        <v>83.458700159009652</v>
      </c>
      <c r="H26" s="11">
        <f t="shared" si="2"/>
        <v>2121.8024822805191</v>
      </c>
      <c r="I26" s="11">
        <f>MAX(0,-1/Theta*(m_0-F26-Psi*ypot_0))</f>
        <v>4.6902495940271081</v>
      </c>
      <c r="J26" s="11">
        <f>Mi*(H26-ypot_1)</f>
        <v>1.2180248228051915</v>
      </c>
      <c r="K26" s="12">
        <f>I26-iext_0 * R26</f>
        <v>1.7928314515421602</v>
      </c>
      <c r="L26"/>
      <c r="M26">
        <f t="shared" ca="1" si="5"/>
        <v>3.6883591673182643E-3</v>
      </c>
      <c r="N26">
        <f t="shared" ca="1" si="6"/>
        <v>2.3590124135390914E-2</v>
      </c>
      <c r="O26">
        <f t="shared" ca="1" si="7"/>
        <v>1.0238705720386887</v>
      </c>
      <c r="P26" s="1">
        <f t="shared" si="3"/>
        <v>35.588170090262011</v>
      </c>
      <c r="Q26" s="5">
        <f t="shared" si="4"/>
        <v>3.4722247712219163</v>
      </c>
      <c r="R26" s="1">
        <v>0.96580604749498267</v>
      </c>
    </row>
    <row r="27" spans="1:18" ht="13.9" customHeight="1" x14ac:dyDescent="0.25">
      <c r="A27" t="s">
        <v>33</v>
      </c>
      <c r="B27" t="s">
        <v>34</v>
      </c>
      <c r="C27" t="s">
        <v>35</v>
      </c>
      <c r="D27"/>
      <c r="E27" s="13">
        <f t="shared" si="8"/>
        <v>24</v>
      </c>
      <c r="F27" s="11">
        <f t="shared" si="1"/>
        <v>3.5631496198187493</v>
      </c>
      <c r="G27" s="11">
        <f>-(m_1-F27-Psi*ypot_1*R27)/(Theta*Lambda1)-iext_1/Lambda1+sbar_1</f>
        <v>76.549181186770355</v>
      </c>
      <c r="H27" s="11">
        <f t="shared" si="2"/>
        <v>1959.0080014150685</v>
      </c>
      <c r="I27" s="11">
        <f>MAX(0,-1/Theta*(m_0-F27-Psi*ypot_0))</f>
        <v>7.1262992396374898</v>
      </c>
      <c r="J27" s="11">
        <f>Mi*(H27-ypot_1)</f>
        <v>-0.40991998584931483</v>
      </c>
      <c r="K27" s="12">
        <f>I27-iext_0 * R27</f>
        <v>4.1885738927717924</v>
      </c>
      <c r="L27"/>
      <c r="M27">
        <f t="shared" ca="1" si="5"/>
        <v>1.7395034585239652E-2</v>
      </c>
      <c r="N27">
        <f t="shared" ca="1" si="6"/>
        <v>3.8626146307091477E-2</v>
      </c>
      <c r="O27">
        <f t="shared" ca="1" si="7"/>
        <v>1.0393818342685979</v>
      </c>
      <c r="P27" s="1">
        <f t="shared" si="3"/>
        <v>21.483571938992633</v>
      </c>
      <c r="Q27" s="5">
        <f t="shared" si="4"/>
        <v>7.5362192254868043</v>
      </c>
      <c r="R27" s="1">
        <v>0.97924178228856595</v>
      </c>
    </row>
    <row r="28" spans="1:18" ht="13.9" customHeight="1" x14ac:dyDescent="0.3">
      <c r="A28" t="s">
        <v>37</v>
      </c>
      <c r="B28">
        <f>IF((Beta1*Mi+Beta2*Mi/Theta)^2+4*Beta1*Mi/Theta&gt;0,(-(Beta1*Mi+Beta2*Mi/Theta)-((Beta1*Mi+Beta2*Mi/Theta)^2+4*Beta1*Mi/Theta)^0.5)/2,(-(Beta1*Mi+Beta2*Mi/Theta))/2)</f>
        <v>-0.74146935914218415</v>
      </c>
      <c r="C28">
        <f>IF((Beta1*Mi+Beta2*Mi/Theta)^2+4*Beta1*Mi/Theta&gt;0, 0, -SQRT(-(Beta1*Mi+Beta2*Mi/Theta)^2+4*Beta1*Mi/Theta)/2)</f>
        <v>0</v>
      </c>
      <c r="D28"/>
      <c r="E28" s="13">
        <f t="shared" si="8"/>
        <v>25</v>
      </c>
      <c r="F28" s="11">
        <f t="shared" si="1"/>
        <v>3.1532296339694343</v>
      </c>
      <c r="G28" s="11">
        <f>-(m_1-F28-Psi*ypot_1*R28)/(Theta*Lambda1)-iext_1/Lambda1+sbar_1</f>
        <v>77.891931396017014</v>
      </c>
      <c r="H28" s="11">
        <f t="shared" si="2"/>
        <v>1994.1433893141577</v>
      </c>
      <c r="I28" s="11">
        <f>MAX(0,-1/Theta*(m_0-F28-Psi*ypot_0))</f>
        <v>6.3064592679388625</v>
      </c>
      <c r="J28" s="11">
        <f>Mi*(H28-ypot_1)</f>
        <v>-5.8566106858422701E-2</v>
      </c>
      <c r="K28" s="12">
        <f>I28-iext_0 * R28</f>
        <v>3.371370443554758</v>
      </c>
      <c r="L28"/>
      <c r="M28">
        <f t="shared" ca="1" si="5"/>
        <v>5.09212696682432E-3</v>
      </c>
      <c r="N28">
        <f t="shared" ca="1" si="6"/>
        <v>3.985565864320665E-2</v>
      </c>
      <c r="O28">
        <f t="shared" ca="1" si="7"/>
        <v>1.0406605529949027</v>
      </c>
      <c r="P28" s="1">
        <f t="shared" si="3"/>
        <v>24.702270509224846</v>
      </c>
      <c r="Q28" s="5">
        <f t="shared" si="4"/>
        <v>6.3650253747972849</v>
      </c>
      <c r="R28" s="1">
        <v>0.97836294146136815</v>
      </c>
    </row>
    <row r="29" spans="1:18" ht="13.9" customHeight="1" x14ac:dyDescent="0.3">
      <c r="A29" t="s">
        <v>38</v>
      </c>
      <c r="B29">
        <f>IF((Beta1*Mi+Beta2*Mi/Theta)^2+4*Beta1*Mi/Theta&gt;0,(-(Beta1*Mi+Beta2*Mi/Theta)+((Beta1*Mi+Beta2*Mi/Theta)^2+4*Beta1*Mi/Theta)^0.5)/2,(-(Beta1*Mi+Beta2*Mi/Theta))/2)</f>
        <v>0.53946935914218419</v>
      </c>
      <c r="C29">
        <f>IF((Beta1*Mi+Beta2*Mi/Theta)^2+4*Beta1*Mi/Theta&gt;0, 0, +SQRT(-(Beta1*Mi+Beta2*Mi/Theta)^2+4*Beta1*Mi/Theta)/2)</f>
        <v>0</v>
      </c>
      <c r="D29"/>
      <c r="E29" s="13">
        <f t="shared" si="8"/>
        <v>26</v>
      </c>
      <c r="F29" s="11">
        <f t="shared" si="1"/>
        <v>3.0946635271110114</v>
      </c>
      <c r="G29" s="11">
        <f>-(m_1-F29-Psi*ypot_1*R29)/(Theta*Lambda1)-iext_1/Lambda1+sbar_1</f>
        <v>78.008392986713616</v>
      </c>
      <c r="H29" s="11">
        <f t="shared" si="2"/>
        <v>1997.6556564866301</v>
      </c>
      <c r="I29" s="11">
        <f>MAX(0,-1/Theta*(m_0-F29-Psi*ypot_0))</f>
        <v>6.1893270542220193</v>
      </c>
      <c r="J29" s="11">
        <f>Mi*(H29-ypot_1)</f>
        <v>-2.3443435133699494E-2</v>
      </c>
      <c r="K29" s="12">
        <f>I29-iext_0 * R29</f>
        <v>3.2537765371474396</v>
      </c>
      <c r="L29"/>
      <c r="M29">
        <f t="shared" ca="1" si="5"/>
        <v>2.990301849261949E-4</v>
      </c>
      <c r="N29">
        <f t="shared" ca="1" si="6"/>
        <v>3.6169122963812181E-2</v>
      </c>
      <c r="O29">
        <f t="shared" ca="1" si="7"/>
        <v>1.0368311836264856</v>
      </c>
      <c r="P29" s="1">
        <f t="shared" si="3"/>
        <v>25.207390820784152</v>
      </c>
      <c r="Q29" s="5">
        <f t="shared" si="4"/>
        <v>6.2127704893557185</v>
      </c>
      <c r="R29" s="1">
        <v>0.97851683902485997</v>
      </c>
    </row>
    <row r="30" spans="1:18" ht="13.9" customHeight="1" x14ac:dyDescent="0.25">
      <c r="A30"/>
      <c r="B30"/>
      <c r="C30"/>
      <c r="D30"/>
      <c r="E30" s="13">
        <f t="shared" si="8"/>
        <v>27</v>
      </c>
      <c r="F30" s="11">
        <f t="shared" si="1"/>
        <v>3.0712200919773118</v>
      </c>
      <c r="G30" s="11">
        <f>-(m_1-F30-Psi*ypot_1*R30)/(Theta*Lambda1)-iext_1/Lambda1+sbar_1</f>
        <v>77.16266575487451</v>
      </c>
      <c r="H30" s="11">
        <f t="shared" si="2"/>
        <v>1981.2146692395484</v>
      </c>
      <c r="I30" s="11">
        <f>MAX(0,-1/Theta*(m_0-F30-Psi*ypot_0))</f>
        <v>6.1424401839546192</v>
      </c>
      <c r="J30" s="11">
        <f>Mi*(H30-ypot_1)</f>
        <v>-0.18785330760451643</v>
      </c>
      <c r="K30" s="12">
        <f>I30-iext_0 * R30</f>
        <v>3.1967801513970153</v>
      </c>
      <c r="L30"/>
      <c r="M30">
        <f t="shared" ca="1" si="5"/>
        <v>-1.1763414383068757E-2</v>
      </c>
      <c r="N30">
        <f t="shared" ca="1" si="6"/>
        <v>2.0788796284362206E-2</v>
      </c>
      <c r="O30">
        <f t="shared" ca="1" si="7"/>
        <v>1.021006388520959</v>
      </c>
      <c r="P30" s="1">
        <f t="shared" si="3"/>
        <v>25.124433757268001</v>
      </c>
      <c r="Q30" s="5">
        <f t="shared" si="4"/>
        <v>6.3302934915591358</v>
      </c>
      <c r="R30" s="1">
        <v>0.98188667751920122</v>
      </c>
    </row>
    <row r="31" spans="1:18" ht="13.9" customHeight="1" x14ac:dyDescent="0.25">
      <c r="A31" t="s">
        <v>36</v>
      </c>
      <c r="B31"/>
      <c r="C31"/>
      <c r="D31"/>
      <c r="E31" s="13">
        <f t="shared" si="8"/>
        <v>28</v>
      </c>
      <c r="F31" s="11">
        <f t="shared" si="1"/>
        <v>2.8833667843727953</v>
      </c>
      <c r="G31" s="11">
        <f>-(m_1-F31-Psi*ypot_1*R31)/(Theta*Lambda1)-iext_1/Lambda1+sbar_1</f>
        <v>74.253541004630449</v>
      </c>
      <c r="H31" s="11">
        <f t="shared" si="2"/>
        <v>1926.8268110482784</v>
      </c>
      <c r="I31" s="11">
        <f>MAX(0,-1/Theta*(m_0-F31-Psi*ypot_0))</f>
        <v>5.7667335687455932</v>
      </c>
      <c r="J31" s="11">
        <f>Mi*(H31-ypot_1)</f>
        <v>-0.73173188951721613</v>
      </c>
      <c r="K31" s="12">
        <f>I31-iext_0 * R31</f>
        <v>2.7830825339964322</v>
      </c>
      <c r="L31"/>
      <c r="M31">
        <f t="shared" ca="1" si="5"/>
        <v>1.528205045135167E-3</v>
      </c>
      <c r="N31">
        <f t="shared" ca="1" si="6"/>
        <v>2.0238121701061155E-2</v>
      </c>
      <c r="O31">
        <f t="shared" ca="1" si="7"/>
        <v>1.0204443010312636</v>
      </c>
      <c r="P31" s="1">
        <f t="shared" si="3"/>
        <v>25.752374414198041</v>
      </c>
      <c r="Q31" s="5">
        <f t="shared" si="4"/>
        <v>6.4984654582628094</v>
      </c>
      <c r="R31" s="1">
        <v>0.99455034491638694</v>
      </c>
    </row>
    <row r="32" spans="1:18" ht="13.9" customHeight="1" x14ac:dyDescent="0.3">
      <c r="A32" t="s">
        <v>39</v>
      </c>
      <c r="B32">
        <f>IF(C28=0,ABS(1+B28),SQRT((1+B28)^2+C28^2))</f>
        <v>0.25853064085781585</v>
      </c>
      <c r="C32"/>
      <c r="D32"/>
      <c r="E32" s="13">
        <f t="shared" si="8"/>
        <v>29</v>
      </c>
      <c r="F32" s="11">
        <f t="shared" si="1"/>
        <v>2.151634894855579</v>
      </c>
      <c r="G32" s="11">
        <f>-(m_1-F32-Psi*ypot_1*R32)/(Theta*Lambda1)-iext_1/Lambda1+sbar_1</f>
        <v>75.303700585386935</v>
      </c>
      <c r="H32" s="11">
        <f t="shared" si="2"/>
        <v>1962.610986831656</v>
      </c>
      <c r="I32" s="11">
        <f>MAX(0,-1/Theta*(m_0-F32-Psi*ypot_0))</f>
        <v>4.3032697897111518</v>
      </c>
      <c r="J32" s="11">
        <f>Mi*(H32-ypot_1)</f>
        <v>-0.37389013168344037</v>
      </c>
      <c r="K32" s="12">
        <f>I32-iext_0 * R32</f>
        <v>1.3093467155465826</v>
      </c>
      <c r="L32"/>
      <c r="M32">
        <f t="shared" ca="1" si="5"/>
        <v>-5.3458240581347486E-3</v>
      </c>
      <c r="N32">
        <f t="shared" ca="1" si="6"/>
        <v>1.2868485472820289E-2</v>
      </c>
      <c r="O32">
        <f t="shared" ca="1" si="7"/>
        <v>1.0129516407432952</v>
      </c>
      <c r="P32" s="1">
        <f t="shared" si="3"/>
        <v>34.998363693316769</v>
      </c>
      <c r="Q32" s="5">
        <f t="shared" si="4"/>
        <v>4.6771599213945922</v>
      </c>
      <c r="R32" s="1">
        <v>0.99797435805485646</v>
      </c>
    </row>
    <row r="33" spans="1:18" ht="13.9" customHeight="1" thickBot="1" x14ac:dyDescent="0.35">
      <c r="A33" t="s">
        <v>40</v>
      </c>
      <c r="B33">
        <f>IF(C29=0,ABS(1+B29),SQRT((1+B29)^2+C29^2))</f>
        <v>1.5394693591421842</v>
      </c>
      <c r="C33"/>
      <c r="D33"/>
      <c r="E33" s="14">
        <f t="shared" si="8"/>
        <v>30</v>
      </c>
      <c r="F33" s="15">
        <f t="shared" si="1"/>
        <v>1.7777447631721386</v>
      </c>
      <c r="G33" s="11">
        <f>-(m_1-F33-Psi*ypot_1*R33)/(Theta*Lambda1)-iext_1/Lambda1+sbar_1</f>
        <v>79.280331767322636</v>
      </c>
      <c r="H33" s="11">
        <f t="shared" si="2"/>
        <v>2049.6961911303756</v>
      </c>
      <c r="I33" s="11">
        <f>MAX(0,-1/Theta*(m_0-F33-Psi*ypot_0))</f>
        <v>3.5554895263442745</v>
      </c>
      <c r="J33" s="11">
        <f>Mi*(H33-ypot_1)</f>
        <v>0.49696191130375611</v>
      </c>
      <c r="K33" s="12">
        <f>I33-iext_0 * R33</f>
        <v>0.59457800083942214</v>
      </c>
      <c r="L33"/>
      <c r="M33">
        <f t="shared" ca="1" si="5"/>
        <v>4.7014072223983882E-3</v>
      </c>
      <c r="N33">
        <f t="shared" ca="1" si="6"/>
        <v>1.6283044147936649E-2</v>
      </c>
      <c r="O33">
        <f t="shared" ca="1" si="7"/>
        <v>1.0164163353909517</v>
      </c>
      <c r="P33" s="1">
        <f t="shared" si="3"/>
        <v>44.596014799029923</v>
      </c>
      <c r="Q33" s="5">
        <f t="shared" si="4"/>
        <v>3.0585276150405183</v>
      </c>
      <c r="R33" s="1">
        <v>0.98697050850161749</v>
      </c>
    </row>
    <row r="34" spans="1:18" ht="13.9" customHeight="1" x14ac:dyDescent="0.2">
      <c r="A34"/>
      <c r="B34"/>
      <c r="C34"/>
      <c r="D34"/>
      <c r="E34"/>
      <c r="F34"/>
      <c r="G34"/>
      <c r="H34"/>
      <c r="I34"/>
      <c r="J34"/>
      <c r="K34"/>
      <c r="L34"/>
    </row>
    <row r="35" spans="1:18" ht="13.9" customHeight="1" x14ac:dyDescent="0.25">
      <c r="A35" s="9" t="s">
        <v>46</v>
      </c>
      <c r="B35" s="10">
        <v>0.9</v>
      </c>
      <c r="E35" s="8"/>
      <c r="F35" s="6"/>
      <c r="G35" s="6"/>
      <c r="H35" s="7"/>
      <c r="I35" s="6"/>
      <c r="J35" s="6"/>
      <c r="K35" s="6"/>
    </row>
    <row r="36" spans="1:18" ht="13.9" customHeight="1" x14ac:dyDescent="0.25">
      <c r="A36" s="9" t="s">
        <v>47</v>
      </c>
      <c r="B36" s="10">
        <v>0.01</v>
      </c>
      <c r="E36" s="8"/>
      <c r="F36" s="6"/>
      <c r="G36" s="6"/>
      <c r="H36" s="7"/>
      <c r="I36" s="6"/>
      <c r="J36" s="6"/>
      <c r="K36" s="6"/>
    </row>
    <row r="37" spans="1:18" ht="13.9" customHeight="1" x14ac:dyDescent="0.2">
      <c r="E37" s="8"/>
      <c r="F37" s="6"/>
      <c r="G37" s="6"/>
      <c r="H37" s="7"/>
      <c r="I37" s="6"/>
      <c r="J37" s="6"/>
      <c r="K37" s="6"/>
    </row>
    <row r="38" spans="1:18" ht="13.9" customHeight="1" x14ac:dyDescent="0.2">
      <c r="D38" s="3"/>
      <c r="E38" s="8"/>
      <c r="F38" s="6"/>
      <c r="G38" s="6"/>
      <c r="H38" s="7"/>
      <c r="I38" s="6"/>
      <c r="J38" s="6"/>
      <c r="K38" s="6"/>
    </row>
    <row r="39" spans="1:18" ht="13.9" customHeight="1" x14ac:dyDescent="0.2">
      <c r="D39" s="5"/>
      <c r="E39" s="8"/>
      <c r="F39" s="6"/>
      <c r="G39" s="6"/>
      <c r="H39" s="7"/>
      <c r="I39" s="6"/>
      <c r="J39" s="6"/>
      <c r="K39" s="6"/>
    </row>
    <row r="40" spans="1:18" ht="13.9" customHeight="1" x14ac:dyDescent="0.2">
      <c r="D40" s="5"/>
      <c r="E40" s="8"/>
      <c r="F40" s="6"/>
      <c r="G40" s="6"/>
      <c r="H40" s="7"/>
      <c r="I40" s="6"/>
      <c r="J40" s="6"/>
      <c r="K40" s="6"/>
    </row>
    <row r="41" spans="1:18" ht="13.9" customHeight="1" x14ac:dyDescent="0.2">
      <c r="E41" s="8"/>
      <c r="F41" s="6"/>
      <c r="G41" s="6"/>
      <c r="H41" s="7"/>
      <c r="I41" s="6"/>
      <c r="J41" s="6"/>
      <c r="K41" s="6"/>
    </row>
    <row r="42" spans="1:18" x14ac:dyDescent="0.2">
      <c r="E42" s="8"/>
      <c r="F42" s="6"/>
      <c r="G42" s="6"/>
      <c r="H42" s="7"/>
      <c r="I42" s="6"/>
      <c r="J42" s="6"/>
      <c r="K42" s="6"/>
    </row>
    <row r="43" spans="1:18" x14ac:dyDescent="0.2">
      <c r="E43" s="8"/>
      <c r="F43" s="6"/>
      <c r="G43" s="6"/>
      <c r="H43" s="7"/>
      <c r="I43" s="6"/>
      <c r="J43" s="6"/>
      <c r="K43" s="6"/>
    </row>
  </sheetData>
  <phoneticPr fontId="0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Hoja1</vt:lpstr>
      <vt:lpstr>Hoja2</vt:lpstr>
      <vt:lpstr>Hoja3</vt:lpstr>
      <vt:lpstr>Beta0_0</vt:lpstr>
      <vt:lpstr>Beta0_1</vt:lpstr>
      <vt:lpstr>Beta1</vt:lpstr>
      <vt:lpstr>Beta2</vt:lpstr>
      <vt:lpstr>iext_0</vt:lpstr>
      <vt:lpstr>iext_1</vt:lpstr>
      <vt:lpstr>iext0</vt:lpstr>
      <vt:lpstr>iext1</vt:lpstr>
      <vt:lpstr>Lambda1</vt:lpstr>
      <vt:lpstr>Lambda2</vt:lpstr>
      <vt:lpstr>m_0</vt:lpstr>
      <vt:lpstr>m_1</vt:lpstr>
      <vt:lpstr>Mi</vt:lpstr>
      <vt:lpstr>money0</vt:lpstr>
      <vt:lpstr>money1</vt:lpstr>
      <vt:lpstr>pbar_0</vt:lpstr>
      <vt:lpstr>pbar_1</vt:lpstr>
      <vt:lpstr>pbar0</vt:lpstr>
      <vt:lpstr>pbar1</vt:lpstr>
      <vt:lpstr>pext_0</vt:lpstr>
      <vt:lpstr>pext_1</vt:lpstr>
      <vt:lpstr>pext0</vt:lpstr>
      <vt:lpstr>pext1</vt:lpstr>
      <vt:lpstr>Psi</vt:lpstr>
      <vt:lpstr>sbar_0</vt:lpstr>
      <vt:lpstr>sbar_1</vt:lpstr>
      <vt:lpstr>sbar0</vt:lpstr>
      <vt:lpstr>sbar1</vt:lpstr>
      <vt:lpstr>Theta</vt:lpstr>
      <vt:lpstr>ypot_0</vt:lpstr>
      <vt:lpstr>ypot_1</vt:lpstr>
      <vt:lpstr>ypot0</vt:lpstr>
      <vt:lpstr>ypot1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JoseLuis</dc:creator>
  <cp:lastModifiedBy>Paul D McNelis</cp:lastModifiedBy>
  <dcterms:created xsi:type="dcterms:W3CDTF">2009-07-04T07:41:09Z</dcterms:created>
  <dcterms:modified xsi:type="dcterms:W3CDTF">2025-10-06T15:37:19Z</dcterms:modified>
</cp:coreProperties>
</file>