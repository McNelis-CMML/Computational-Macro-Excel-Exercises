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BEE46334-86EB-4AFC-A24A-B0C3D8460C21}" xr6:coauthVersionLast="47" xr6:coauthVersionMax="47" xr10:uidLastSave="{00000000-0000-0000-0000-000000000000}"/>
  <bookViews>
    <workbookView xWindow="-98" yWindow="-98" windowWidth="19396" windowHeight="11475" xr2:uid="{909F8FA6-EB0A-40CF-858C-A89B7A4F2411}"/>
  </bookViews>
  <sheets>
    <sheet name="Sheet1" sheetId="1" r:id="rId1"/>
  </sheets>
  <externalReferences>
    <externalReference r:id="rId2"/>
  </externalReferences>
  <definedNames>
    <definedName name="Ac">Sheet1!$B$34</definedName>
    <definedName name="alpha">Sheet1!$B$12</definedName>
    <definedName name="Beta">Sheet1!$B$18</definedName>
    <definedName name="Cbar">Sheet1!$B$39</definedName>
    <definedName name="Delta">Sheet1!$B$13</definedName>
    <definedName name="gamma">Sheet1!$B$49</definedName>
    <definedName name="Interest">Sheet1!$B$17</definedName>
    <definedName name="kbar">Sheet1!$B$21</definedName>
    <definedName name="lambdabar">Sheet1!$B$46</definedName>
    <definedName name="lbar">Sheet1!$B$22</definedName>
    <definedName name="mpk">Sheet1!$B$47</definedName>
    <definedName name="mpl">Sheet1!$B$48</definedName>
    <definedName name="Phi">Sheet1!$B$14</definedName>
    <definedName name="phiL">Sheet1!$B$38</definedName>
    <definedName name="phiLL">Sheet1!$B$37</definedName>
    <definedName name="qbar">Sheet1!$B$20</definedName>
    <definedName name="R_1">#REF!</definedName>
    <definedName name="rho">'[1]Cobb-Dougles'!$B$29</definedName>
    <definedName name="rhoc">Sheet1!$B$31</definedName>
    <definedName name="sigma">'[1]Cobb-Dougles'!$B$30</definedName>
    <definedName name="sigma_c">Sheet1!$B$36</definedName>
    <definedName name="solver_adj" localSheetId="0" hidden="1">Sheet1!$H$3:$H$50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Sheet1!$H$50</definedName>
    <definedName name="solver_lhs2" localSheetId="0" hidden="1">Sheet1!$N$2:$N$50</definedName>
    <definedName name="solver_lhs3" localSheetId="0" hidden="1">Sheet1!$N$3:$N$50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Sheet1!$S$51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hs1" localSheetId="0" hidden="1">1</definedName>
    <definedName name="solver_rhs2" localSheetId="0" hidden="1">0.6</definedName>
    <definedName name="solver_rhs3" localSheetId="0" hidden="1">0.01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uc">Sheet1!$B$42</definedName>
    <definedName name="tauk">Sheet1!$B$44</definedName>
    <definedName name="tauw">Sheet1!$B$43</definedName>
    <definedName name="ybar">'[1]Cobb-Dougles'!$B$23</definedName>
    <definedName name="yhat">Sheet1!$B$33</definedName>
    <definedName name="yhat1">Sheet1!$B$35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M2" i="1" l="1"/>
  <c r="B35" i="1"/>
  <c r="B33" i="1"/>
  <c r="B34" i="1" s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B23" i="1"/>
  <c r="T22" i="1"/>
  <c r="T21" i="1"/>
  <c r="T20" i="1"/>
  <c r="D20" i="1"/>
  <c r="T19" i="1"/>
  <c r="D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J3" i="1"/>
  <c r="V2" i="1"/>
  <c r="J2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O2" i="1" l="1"/>
  <c r="G7" i="1"/>
  <c r="G30" i="1"/>
  <c r="G9" i="1"/>
  <c r="G32" i="1"/>
  <c r="G17" i="1"/>
  <c r="G33" i="1"/>
  <c r="G18" i="1"/>
  <c r="G34" i="1"/>
  <c r="G19" i="1"/>
  <c r="G37" i="1"/>
  <c r="G38" i="1"/>
  <c r="G3" i="1"/>
  <c r="G4" i="1"/>
  <c r="G5" i="1"/>
  <c r="G8" i="1"/>
  <c r="G11" i="1"/>
  <c r="G12" i="1"/>
  <c r="G13" i="1"/>
  <c r="G14" i="1"/>
  <c r="G15" i="1"/>
  <c r="G16" i="1"/>
  <c r="G24" i="1"/>
  <c r="G26" i="1"/>
  <c r="G29" i="1"/>
  <c r="G20" i="1"/>
  <c r="G21" i="1"/>
  <c r="G22" i="1"/>
  <c r="G23" i="1"/>
  <c r="G25" i="1"/>
  <c r="G6" i="1"/>
  <c r="G10" i="1"/>
  <c r="G27" i="1"/>
  <c r="G28" i="1"/>
  <c r="G43" i="1"/>
  <c r="G40" i="1"/>
  <c r="G39" i="1"/>
  <c r="G31" i="1"/>
  <c r="G42" i="1"/>
  <c r="G41" i="1"/>
  <c r="G36" i="1"/>
  <c r="G45" i="1"/>
  <c r="G35" i="1"/>
  <c r="G50" i="1"/>
  <c r="G49" i="1"/>
  <c r="G48" i="1"/>
  <c r="G47" i="1"/>
  <c r="G46" i="1"/>
  <c r="G44" i="1"/>
  <c r="I3" i="1"/>
  <c r="Q3" i="1" s="1"/>
  <c r="Q2" i="1"/>
  <c r="B18" i="1"/>
  <c r="B47" i="1" a="1"/>
  <c r="B47" i="1" s="1"/>
  <c r="B54" i="1" s="1" a="1"/>
  <c r="B54" i="1" s="1"/>
  <c r="B48" i="1"/>
  <c r="G2" i="1"/>
  <c r="P2" i="1" s="1"/>
  <c r="L3" i="1"/>
  <c r="J4" i="1"/>
  <c r="I4" i="1"/>
  <c r="L2" i="1"/>
  <c r="Q4" i="1" l="1"/>
  <c r="K2" i="1"/>
  <c r="W2" i="1" s="1"/>
  <c r="B39" i="1"/>
  <c r="B24" i="1"/>
  <c r="B53" i="1" a="1"/>
  <c r="B53" i="1" s="1"/>
  <c r="I5" i="1"/>
  <c r="J5" i="1"/>
  <c r="L4" i="1"/>
  <c r="Q5" i="1" l="1"/>
  <c r="B46" i="1"/>
  <c r="B49" i="1" s="1"/>
  <c r="X2" i="1"/>
  <c r="J6" i="1"/>
  <c r="I6" i="1"/>
  <c r="L5" i="1"/>
  <c r="N3" i="1" l="1"/>
  <c r="M3" i="1" s="1"/>
  <c r="Q6" i="1"/>
  <c r="B51" i="1"/>
  <c r="J7" i="1"/>
  <c r="I7" i="1"/>
  <c r="L6" i="1"/>
  <c r="O3" i="1" l="1"/>
  <c r="Q7" i="1"/>
  <c r="P3" i="1"/>
  <c r="K3" i="1"/>
  <c r="J8" i="1"/>
  <c r="I8" i="1"/>
  <c r="L7" i="1"/>
  <c r="Q8" i="1" l="1"/>
  <c r="W3" i="1"/>
  <c r="X3" i="1" s="1"/>
  <c r="Y3" i="1" s="1"/>
  <c r="I9" i="1"/>
  <c r="J9" i="1"/>
  <c r="L8" i="1"/>
  <c r="N4" i="1" l="1"/>
  <c r="M4" i="1" s="1"/>
  <c r="Q9" i="1"/>
  <c r="L9" i="1"/>
  <c r="J10" i="1"/>
  <c r="I10" i="1"/>
  <c r="R3" i="1" l="1"/>
  <c r="S3" i="1" s="1"/>
  <c r="O4" i="1"/>
  <c r="Q10" i="1"/>
  <c r="P4" i="1"/>
  <c r="K4" i="1"/>
  <c r="J11" i="1"/>
  <c r="I11" i="1"/>
  <c r="L10" i="1"/>
  <c r="Q11" i="1" l="1"/>
  <c r="W4" i="1"/>
  <c r="X4" i="1" s="1"/>
  <c r="Y4" i="1" s="1"/>
  <c r="L11" i="1"/>
  <c r="J12" i="1"/>
  <c r="I12" i="1"/>
  <c r="N5" i="1" l="1"/>
  <c r="M5" i="1" s="1"/>
  <c r="K5" i="1" s="1"/>
  <c r="Q12" i="1"/>
  <c r="I13" i="1"/>
  <c r="J13" i="1"/>
  <c r="L12" i="1"/>
  <c r="R4" i="1" l="1"/>
  <c r="S4" i="1" s="1"/>
  <c r="P5" i="1"/>
  <c r="O5" i="1"/>
  <c r="Q13" i="1"/>
  <c r="L13" i="1"/>
  <c r="J14" i="1"/>
  <c r="I14" i="1"/>
  <c r="W5" i="1" l="1"/>
  <c r="X5" i="1" s="1"/>
  <c r="Y5" i="1" s="1"/>
  <c r="Q14" i="1"/>
  <c r="J15" i="1"/>
  <c r="I15" i="1"/>
  <c r="L14" i="1"/>
  <c r="R5" i="1" l="1"/>
  <c r="S5" i="1" s="1"/>
  <c r="N6" i="1"/>
  <c r="M6" i="1" s="1"/>
  <c r="K6" i="1" s="1"/>
  <c r="Q15" i="1"/>
  <c r="J16" i="1"/>
  <c r="I16" i="1"/>
  <c r="L15" i="1"/>
  <c r="P6" i="1" l="1"/>
  <c r="O6" i="1"/>
  <c r="Q16" i="1"/>
  <c r="I17" i="1"/>
  <c r="J17" i="1"/>
  <c r="L16" i="1"/>
  <c r="W6" i="1" l="1"/>
  <c r="X6" i="1" s="1"/>
  <c r="Y6" i="1" s="1"/>
  <c r="Q17" i="1"/>
  <c r="L17" i="1"/>
  <c r="J18" i="1"/>
  <c r="I18" i="1"/>
  <c r="R6" i="1" l="1"/>
  <c r="S6" i="1" s="1"/>
  <c r="N7" i="1"/>
  <c r="M7" i="1" s="1"/>
  <c r="K7" i="1" s="1"/>
  <c r="Q18" i="1"/>
  <c r="L18" i="1"/>
  <c r="J19" i="1"/>
  <c r="I19" i="1"/>
  <c r="P7" i="1" l="1"/>
  <c r="O7" i="1"/>
  <c r="Q19" i="1"/>
  <c r="I20" i="1"/>
  <c r="J20" i="1"/>
  <c r="L19" i="1"/>
  <c r="W7" i="1" l="1"/>
  <c r="X7" i="1" s="1"/>
  <c r="Y7" i="1" s="1"/>
  <c r="Q20" i="1"/>
  <c r="L20" i="1"/>
  <c r="I21" i="1"/>
  <c r="J21" i="1"/>
  <c r="R7" i="1" l="1"/>
  <c r="S7" i="1" s="1"/>
  <c r="N8" i="1"/>
  <c r="M8" i="1" s="1"/>
  <c r="K8" i="1" s="1"/>
  <c r="Q21" i="1"/>
  <c r="L21" i="1"/>
  <c r="J22" i="1"/>
  <c r="I22" i="1"/>
  <c r="O8" i="1" l="1"/>
  <c r="P8" i="1"/>
  <c r="Q22" i="1"/>
  <c r="I23" i="1"/>
  <c r="J23" i="1"/>
  <c r="L22" i="1"/>
  <c r="W8" i="1" l="1"/>
  <c r="X8" i="1" s="1"/>
  <c r="Y8" i="1" s="1"/>
  <c r="Q23" i="1"/>
  <c r="L23" i="1"/>
  <c r="J24" i="1"/>
  <c r="I24" i="1"/>
  <c r="R8" i="1" l="1"/>
  <c r="S8" i="1" s="1"/>
  <c r="N9" i="1"/>
  <c r="M9" i="1" s="1"/>
  <c r="K9" i="1" s="1"/>
  <c r="Q24" i="1"/>
  <c r="L24" i="1"/>
  <c r="J25" i="1"/>
  <c r="I25" i="1"/>
  <c r="O9" i="1" l="1"/>
  <c r="P9" i="1"/>
  <c r="Q25" i="1"/>
  <c r="J26" i="1"/>
  <c r="I26" i="1"/>
  <c r="L25" i="1"/>
  <c r="W9" i="1" l="1"/>
  <c r="X9" i="1" s="1"/>
  <c r="Y9" i="1" s="1"/>
  <c r="Q26" i="1"/>
  <c r="J27" i="1"/>
  <c r="I27" i="1"/>
  <c r="L26" i="1"/>
  <c r="R9" i="1" l="1"/>
  <c r="S9" i="1" s="1"/>
  <c r="N10" i="1"/>
  <c r="M10" i="1" s="1"/>
  <c r="K10" i="1" s="1"/>
  <c r="Q27" i="1"/>
  <c r="I28" i="1"/>
  <c r="J28" i="1"/>
  <c r="L27" i="1"/>
  <c r="P10" i="1" l="1"/>
  <c r="O10" i="1"/>
  <c r="Q28" i="1"/>
  <c r="L28" i="1"/>
  <c r="I29" i="1"/>
  <c r="J29" i="1"/>
  <c r="W10" i="1" l="1"/>
  <c r="X10" i="1" s="1"/>
  <c r="Y10" i="1" s="1"/>
  <c r="Q29" i="1"/>
  <c r="L29" i="1"/>
  <c r="J30" i="1"/>
  <c r="I30" i="1"/>
  <c r="R10" i="1" l="1"/>
  <c r="S10" i="1" s="1"/>
  <c r="N11" i="1"/>
  <c r="M11" i="1" s="1"/>
  <c r="K11" i="1" s="1"/>
  <c r="Q30" i="1"/>
  <c r="L30" i="1"/>
  <c r="J31" i="1"/>
  <c r="I31" i="1"/>
  <c r="O11" i="1" l="1"/>
  <c r="P11" i="1"/>
  <c r="Q31" i="1"/>
  <c r="J32" i="1"/>
  <c r="I32" i="1"/>
  <c r="L31" i="1"/>
  <c r="W11" i="1" l="1"/>
  <c r="X11" i="1" s="1"/>
  <c r="Y11" i="1" s="1"/>
  <c r="Q32" i="1"/>
  <c r="J33" i="1"/>
  <c r="I33" i="1"/>
  <c r="L32" i="1"/>
  <c r="R11" i="1" l="1"/>
  <c r="S11" i="1" s="1"/>
  <c r="N12" i="1"/>
  <c r="O12" i="1" s="1"/>
  <c r="Q33" i="1"/>
  <c r="I34" i="1"/>
  <c r="J34" i="1"/>
  <c r="L33" i="1"/>
  <c r="M12" i="1" l="1"/>
  <c r="K12" i="1" s="1"/>
  <c r="Q34" i="1"/>
  <c r="L34" i="1"/>
  <c r="I35" i="1"/>
  <c r="J35" i="1"/>
  <c r="P12" i="1" l="1"/>
  <c r="W12" i="1" s="1"/>
  <c r="X12" i="1" s="1"/>
  <c r="Y12" i="1" s="1"/>
  <c r="Q35" i="1"/>
  <c r="L35" i="1"/>
  <c r="J36" i="1"/>
  <c r="I36" i="1"/>
  <c r="R12" i="1" l="1"/>
  <c r="S12" i="1" s="1"/>
  <c r="N13" i="1"/>
  <c r="Q36" i="1"/>
  <c r="J37" i="1"/>
  <c r="I37" i="1"/>
  <c r="L36" i="1"/>
  <c r="M13" i="1" l="1"/>
  <c r="K13" i="1" s="1"/>
  <c r="O13" i="1"/>
  <c r="Q37" i="1"/>
  <c r="I38" i="1"/>
  <c r="J38" i="1"/>
  <c r="L37" i="1"/>
  <c r="P13" i="1" l="1"/>
  <c r="W13" i="1" s="1"/>
  <c r="X13" i="1" s="1"/>
  <c r="Y13" i="1" s="1"/>
  <c r="Q38" i="1"/>
  <c r="L38" i="1"/>
  <c r="I39" i="1"/>
  <c r="J39" i="1"/>
  <c r="R13" i="1" l="1"/>
  <c r="S13" i="1" s="1"/>
  <c r="N14" i="1"/>
  <c r="M14" i="1" s="1"/>
  <c r="K14" i="1" s="1"/>
  <c r="Q39" i="1"/>
  <c r="L39" i="1"/>
  <c r="J40" i="1"/>
  <c r="I40" i="1"/>
  <c r="O14" i="1" l="1"/>
  <c r="P14" i="1"/>
  <c r="Q40" i="1"/>
  <c r="L40" i="1"/>
  <c r="J41" i="1"/>
  <c r="I41" i="1"/>
  <c r="W14" i="1" l="1"/>
  <c r="X14" i="1" s="1"/>
  <c r="Y14" i="1" s="1"/>
  <c r="Q41" i="1"/>
  <c r="L41" i="1"/>
  <c r="I42" i="1"/>
  <c r="J42" i="1"/>
  <c r="R14" i="1" l="1"/>
  <c r="S14" i="1" s="1"/>
  <c r="N15" i="1"/>
  <c r="O15" i="1" s="1"/>
  <c r="Q42" i="1"/>
  <c r="J43" i="1"/>
  <c r="I43" i="1"/>
  <c r="L42" i="1"/>
  <c r="M15" i="1" l="1"/>
  <c r="P15" i="1" s="1"/>
  <c r="Q43" i="1"/>
  <c r="J44" i="1"/>
  <c r="I44" i="1"/>
  <c r="L43" i="1"/>
  <c r="K15" i="1" l="1"/>
  <c r="Q44" i="1"/>
  <c r="J45" i="1"/>
  <c r="I45" i="1"/>
  <c r="L44" i="1"/>
  <c r="W15" i="1" l="1"/>
  <c r="X15" i="1" s="1"/>
  <c r="Q45" i="1"/>
  <c r="I46" i="1"/>
  <c r="J46" i="1"/>
  <c r="L45" i="1"/>
  <c r="Y15" i="1" l="1"/>
  <c r="R15" i="1" s="1"/>
  <c r="S15" i="1" s="1"/>
  <c r="N16" i="1"/>
  <c r="M16" i="1" s="1"/>
  <c r="K16" i="1" s="1"/>
  <c r="Q46" i="1"/>
  <c r="L46" i="1"/>
  <c r="J47" i="1"/>
  <c r="I47" i="1"/>
  <c r="O16" i="1" l="1"/>
  <c r="P16" i="1"/>
  <c r="Q47" i="1"/>
  <c r="J48" i="1"/>
  <c r="I48" i="1"/>
  <c r="L47" i="1"/>
  <c r="W16" i="1" l="1"/>
  <c r="X16" i="1" s="1"/>
  <c r="Y16" i="1" s="1"/>
  <c r="Q48" i="1"/>
  <c r="J49" i="1"/>
  <c r="I49" i="1"/>
  <c r="L48" i="1"/>
  <c r="R16" i="1" l="1"/>
  <c r="S16" i="1" s="1"/>
  <c r="N17" i="1"/>
  <c r="M17" i="1" s="1"/>
  <c r="Q49" i="1"/>
  <c r="I50" i="1"/>
  <c r="J50" i="1"/>
  <c r="L49" i="1"/>
  <c r="O17" i="1" l="1"/>
  <c r="K17" i="1"/>
  <c r="P17" i="1"/>
  <c r="Q50" i="1"/>
  <c r="L50" i="1"/>
  <c r="W17" i="1" l="1"/>
  <c r="X17" i="1" s="1"/>
  <c r="Y17" i="1" s="1"/>
  <c r="R17" i="1" l="1"/>
  <c r="S17" i="1" s="1"/>
  <c r="N18" i="1"/>
  <c r="M18" i="1" s="1"/>
  <c r="K18" i="1" s="1"/>
  <c r="P18" i="1" l="1"/>
  <c r="O18" i="1"/>
  <c r="W18" i="1" l="1"/>
  <c r="X18" i="1" s="1"/>
  <c r="Y18" i="1" s="1"/>
  <c r="R18" i="1" l="1"/>
  <c r="S18" i="1" s="1"/>
  <c r="N19" i="1"/>
  <c r="M19" i="1" s="1"/>
  <c r="K19" i="1" s="1"/>
  <c r="P19" i="1" l="1"/>
  <c r="O19" i="1"/>
  <c r="W19" i="1" l="1"/>
  <c r="X19" i="1" s="1"/>
  <c r="Y19" i="1" s="1"/>
  <c r="R19" i="1" l="1"/>
  <c r="S19" i="1" s="1"/>
  <c r="N20" i="1"/>
  <c r="M20" i="1" s="1"/>
  <c r="K20" i="1" s="1"/>
  <c r="P20" i="1" l="1"/>
  <c r="O20" i="1"/>
  <c r="W20" i="1" l="1"/>
  <c r="X20" i="1" s="1"/>
  <c r="Y20" i="1" s="1"/>
  <c r="R20" i="1" l="1"/>
  <c r="S20" i="1" s="1"/>
  <c r="N21" i="1"/>
  <c r="M21" i="1" s="1"/>
  <c r="K21" i="1" s="1"/>
  <c r="O21" i="1" l="1"/>
  <c r="P21" i="1"/>
  <c r="W21" i="1" l="1"/>
  <c r="X21" i="1" s="1"/>
  <c r="Y21" i="1" s="1"/>
  <c r="R21" i="1" l="1"/>
  <c r="S21" i="1" s="1"/>
  <c r="N22" i="1"/>
  <c r="M22" i="1" s="1"/>
  <c r="K22" i="1" s="1"/>
  <c r="O22" i="1" l="1"/>
  <c r="P22" i="1"/>
  <c r="W22" i="1" l="1"/>
  <c r="X22" i="1" s="1"/>
  <c r="Y22" i="1" s="1"/>
  <c r="R22" i="1" l="1"/>
  <c r="S22" i="1" s="1"/>
  <c r="N23" i="1"/>
  <c r="M23" i="1" s="1"/>
  <c r="P23" i="1" s="1"/>
  <c r="O23" i="1" l="1"/>
  <c r="K23" i="1"/>
  <c r="W23" i="1" l="1"/>
  <c r="X23" i="1" s="1"/>
  <c r="Y23" i="1" s="1"/>
  <c r="R23" i="1" l="1"/>
  <c r="S23" i="1" s="1"/>
  <c r="N24" i="1"/>
  <c r="M24" i="1" s="1"/>
  <c r="K24" i="1" s="1"/>
  <c r="O24" i="1" l="1"/>
  <c r="P24" i="1"/>
  <c r="W24" i="1" l="1"/>
  <c r="X24" i="1" s="1"/>
  <c r="Y24" i="1" s="1"/>
  <c r="R24" i="1" l="1"/>
  <c r="S24" i="1" s="1"/>
  <c r="N25" i="1"/>
  <c r="M25" i="1" s="1"/>
  <c r="K25" i="1" s="1"/>
  <c r="O25" i="1" l="1"/>
  <c r="P25" i="1"/>
  <c r="W25" i="1" l="1"/>
  <c r="X25" i="1" s="1"/>
  <c r="Y25" i="1" s="1"/>
  <c r="R25" i="1" l="1"/>
  <c r="S25" i="1" s="1"/>
  <c r="N26" i="1"/>
  <c r="M26" i="1" s="1"/>
  <c r="K26" i="1" s="1"/>
  <c r="O26" i="1" l="1"/>
  <c r="P26" i="1"/>
  <c r="W26" i="1" l="1"/>
  <c r="X26" i="1" s="1"/>
  <c r="Y26" i="1" s="1"/>
  <c r="R26" i="1" l="1"/>
  <c r="S26" i="1" s="1"/>
  <c r="N27" i="1"/>
  <c r="O27" i="1" s="1"/>
  <c r="M27" i="1" l="1"/>
  <c r="K27" i="1" s="1"/>
  <c r="P27" i="1" l="1"/>
  <c r="W27" i="1" s="1"/>
  <c r="X27" i="1" s="1"/>
  <c r="Y27" i="1" s="1"/>
  <c r="R27" i="1" l="1"/>
  <c r="S27" i="1" s="1"/>
  <c r="N28" i="1"/>
  <c r="O28" i="1" s="1"/>
  <c r="M28" i="1" l="1"/>
  <c r="K28" i="1" s="1"/>
  <c r="P28" i="1" l="1"/>
  <c r="W28" i="1" s="1"/>
  <c r="X28" i="1" s="1"/>
  <c r="Y28" i="1" s="1"/>
  <c r="R28" i="1" l="1"/>
  <c r="S28" i="1" s="1"/>
  <c r="N29" i="1"/>
  <c r="M29" i="1" s="1"/>
  <c r="K29" i="1" s="1"/>
  <c r="P29" i="1" l="1"/>
  <c r="O29" i="1"/>
  <c r="W29" i="1" l="1"/>
  <c r="X29" i="1" s="1"/>
  <c r="Y29" i="1" s="1"/>
  <c r="R29" i="1" l="1"/>
  <c r="S29" i="1" s="1"/>
  <c r="N30" i="1"/>
  <c r="M30" i="1" s="1"/>
  <c r="K30" i="1" s="1"/>
  <c r="O30" i="1" l="1"/>
  <c r="P30" i="1"/>
  <c r="W30" i="1" l="1"/>
  <c r="X30" i="1" s="1"/>
  <c r="Y30" i="1" s="1"/>
  <c r="R30" i="1" l="1"/>
  <c r="S30" i="1" s="1"/>
  <c r="N31" i="1"/>
  <c r="M31" i="1" s="1"/>
  <c r="K31" i="1" s="1"/>
  <c r="O31" i="1" l="1"/>
  <c r="P31" i="1"/>
  <c r="W31" i="1" l="1"/>
  <c r="X31" i="1" s="1"/>
  <c r="Y31" i="1" s="1"/>
  <c r="R31" i="1" l="1"/>
  <c r="S31" i="1" s="1"/>
  <c r="N32" i="1"/>
  <c r="M32" i="1" s="1"/>
  <c r="K32" i="1" s="1"/>
  <c r="P32" i="1" l="1"/>
  <c r="O32" i="1"/>
  <c r="W32" i="1" l="1"/>
  <c r="X32" i="1" s="1"/>
  <c r="Y32" i="1" s="1"/>
  <c r="R32" i="1" l="1"/>
  <c r="S32" i="1" s="1"/>
  <c r="N33" i="1"/>
  <c r="M33" i="1" s="1"/>
  <c r="K33" i="1" s="1"/>
  <c r="P33" i="1" l="1"/>
  <c r="O33" i="1"/>
  <c r="W33" i="1" l="1"/>
  <c r="X33" i="1" s="1"/>
  <c r="Y33" i="1" s="1"/>
  <c r="R33" i="1" l="1"/>
  <c r="S33" i="1" s="1"/>
  <c r="N34" i="1"/>
  <c r="M34" i="1" s="1"/>
  <c r="K34" i="1" s="1"/>
  <c r="P34" i="1" l="1"/>
  <c r="O34" i="1"/>
  <c r="W34" i="1" l="1"/>
  <c r="X34" i="1" s="1"/>
  <c r="Y34" i="1" s="1"/>
  <c r="R34" i="1" l="1"/>
  <c r="S34" i="1" s="1"/>
  <c r="N35" i="1"/>
  <c r="M35" i="1" s="1"/>
  <c r="K35" i="1" s="1"/>
  <c r="P35" i="1" l="1"/>
  <c r="O35" i="1"/>
  <c r="W35" i="1" l="1"/>
  <c r="X35" i="1" s="1"/>
  <c r="Y35" i="1" s="1"/>
  <c r="R35" i="1" l="1"/>
  <c r="S35" i="1" s="1"/>
  <c r="N36" i="1"/>
  <c r="M36" i="1" s="1"/>
  <c r="K36" i="1" s="1"/>
  <c r="O36" i="1" l="1"/>
  <c r="P36" i="1"/>
  <c r="W36" i="1" l="1"/>
  <c r="X36" i="1" s="1"/>
  <c r="Y36" i="1" s="1"/>
  <c r="R36" i="1" l="1"/>
  <c r="S36" i="1" s="1"/>
  <c r="N37" i="1"/>
  <c r="M37" i="1" s="1"/>
  <c r="K37" i="1" s="1"/>
  <c r="P37" i="1" l="1"/>
  <c r="O37" i="1"/>
  <c r="W37" i="1" l="1"/>
  <c r="X37" i="1" s="1"/>
  <c r="Y37" i="1" s="1"/>
  <c r="R37" i="1" l="1"/>
  <c r="S37" i="1" s="1"/>
  <c r="N38" i="1"/>
  <c r="M38" i="1" s="1"/>
  <c r="K38" i="1" s="1"/>
  <c r="O38" i="1" l="1"/>
  <c r="P38" i="1"/>
  <c r="W38" i="1" l="1"/>
  <c r="X38" i="1" s="1"/>
  <c r="Y38" i="1" s="1"/>
  <c r="R38" i="1" l="1"/>
  <c r="S38" i="1" s="1"/>
  <c r="N39" i="1"/>
  <c r="M39" i="1" s="1"/>
  <c r="K39" i="1" s="1"/>
  <c r="P39" i="1" l="1"/>
  <c r="O39" i="1"/>
  <c r="W39" i="1" l="1"/>
  <c r="X39" i="1" s="1"/>
  <c r="Y39" i="1" s="1"/>
  <c r="R39" i="1" l="1"/>
  <c r="S39" i="1" s="1"/>
  <c r="N40" i="1"/>
  <c r="M40" i="1" s="1"/>
  <c r="K40" i="1" s="1"/>
  <c r="P40" i="1" l="1"/>
  <c r="O40" i="1"/>
  <c r="W40" i="1" l="1"/>
  <c r="X40" i="1" s="1"/>
  <c r="Y40" i="1" s="1"/>
  <c r="R40" i="1" l="1"/>
  <c r="S40" i="1" s="1"/>
  <c r="N41" i="1"/>
  <c r="M41" i="1" s="1"/>
  <c r="K41" i="1" s="1"/>
  <c r="O41" i="1" l="1"/>
  <c r="P41" i="1"/>
  <c r="W41" i="1" l="1"/>
  <c r="X41" i="1" s="1"/>
  <c r="Y41" i="1" s="1"/>
  <c r="R41" i="1" l="1"/>
  <c r="S41" i="1" s="1"/>
  <c r="N42" i="1"/>
  <c r="M42" i="1" s="1"/>
  <c r="K42" i="1" s="1"/>
  <c r="P42" i="1" l="1"/>
  <c r="O42" i="1"/>
  <c r="W42" i="1" l="1"/>
  <c r="X42" i="1" s="1"/>
  <c r="Y42" i="1" s="1"/>
  <c r="R42" i="1" l="1"/>
  <c r="S42" i="1" s="1"/>
  <c r="N43" i="1"/>
  <c r="M43" i="1" s="1"/>
  <c r="K43" i="1" s="1"/>
  <c r="P43" i="1" l="1"/>
  <c r="O43" i="1"/>
  <c r="W43" i="1" l="1"/>
  <c r="X43" i="1" s="1"/>
  <c r="Y43" i="1" s="1"/>
  <c r="R43" i="1" l="1"/>
  <c r="S43" i="1" s="1"/>
  <c r="N44" i="1"/>
  <c r="M44" i="1" s="1"/>
  <c r="K44" i="1" s="1"/>
  <c r="P44" i="1" l="1"/>
  <c r="O44" i="1"/>
  <c r="W44" i="1" l="1"/>
  <c r="X44" i="1" s="1"/>
  <c r="N45" i="1" l="1"/>
  <c r="M45" i="1" s="1"/>
  <c r="K45" i="1" s="1"/>
  <c r="Y44" i="1"/>
  <c r="O45" i="1" l="1"/>
  <c r="P45" i="1"/>
  <c r="R44" i="1"/>
  <c r="S44" i="1" s="1"/>
  <c r="W45" i="1" l="1"/>
  <c r="X45" i="1" s="1"/>
  <c r="Y45" i="1" s="1"/>
  <c r="R45" i="1" s="1"/>
  <c r="S45" i="1" s="1"/>
  <c r="N46" i="1" l="1"/>
  <c r="M46" i="1" s="1"/>
  <c r="K46" i="1" s="1"/>
  <c r="P46" i="1" l="1"/>
  <c r="O46" i="1"/>
  <c r="W46" i="1" l="1"/>
  <c r="X46" i="1" s="1"/>
  <c r="Y46" i="1" s="1"/>
  <c r="R46" i="1" s="1"/>
  <c r="S46" i="1" s="1"/>
  <c r="N47" i="1" l="1"/>
  <c r="M47" i="1" s="1"/>
  <c r="K47" i="1" s="1"/>
  <c r="O47" i="1" l="1"/>
  <c r="P47" i="1"/>
  <c r="W47" i="1" l="1"/>
  <c r="X47" i="1" s="1"/>
  <c r="Y47" i="1" s="1"/>
  <c r="R47" i="1" s="1"/>
  <c r="S47" i="1" s="1"/>
  <c r="N48" i="1" l="1"/>
  <c r="M48" i="1" s="1"/>
  <c r="K48" i="1" s="1"/>
  <c r="P48" i="1" l="1"/>
  <c r="O48" i="1"/>
  <c r="W48" i="1" l="1"/>
  <c r="X48" i="1" s="1"/>
  <c r="Y48" i="1" s="1"/>
  <c r="R48" i="1" s="1"/>
  <c r="S48" i="1" s="1"/>
  <c r="N49" i="1" l="1"/>
  <c r="M49" i="1" s="1"/>
  <c r="K49" i="1" s="1"/>
  <c r="O49" i="1" l="1"/>
  <c r="P49" i="1"/>
  <c r="W49" i="1" l="1"/>
  <c r="X49" i="1" s="1"/>
  <c r="Y49" i="1" s="1"/>
  <c r="R49" i="1" s="1"/>
  <c r="S49" i="1" s="1"/>
  <c r="N50" i="1" l="1"/>
  <c r="M50" i="1" s="1"/>
  <c r="K50" i="1" s="1"/>
  <c r="P50" i="1" l="1"/>
  <c r="O50" i="1"/>
  <c r="W50" i="1" l="1"/>
  <c r="X50" i="1" s="1"/>
  <c r="Y50" i="1" s="1"/>
  <c r="R50" i="1" s="1"/>
  <c r="S50" i="1" s="1"/>
  <c r="S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<sst xmlns="http://schemas.openxmlformats.org/spreadsheetml/2006/main" count="58" uniqueCount="57">
  <si>
    <t>Date</t>
  </si>
  <si>
    <t>TFP</t>
  </si>
  <si>
    <t>q</t>
  </si>
  <si>
    <t>k</t>
  </si>
  <si>
    <t>i</t>
  </si>
  <si>
    <t>Marg Prod K</t>
  </si>
  <si>
    <t>AdjCosts</t>
  </si>
  <si>
    <t xml:space="preserve">yhat </t>
  </si>
  <si>
    <t>L</t>
  </si>
  <si>
    <t>Y</t>
  </si>
  <si>
    <t>W</t>
  </si>
  <si>
    <t>C_k</t>
  </si>
  <si>
    <t>Euler</t>
  </si>
  <si>
    <t>EulerSQ</t>
  </si>
  <si>
    <t>epsilon</t>
  </si>
  <si>
    <t>z</t>
  </si>
  <si>
    <t>Z</t>
  </si>
  <si>
    <t xml:space="preserve"> </t>
  </si>
  <si>
    <t>Parameters</t>
  </si>
  <si>
    <t>Initial</t>
  </si>
  <si>
    <t>alpha</t>
  </si>
  <si>
    <t>Delta</t>
  </si>
  <si>
    <t>Phi</t>
  </si>
  <si>
    <t>Exogenous variables</t>
  </si>
  <si>
    <t>Interest rate</t>
  </si>
  <si>
    <t>Beta</t>
  </si>
  <si>
    <t>Steady state</t>
  </si>
  <si>
    <t>Initial SS</t>
  </si>
  <si>
    <t>qbar</t>
  </si>
  <si>
    <t>kbar</t>
  </si>
  <si>
    <t>lbar</t>
  </si>
  <si>
    <t>ybar</t>
  </si>
  <si>
    <t>rho</t>
  </si>
  <si>
    <t>sigma</t>
  </si>
  <si>
    <t>rhoc1</t>
  </si>
  <si>
    <t>yhat</t>
  </si>
  <si>
    <t>Ac</t>
  </si>
  <si>
    <t>DSGE Model</t>
  </si>
  <si>
    <t>sigma_c</t>
  </si>
  <si>
    <t>phiL</t>
  </si>
  <si>
    <t>Cbar</t>
  </si>
  <si>
    <t>tauc</t>
  </si>
  <si>
    <t>tauw</t>
  </si>
  <si>
    <t>tauk</t>
  </si>
  <si>
    <t>lambdabar</t>
  </si>
  <si>
    <t xml:space="preserve">mpk </t>
  </si>
  <si>
    <t>rhoc</t>
  </si>
  <si>
    <t>mpl</t>
  </si>
  <si>
    <t>gamma</t>
  </si>
  <si>
    <t>LL</t>
  </si>
  <si>
    <t xml:space="preserve">junk1 </t>
  </si>
  <si>
    <t>C</t>
  </si>
  <si>
    <t>lambda</t>
  </si>
  <si>
    <t>cbar</t>
  </si>
  <si>
    <t>junk</t>
  </si>
  <si>
    <t>yhat1</t>
  </si>
  <si>
    <t>Beta1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</si>
</sst>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3" fillId="3" borderId="3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0" xfId="0" applyFont="1" applyFill="1" applyBorder="1"/>
    <xf numFmtId="2" fontId="2" fillId="6" borderId="9" xfId="0" applyNumberFormat="1" applyFont="1" applyFill="1" applyBorder="1" applyAlignment="1">
      <alignment horizontal="right"/>
    </xf>
    <xf numFmtId="0" fontId="3" fillId="3" borderId="5" xfId="0" applyFont="1" applyFill="1" applyBorder="1"/>
    <xf numFmtId="2" fontId="2" fillId="4" borderId="0" xfId="0" applyNumberFormat="1" applyFont="1" applyFill="1" applyAlignment="1">
      <alignment horizontal="right"/>
    </xf>
    <xf numFmtId="2" fontId="2" fillId="4" borderId="9" xfId="0" applyNumberFormat="1" applyFont="1" applyFill="1" applyBorder="1"/>
    <xf numFmtId="2" fontId="2" fillId="6" borderId="10" xfId="0" applyNumberFormat="1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2" fontId="2" fillId="4" borderId="1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164" fontId="2" fillId="4" borderId="9" xfId="0" applyNumberFormat="1" applyFont="1" applyFill="1" applyBorder="1"/>
    <xf numFmtId="0" fontId="5" fillId="4" borderId="7" xfId="0" applyFont="1" applyFill="1" applyBorder="1"/>
    <xf numFmtId="164" fontId="2" fillId="4" borderId="8" xfId="0" applyNumberFormat="1" applyFont="1" applyFill="1" applyBorder="1"/>
    <xf numFmtId="164" fontId="2" fillId="4" borderId="10" xfId="0" applyNumberFormat="1" applyFont="1" applyFill="1" applyBorder="1"/>
    <xf numFmtId="0" fontId="3" fillId="3" borderId="3" xfId="0" applyFont="1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2" fontId="2" fillId="4" borderId="9" xfId="0" applyNumberFormat="1" applyFont="1" applyFill="1" applyBorder="1" applyProtection="1">
      <protection locked="0"/>
    </xf>
    <xf numFmtId="2" fontId="2" fillId="4" borderId="10" xfId="0" applyNumberFormat="1" applyFont="1" applyFill="1" applyBorder="1" applyProtection="1">
      <protection locked="0"/>
    </xf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ostlePaul1906\Dropbox\ComputMacro\EXCEL-ICM\ICM-7b.xlsx" TargetMode="External"/><Relationship Id="rId1" Type="http://schemas.openxmlformats.org/officeDocument/2006/relationships/externalLinkPath" Target="ICM-7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bb-Dougles"/>
      <sheetName val="CES"/>
      <sheetName val="Sheet1"/>
    </sheetNames>
    <sheetDataSet>
      <sheetData sheetId="0">
        <row r="23">
          <cell r="B23">
            <v>1</v>
          </cell>
        </row>
        <row r="29">
          <cell r="B29">
            <v>0.95</v>
          </cell>
        </row>
        <row r="30">
          <cell r="B30">
            <v>0.05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3246-20A0-4BA5-832F-0CE6502C9F05}">
  <dimension ref="A1:Y54"/>
  <sheetViews>
    <sheetView tabSelected="1" topLeftCell="F1" workbookViewId="0">
      <selection activeCell="N42" sqref="N42"/>
    </sheetView>
  </sheetViews>
  <sheetFormatPr defaultColWidth="11.3984375" defaultRowHeight="14.25" x14ac:dyDescent="0.45"/>
  <cols>
    <col min="1" max="1" width="32.265625" style="3" customWidth="1"/>
    <col min="2" max="2" width="18.265625" style="3" customWidth="1"/>
    <col min="3" max="3" width="13.73046875" style="3" bestFit="1" customWidth="1"/>
    <col min="4" max="4" width="11.3984375" style="3" hidden="1" customWidth="1"/>
    <col min="5" max="6" width="11.3984375" style="3"/>
    <col min="16" max="16" width="12.3984375" bestFit="1" customWidth="1"/>
    <col min="19" max="19" width="12.3984375" bestFit="1" customWidth="1"/>
  </cols>
  <sheetData>
    <row r="1" spans="1:25" ht="14.65" thickBot="1" x14ac:dyDescent="0.5">
      <c r="A1" s="1"/>
      <c r="B1" s="2"/>
      <c r="C1" s="3" t="s">
        <v>37</v>
      </c>
      <c r="F1" s="3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51</v>
      </c>
      <c r="X1" t="s">
        <v>52</v>
      </c>
      <c r="Y1" t="s">
        <v>56</v>
      </c>
    </row>
    <row r="2" spans="1:25" ht="14.65" thickBot="1" x14ac:dyDescent="0.5">
      <c r="A2" s="3" t="s">
        <v>17</v>
      </c>
      <c r="F2" s="3">
        <f>1</f>
        <v>1</v>
      </c>
      <c r="G2">
        <f t="shared" ref="G2:G50" si="0">Ac *V2</f>
        <v>1.3863127604892389</v>
      </c>
      <c r="H2">
        <v>1</v>
      </c>
      <c r="I2">
        <v>3.71</v>
      </c>
      <c r="J2">
        <f>Delta*I2</f>
        <v>0.1484</v>
      </c>
      <c r="K2">
        <f t="shared" ref="K2:K33" si="1">G2*(alpha*I2^(rhoc-1))*M2</f>
        <v>8.0088585194104417E-2</v>
      </c>
      <c r="L2">
        <f t="shared" ref="L2:L33" si="2">(Phi/2)*((J2-Delta*I2)/I2)^2*I2</f>
        <v>0</v>
      </c>
      <c r="M2">
        <f t="shared" ref="M2:M33" si="3">(alpha* I2^rhoc + (1-alpha)*N2^rhoc)^(1/rhoc-1)</f>
        <v>0.69815629325111683</v>
      </c>
      <c r="N2">
        <v>0.33</v>
      </c>
      <c r="O2">
        <f>Ac*(alpha* kbar^rhoc + (1-alpha)*lbar^rhoc)^(1/rhoc)</f>
        <v>0.99999999999999989</v>
      </c>
      <c r="P2">
        <f t="shared" ref="P2:P33" si="4">G2*(1-alpha)*N2^(rhoc-1)*M2</f>
        <v>2.1299131785753715</v>
      </c>
      <c r="Q2">
        <f t="shared" ref="Q2:Q33" si="5">(Phi/2)*((J2-Delta*I2)/I2)^2 - Phi *((J2-Delta*I2)/I2)* (J2/I2)</f>
        <v>0</v>
      </c>
      <c r="T2">
        <v>0</v>
      </c>
      <c r="U2">
        <v>0</v>
      </c>
      <c r="V2">
        <f>EXP(U2)</f>
        <v>1</v>
      </c>
      <c r="W2">
        <f xml:space="preserve"> (O2 - J2 - tauw *P2* N2 - tauk * K2 * I2 *H2)/(1+tauc)</f>
        <v>0.51002339110365946</v>
      </c>
      <c r="X2">
        <f t="shared" ref="X2:X33" si="6">W2^(-sigma_c) /(1+tauc)</f>
        <v>3.4948386162388987</v>
      </c>
    </row>
    <row r="3" spans="1:25" ht="14.65" thickBot="1" x14ac:dyDescent="0.5">
      <c r="A3" s="4"/>
      <c r="B3" s="5"/>
      <c r="C3" s="6"/>
      <c r="D3" s="5"/>
      <c r="E3" s="5"/>
      <c r="F3" s="7">
        <f>F2+1</f>
        <v>2</v>
      </c>
      <c r="G3">
        <f t="shared" si="0"/>
        <v>1.4209705795014698</v>
      </c>
      <c r="H3">
        <v>1.0072602200599106</v>
      </c>
      <c r="I3">
        <f t="shared" ref="I3:I34" si="7">(1-Delta)*I2+J2</f>
        <v>3.71</v>
      </c>
      <c r="J3">
        <f t="shared" ref="J3:J34" si="8">Delta*I2+ (H3-1)*(I2/Phi)</f>
        <v>0.15019569442815123</v>
      </c>
      <c r="K3">
        <f t="shared" si="1"/>
        <v>8.2090799823957034E-2</v>
      </c>
      <c r="L3">
        <f t="shared" si="2"/>
        <v>6.5185683543666085E-6</v>
      </c>
      <c r="M3">
        <f t="shared" si="3"/>
        <v>0.69815629325111683</v>
      </c>
      <c r="N3">
        <f t="shared" ref="N3:N34" si="9">(P2 *(1-tauw)*X2/gamma)^phiLL</f>
        <v>0.33</v>
      </c>
      <c r="O3">
        <f t="shared" ref="O3:O50" si="10">G3*(alpha* I3^rhoc + (1-alpha)*N3^rhoc)^(1/rhoc)</f>
        <v>1.0249999999999999</v>
      </c>
      <c r="P3">
        <f t="shared" si="4"/>
        <v>2.1831610080397557</v>
      </c>
      <c r="Q3">
        <f t="shared" si="5"/>
        <v>-2.9216582890703518E-4</v>
      </c>
      <c r="R3">
        <f t="shared" ref="R3:R50" si="11">Y3*((1-Delta)*H3 + (K3*(1-tauk))- Q3)-H2</f>
        <v>-4.5149701357695693E-2</v>
      </c>
      <c r="S3">
        <f>R3^2</f>
        <v>2.0384955326891085E-3</v>
      </c>
      <c r="T3">
        <f t="shared" ref="T3:T34" ca="1" si="12">_xlfn.NORM.INV(RAND(),0,sigma)</f>
        <v>-4.713834623188121E-3</v>
      </c>
      <c r="U3">
        <v>0</v>
      </c>
      <c r="V3">
        <v>1.0249999999999999</v>
      </c>
      <c r="W3">
        <f t="shared" ref="W3:W34" si="13" xml:space="preserve"> (O3 - J3 - tauw * P3*N3 - tauk * K3 * I3 *H3)/(1+tauc)</f>
        <v>0.52421273323597306</v>
      </c>
      <c r="X3">
        <f t="shared" si="6"/>
        <v>3.3082032438593449</v>
      </c>
      <c r="Y3">
        <f>Beta * (X3/X2)</f>
        <v>0.92074662008207042</v>
      </c>
    </row>
    <row r="4" spans="1:25" ht="14.65" thickBot="1" x14ac:dyDescent="0.5">
      <c r="A4" s="8"/>
      <c r="B4" s="9"/>
      <c r="C4" s="9"/>
      <c r="D4" s="9"/>
      <c r="E4" s="9"/>
      <c r="F4" s="7">
        <f t="shared" ref="F4:F50" si="14">F3+1</f>
        <v>3</v>
      </c>
      <c r="G4">
        <f t="shared" si="0"/>
        <v>1.4209705795014698</v>
      </c>
      <c r="H4">
        <v>1.0158894738513398</v>
      </c>
      <c r="I4">
        <f t="shared" si="7"/>
        <v>3.7117956944281509</v>
      </c>
      <c r="J4">
        <f t="shared" si="8"/>
        <v>0.15232999653256471</v>
      </c>
      <c r="K4">
        <f t="shared" si="1"/>
        <v>8.1964376176591094E-2</v>
      </c>
      <c r="L4">
        <f t="shared" si="2"/>
        <v>3.0077354811960916E-5</v>
      </c>
      <c r="M4">
        <f t="shared" si="3"/>
        <v>0.69745224631621516</v>
      </c>
      <c r="N4">
        <f t="shared" si="9"/>
        <v>0.32950225114045156</v>
      </c>
      <c r="O4">
        <f t="shared" si="10"/>
        <v>1.0240602765828437</v>
      </c>
      <c r="P4">
        <f t="shared" si="4"/>
        <v>2.1845837335030991</v>
      </c>
      <c r="Q4">
        <f t="shared" si="5"/>
        <v>-6.3176392267367024E-4</v>
      </c>
      <c r="R4">
        <f t="shared" si="11"/>
        <v>2.1135314797718019E-2</v>
      </c>
      <c r="S4">
        <f t="shared" ref="S4:S50" si="15">R4^2</f>
        <v>4.4670153159863824E-4</v>
      </c>
      <c r="T4">
        <f t="shared" ca="1" si="12"/>
        <v>8.2479647426351495E-3</v>
      </c>
      <c r="U4">
        <v>0</v>
      </c>
      <c r="V4">
        <v>1.0249999999999999</v>
      </c>
      <c r="W4">
        <f t="shared" si="13"/>
        <v>0.52130096982559682</v>
      </c>
      <c r="X4">
        <f t="shared" si="6"/>
        <v>3.3452628612259643</v>
      </c>
      <c r="Y4">
        <f>Beta * (X4/X3)</f>
        <v>0.98358781938848416</v>
      </c>
    </row>
    <row r="5" spans="1:25" ht="14.65" thickBot="1" x14ac:dyDescent="0.5">
      <c r="A5" s="10"/>
      <c r="B5" s="11"/>
      <c r="C5" s="11"/>
      <c r="D5" s="11"/>
      <c r="E5" s="11"/>
      <c r="F5" s="7">
        <f t="shared" si="14"/>
        <v>4</v>
      </c>
      <c r="G5">
        <f t="shared" si="0"/>
        <v>1.4209705795014698</v>
      </c>
      <c r="H5">
        <v>1.0213541483128179</v>
      </c>
      <c r="I5">
        <f t="shared" si="7"/>
        <v>3.7156538631835896</v>
      </c>
      <c r="J5">
        <f t="shared" si="8"/>
        <v>0.15375597682817255</v>
      </c>
      <c r="K5">
        <f t="shared" si="1"/>
        <v>8.1935905289450675E-2</v>
      </c>
      <c r="L5">
        <f t="shared" si="2"/>
        <v>5.3116647446948584E-5</v>
      </c>
      <c r="M5">
        <f t="shared" si="3"/>
        <v>0.69800719749356543</v>
      </c>
      <c r="N5">
        <f t="shared" si="9"/>
        <v>0.32969657516382583</v>
      </c>
      <c r="O5">
        <f t="shared" si="10"/>
        <v>1.0248010023145591</v>
      </c>
      <c r="P5">
        <f t="shared" si="4"/>
        <v>2.1849045260310116</v>
      </c>
      <c r="Q5">
        <f t="shared" si="5"/>
        <v>-8.4265384861808819E-4</v>
      </c>
      <c r="R5">
        <f t="shared" si="11"/>
        <v>1.0519250776202638E-2</v>
      </c>
      <c r="S5">
        <f t="shared" si="15"/>
        <v>1.106546368926398E-4</v>
      </c>
      <c r="T5">
        <f t="shared" ca="1" si="12"/>
        <v>-3.7007007708402311E-2</v>
      </c>
      <c r="U5">
        <v>0</v>
      </c>
      <c r="V5">
        <v>1.0249999999999999</v>
      </c>
      <c r="W5">
        <f t="shared" si="13"/>
        <v>0.52025326476831657</v>
      </c>
      <c r="X5">
        <f t="shared" si="6"/>
        <v>3.3587500535286781</v>
      </c>
      <c r="Y5">
        <f>Beta * (X5/X4)</f>
        <v>0.97661302749843137</v>
      </c>
    </row>
    <row r="6" spans="1:25" ht="14.65" thickBot="1" x14ac:dyDescent="0.5">
      <c r="F6" s="7">
        <f t="shared" si="14"/>
        <v>5</v>
      </c>
      <c r="G6">
        <f t="shared" si="0"/>
        <v>1.4209705795014698</v>
      </c>
      <c r="H6">
        <v>1.0205388812801586</v>
      </c>
      <c r="I6">
        <f t="shared" si="7"/>
        <v>3.7207836854844185</v>
      </c>
      <c r="J6">
        <f t="shared" si="8"/>
        <v>0.15371384609894961</v>
      </c>
      <c r="K6">
        <f t="shared" si="1"/>
        <v>8.1861742242766267E-2</v>
      </c>
      <c r="L6">
        <f t="shared" si="2"/>
        <v>4.8051960361935116E-5</v>
      </c>
      <c r="M6">
        <f t="shared" si="3"/>
        <v>0.69843455409257682</v>
      </c>
      <c r="N6">
        <f t="shared" si="9"/>
        <v>0.32976533158625848</v>
      </c>
      <c r="O6">
        <f t="shared" si="10"/>
        <v>1.0253713836244416</v>
      </c>
      <c r="P6">
        <f t="shared" si="4"/>
        <v>2.1857408271363039</v>
      </c>
      <c r="Q6">
        <f t="shared" si="5"/>
        <v>-8.0024839383212093E-4</v>
      </c>
      <c r="R6">
        <f t="shared" si="11"/>
        <v>-1.6369419471886637E-3</v>
      </c>
      <c r="S6">
        <f t="shared" si="15"/>
        <v>2.6795789384658137E-6</v>
      </c>
      <c r="T6">
        <f t="shared" ca="1" si="12"/>
        <v>2.7804982794395989E-2</v>
      </c>
      <c r="U6">
        <v>0</v>
      </c>
      <c r="V6">
        <v>1.0249999999999999</v>
      </c>
      <c r="W6">
        <f t="shared" si="13"/>
        <v>0.52068830008031142</v>
      </c>
      <c r="X6">
        <f t="shared" si="6"/>
        <v>3.3531399237405251</v>
      </c>
      <c r="Y6">
        <f>Beta * (X6/X5)</f>
        <v>0.9710667104440982</v>
      </c>
    </row>
    <row r="7" spans="1:25" ht="14.65" thickBot="1" x14ac:dyDescent="0.5">
      <c r="A7" s="4"/>
      <c r="B7" s="7"/>
      <c r="F7" s="7">
        <f t="shared" si="14"/>
        <v>6</v>
      </c>
      <c r="G7">
        <f t="shared" si="0"/>
        <v>1.4209705795014698</v>
      </c>
      <c r="H7">
        <v>1.0257952778178558</v>
      </c>
      <c r="I7">
        <f t="shared" si="7"/>
        <v>3.7256661841639915</v>
      </c>
      <c r="J7">
        <f t="shared" si="8"/>
        <v>0.15522992401052446</v>
      </c>
      <c r="K7">
        <f t="shared" si="1"/>
        <v>8.1774699298970119E-2</v>
      </c>
      <c r="L7">
        <f t="shared" si="2"/>
        <v>7.7463947156192941E-5</v>
      </c>
      <c r="M7">
        <f t="shared" si="3"/>
        <v>0.69869906046765862</v>
      </c>
      <c r="N7">
        <f t="shared" si="9"/>
        <v>0.32974407874102069</v>
      </c>
      <c r="O7">
        <f t="shared" si="10"/>
        <v>1.02572439724228</v>
      </c>
      <c r="P7">
        <f t="shared" si="4"/>
        <v>2.1867236194110533</v>
      </c>
      <c r="Q7">
        <f t="shared" si="5"/>
        <v>-1.019798807978186E-3</v>
      </c>
      <c r="R7">
        <f t="shared" si="11"/>
        <v>1.1375326874927261E-2</v>
      </c>
      <c r="S7">
        <f t="shared" si="15"/>
        <v>1.2939806151144239E-4</v>
      </c>
      <c r="T7">
        <f t="shared" ca="1" si="12"/>
        <v>1.4179664192332653E-2</v>
      </c>
      <c r="U7">
        <v>0</v>
      </c>
      <c r="V7">
        <v>1.0249999999999999</v>
      </c>
      <c r="W7">
        <f t="shared" si="13"/>
        <v>0.5193137653926263</v>
      </c>
      <c r="X7">
        <f t="shared" si="6"/>
        <v>3.3709137902238209</v>
      </c>
      <c r="Y7">
        <f>Beta * (X7/X6)</f>
        <v>0.97784730948340604</v>
      </c>
    </row>
    <row r="8" spans="1:25" ht="14.65" thickBot="1" x14ac:dyDescent="0.5">
      <c r="A8" s="8"/>
      <c r="B8" s="12"/>
      <c r="F8" s="7">
        <f t="shared" si="14"/>
        <v>7</v>
      </c>
      <c r="G8">
        <f t="shared" si="0"/>
        <v>1.4209705795014698</v>
      </c>
      <c r="H8">
        <v>1.02302803296463</v>
      </c>
      <c r="I8">
        <f t="shared" si="7"/>
        <v>3.7318694608079563</v>
      </c>
      <c r="J8">
        <f t="shared" si="8"/>
        <v>0.1547462982801687</v>
      </c>
      <c r="K8">
        <f t="shared" si="1"/>
        <v>8.1687681979915369E-2</v>
      </c>
      <c r="L8">
        <f t="shared" si="2"/>
        <v>6.0165949854003744E-5</v>
      </c>
      <c r="M8">
        <f t="shared" si="3"/>
        <v>0.69923398817252824</v>
      </c>
      <c r="N8">
        <f t="shared" si="9"/>
        <v>0.32983866622802166</v>
      </c>
      <c r="O8">
        <f t="shared" si="10"/>
        <v>1.0264382815290205</v>
      </c>
      <c r="P8">
        <f t="shared" si="4"/>
        <v>2.1877074755242223</v>
      </c>
      <c r="Q8">
        <f t="shared" si="5"/>
        <v>-8.9581854179874871E-4</v>
      </c>
      <c r="R8">
        <f t="shared" si="11"/>
        <v>-6.0653411842888083E-3</v>
      </c>
      <c r="S8">
        <f t="shared" si="15"/>
        <v>3.6788363681829966E-5</v>
      </c>
      <c r="T8">
        <f t="shared" ca="1" si="12"/>
        <v>-2.4560751407655124E-2</v>
      </c>
      <c r="U8">
        <v>0</v>
      </c>
      <c r="V8">
        <v>1.0249999999999999</v>
      </c>
      <c r="W8">
        <f t="shared" si="13"/>
        <v>0.52032284654093164</v>
      </c>
      <c r="X8">
        <f t="shared" si="6"/>
        <v>3.357851795236146</v>
      </c>
      <c r="Y8">
        <f>Beta * (X8/X7)</f>
        <v>0.96892230588527384</v>
      </c>
    </row>
    <row r="9" spans="1:25" ht="14.65" thickBot="1" x14ac:dyDescent="0.5">
      <c r="A9" s="10"/>
      <c r="B9" s="13"/>
      <c r="F9" s="7">
        <f t="shared" si="14"/>
        <v>8</v>
      </c>
      <c r="G9">
        <f t="shared" si="0"/>
        <v>1.4209705795014698</v>
      </c>
      <c r="H9">
        <v>1.0269069606344663</v>
      </c>
      <c r="I9">
        <f t="shared" si="7"/>
        <v>3.7373409806558069</v>
      </c>
      <c r="J9">
        <f t="shared" si="8"/>
        <v>0.15596899607731338</v>
      </c>
      <c r="K9">
        <f t="shared" si="1"/>
        <v>8.1584354283066055E-2</v>
      </c>
      <c r="L9">
        <f t="shared" si="2"/>
        <v>8.4144542669248364E-5</v>
      </c>
      <c r="M9">
        <f t="shared" si="3"/>
        <v>0.69947588329616339</v>
      </c>
      <c r="N9">
        <f t="shared" si="9"/>
        <v>0.32978206058141746</v>
      </c>
      <c r="O9">
        <f t="shared" si="10"/>
        <v>1.0267610847880373</v>
      </c>
      <c r="P9">
        <f t="shared" si="4"/>
        <v>2.1888775055651633</v>
      </c>
      <c r="Q9">
        <f t="shared" si="5"/>
        <v>-1.0620809484237627E-3</v>
      </c>
      <c r="R9">
        <f t="shared" si="11"/>
        <v>8.6104096167134436E-3</v>
      </c>
      <c r="S9">
        <f t="shared" si="15"/>
        <v>7.4139153767591355E-5</v>
      </c>
      <c r="T9">
        <f t="shared" ca="1" si="12"/>
        <v>-3.9775354420914198E-2</v>
      </c>
      <c r="U9">
        <v>0</v>
      </c>
      <c r="V9">
        <v>1.0249999999999999</v>
      </c>
      <c r="W9">
        <f t="shared" si="13"/>
        <v>0.51925163164364763</v>
      </c>
      <c r="X9">
        <f t="shared" si="6"/>
        <v>3.3717205668606973</v>
      </c>
      <c r="Y9">
        <f>Beta * (X9/X8)</f>
        <v>0.97670885954529074</v>
      </c>
    </row>
    <row r="10" spans="1:25" ht="14.65" thickBot="1" x14ac:dyDescent="0.5">
      <c r="F10" s="7">
        <f t="shared" si="14"/>
        <v>9</v>
      </c>
      <c r="G10">
        <f t="shared" si="0"/>
        <v>1.4209705795014698</v>
      </c>
      <c r="H10">
        <v>1.0243423396796472</v>
      </c>
      <c r="I10">
        <f t="shared" si="7"/>
        <v>3.7438163375068876</v>
      </c>
      <c r="J10">
        <f t="shared" si="8"/>
        <v>0.15555868080288487</v>
      </c>
      <c r="K10">
        <f t="shared" si="1"/>
        <v>8.148987584706871E-2</v>
      </c>
      <c r="L10">
        <f t="shared" si="2"/>
        <v>6.7531263555039678E-5</v>
      </c>
      <c r="M10">
        <f t="shared" si="3"/>
        <v>0.69999754084506538</v>
      </c>
      <c r="N10">
        <f t="shared" si="9"/>
        <v>0.3298588497484381</v>
      </c>
      <c r="O10">
        <f t="shared" si="10"/>
        <v>1.027457189778898</v>
      </c>
      <c r="P10">
        <f t="shared" si="4"/>
        <v>2.1899490093782297</v>
      </c>
      <c r="Q10">
        <f t="shared" si="5"/>
        <v>-9.4853682044816127E-4</v>
      </c>
      <c r="R10">
        <f t="shared" si="11"/>
        <v>-5.725546808783788E-3</v>
      </c>
      <c r="S10">
        <f t="shared" si="15"/>
        <v>3.2781886259574216E-5</v>
      </c>
      <c r="T10">
        <f t="shared" ca="1" si="12"/>
        <v>2.2772339879967921E-2</v>
      </c>
      <c r="U10">
        <v>0</v>
      </c>
      <c r="V10">
        <v>1.0249999999999999</v>
      </c>
      <c r="W10">
        <f t="shared" si="13"/>
        <v>0.52017377517192964</v>
      </c>
      <c r="X10">
        <f t="shared" si="6"/>
        <v>3.3597766569384531</v>
      </c>
      <c r="Y10">
        <f>Beta * (X10/X9)</f>
        <v>0.96924575871074059</v>
      </c>
    </row>
    <row r="11" spans="1:25" ht="14.65" thickBot="1" x14ac:dyDescent="0.5">
      <c r="A11" s="4" t="s">
        <v>18</v>
      </c>
      <c r="B11" s="14" t="s">
        <v>19</v>
      </c>
      <c r="C11" s="15"/>
      <c r="F11" s="7">
        <f t="shared" si="14"/>
        <v>10</v>
      </c>
      <c r="G11">
        <f t="shared" si="0"/>
        <v>1.4209705795014698</v>
      </c>
      <c r="H11">
        <v>1.0270343433271183</v>
      </c>
      <c r="I11">
        <f t="shared" si="7"/>
        <v>3.7496223648094968</v>
      </c>
      <c r="J11">
        <f t="shared" si="8"/>
        <v>0.15650009458173123</v>
      </c>
      <c r="K11">
        <f t="shared" si="1"/>
        <v>8.1382642289251683E-2</v>
      </c>
      <c r="L11">
        <f t="shared" si="2"/>
        <v>8.490421188734915E-5</v>
      </c>
      <c r="M11">
        <f t="shared" si="3"/>
        <v>0.70026906213703322</v>
      </c>
      <c r="N11">
        <f t="shared" si="9"/>
        <v>0.32980839732310407</v>
      </c>
      <c r="O11">
        <f t="shared" si="10"/>
        <v>1.0278194918121892</v>
      </c>
      <c r="P11">
        <f t="shared" si="4"/>
        <v>2.1911671201905292</v>
      </c>
      <c r="Q11">
        <f t="shared" si="5"/>
        <v>-1.0651803880258432E-3</v>
      </c>
      <c r="R11">
        <f t="shared" si="11"/>
        <v>5.9414496720653354E-3</v>
      </c>
      <c r="S11">
        <f t="shared" si="15"/>
        <v>3.530082420568528E-5</v>
      </c>
      <c r="T11">
        <f t="shared" ca="1" si="12"/>
        <v>4.9475918779998573E-2</v>
      </c>
      <c r="U11">
        <v>0</v>
      </c>
      <c r="V11">
        <v>1.0249999999999999</v>
      </c>
      <c r="W11">
        <f t="shared" si="13"/>
        <v>0.51943269437312023</v>
      </c>
      <c r="X11">
        <f t="shared" si="6"/>
        <v>3.3693703623652462</v>
      </c>
      <c r="Y11">
        <f>Beta * (X11/X10)</f>
        <v>0.97546888034321777</v>
      </c>
    </row>
    <row r="12" spans="1:25" ht="14.65" thickBot="1" x14ac:dyDescent="0.5">
      <c r="A12" s="16" t="s">
        <v>20</v>
      </c>
      <c r="B12" s="17">
        <v>0.35</v>
      </c>
      <c r="C12" s="18"/>
      <c r="F12" s="7">
        <f t="shared" si="14"/>
        <v>11</v>
      </c>
      <c r="G12">
        <f t="shared" si="0"/>
        <v>1.4209705795014698</v>
      </c>
      <c r="H12">
        <v>1.0250653998068622</v>
      </c>
      <c r="I12">
        <f t="shared" si="7"/>
        <v>3.756137564798848</v>
      </c>
      <c r="J12">
        <f t="shared" si="8"/>
        <v>0.15625061350562669</v>
      </c>
      <c r="K12">
        <f t="shared" si="1"/>
        <v>8.1284151598365328E-2</v>
      </c>
      <c r="L12">
        <f t="shared" si="2"/>
        <v>7.2004864964476153E-5</v>
      </c>
      <c r="M12">
        <f t="shared" si="3"/>
        <v>0.70075851733062489</v>
      </c>
      <c r="N12">
        <f t="shared" si="9"/>
        <v>0.32986459261375667</v>
      </c>
      <c r="O12">
        <f t="shared" si="10"/>
        <v>1.0284725597629372</v>
      </c>
      <c r="P12">
        <f t="shared" si="4"/>
        <v>2.1922877468945852</v>
      </c>
      <c r="Q12">
        <f t="shared" si="5"/>
        <v>-9.7841768299690608E-4</v>
      </c>
      <c r="R12">
        <f t="shared" si="11"/>
        <v>-4.5378232701478449E-3</v>
      </c>
      <c r="S12">
        <f t="shared" si="15"/>
        <v>2.0591840031095282E-5</v>
      </c>
      <c r="T12">
        <f t="shared" ca="1" si="12"/>
        <v>9.8743536494506779E-3</v>
      </c>
      <c r="U12">
        <v>0</v>
      </c>
      <c r="V12">
        <v>1.0249999999999999</v>
      </c>
      <c r="W12">
        <f t="shared" si="13"/>
        <v>0.52015592459586457</v>
      </c>
      <c r="X12">
        <f t="shared" si="6"/>
        <v>3.3600072607825151</v>
      </c>
      <c r="Y12">
        <f>Beta * (X12/X11)</f>
        <v>0.96998839957418381</v>
      </c>
    </row>
    <row r="13" spans="1:25" ht="14.65" thickBot="1" x14ac:dyDescent="0.5">
      <c r="A13" s="16" t="s">
        <v>21</v>
      </c>
      <c r="B13" s="17">
        <v>0.04</v>
      </c>
      <c r="C13" s="18"/>
      <c r="F13" s="7">
        <f t="shared" si="14"/>
        <v>12</v>
      </c>
      <c r="G13">
        <f t="shared" si="0"/>
        <v>1.4209705795014698</v>
      </c>
      <c r="H13">
        <v>1.026901196988772</v>
      </c>
      <c r="I13">
        <f t="shared" si="7"/>
        <v>3.7621426757125205</v>
      </c>
      <c r="J13">
        <f t="shared" si="8"/>
        <v>0.15698180902845929</v>
      </c>
      <c r="K13">
        <f t="shared" si="1"/>
        <v>8.1176647854382042E-2</v>
      </c>
      <c r="L13">
        <f t="shared" si="2"/>
        <v>8.412627755911534E-5</v>
      </c>
      <c r="M13">
        <f t="shared" si="3"/>
        <v>0.70106255419178676</v>
      </c>
      <c r="N13">
        <f t="shared" si="9"/>
        <v>0.32982713107103351</v>
      </c>
      <c r="O13">
        <f t="shared" si="10"/>
        <v>1.0288782077408489</v>
      </c>
      <c r="P13">
        <f t="shared" si="4"/>
        <v>2.1935129297194722</v>
      </c>
      <c r="Q13">
        <f t="shared" si="5"/>
        <v>-1.0583829005847271E-3</v>
      </c>
      <c r="R13">
        <f t="shared" si="11"/>
        <v>3.9076506491679819E-3</v>
      </c>
      <c r="S13">
        <f t="shared" si="15"/>
        <v>1.526973359594295E-5</v>
      </c>
      <c r="T13">
        <f t="shared" ca="1" si="12"/>
        <v>1.2951512876134386E-2</v>
      </c>
      <c r="U13">
        <v>0</v>
      </c>
      <c r="V13">
        <v>1.0249999999999999</v>
      </c>
      <c r="W13">
        <f t="shared" si="13"/>
        <v>0.51966937812997838</v>
      </c>
      <c r="X13">
        <f t="shared" si="6"/>
        <v>3.3663018974379026</v>
      </c>
      <c r="Y13">
        <f>Beta * (X13/X12)</f>
        <v>0.97451363945549052</v>
      </c>
    </row>
    <row r="14" spans="1:25" ht="14.65" thickBot="1" x14ac:dyDescent="0.5">
      <c r="A14" s="19" t="s">
        <v>22</v>
      </c>
      <c r="B14" s="20">
        <v>15</v>
      </c>
      <c r="C14" s="21"/>
      <c r="F14" s="7">
        <f t="shared" si="14"/>
        <v>13</v>
      </c>
      <c r="G14">
        <f t="shared" si="0"/>
        <v>1.4209705795014698</v>
      </c>
      <c r="H14">
        <v>1.0254868096534311</v>
      </c>
      <c r="I14">
        <f t="shared" si="7"/>
        <v>3.768638777712479</v>
      </c>
      <c r="J14">
        <f t="shared" si="8"/>
        <v>0.15687804131282981</v>
      </c>
      <c r="K14">
        <f t="shared" si="1"/>
        <v>8.1076012754614291E-2</v>
      </c>
      <c r="L14">
        <f t="shared" si="2"/>
        <v>7.4842877609986906E-5</v>
      </c>
      <c r="M14">
        <f t="shared" si="3"/>
        <v>0.70152348668498588</v>
      </c>
      <c r="N14">
        <f t="shared" si="9"/>
        <v>0.32986721329777419</v>
      </c>
      <c r="O14">
        <f t="shared" si="10"/>
        <v>1.0294931564032623</v>
      </c>
      <c r="P14">
        <f t="shared" si="4"/>
        <v>2.1946617354189666</v>
      </c>
      <c r="Q14">
        <f t="shared" si="5"/>
        <v>-9.9620505483606452E-4</v>
      </c>
      <c r="R14">
        <f t="shared" si="11"/>
        <v>-3.4566298871236967E-3</v>
      </c>
      <c r="S14">
        <f t="shared" si="15"/>
        <v>1.1948290176556781E-5</v>
      </c>
      <c r="T14">
        <f t="shared" ca="1" si="12"/>
        <v>-3.7267358372610943E-2</v>
      </c>
      <c r="U14">
        <v>0</v>
      </c>
      <c r="V14">
        <v>1.0249999999999999</v>
      </c>
      <c r="W14">
        <f t="shared" si="13"/>
        <v>0.52021240161250615</v>
      </c>
      <c r="X14">
        <f t="shared" si="6"/>
        <v>3.35927773997699</v>
      </c>
      <c r="Y14">
        <f>Beta * (X14/X13)</f>
        <v>0.97066177256320185</v>
      </c>
    </row>
    <row r="15" spans="1:25" ht="14.65" thickBot="1" x14ac:dyDescent="0.5">
      <c r="F15" s="7">
        <f t="shared" si="14"/>
        <v>14</v>
      </c>
      <c r="G15">
        <f t="shared" si="0"/>
        <v>1.4209705795014698</v>
      </c>
      <c r="H15">
        <v>1.026732069492905</v>
      </c>
      <c r="I15">
        <f t="shared" si="7"/>
        <v>3.7747712679168095</v>
      </c>
      <c r="J15">
        <f t="shared" si="8"/>
        <v>0.15746178535513025</v>
      </c>
      <c r="K15">
        <f t="shared" si="1"/>
        <v>8.0969203569179887E-2</v>
      </c>
      <c r="L15">
        <f t="shared" si="2"/>
        <v>8.3196421961553515E-5</v>
      </c>
      <c r="M15">
        <f t="shared" si="3"/>
        <v>0.70185345435216528</v>
      </c>
      <c r="N15">
        <f t="shared" si="9"/>
        <v>0.32984139893488285</v>
      </c>
      <c r="O15">
        <f t="shared" si="10"/>
        <v>1.0299333570394891</v>
      </c>
      <c r="P15">
        <f t="shared" si="4"/>
        <v>2.1958830400286753</v>
      </c>
      <c r="Q15">
        <f t="shared" si="5"/>
        <v>-1.0505953668617574E-3</v>
      </c>
      <c r="R15">
        <f t="shared" si="11"/>
        <v>2.432862913007483E-3</v>
      </c>
      <c r="S15">
        <f t="shared" si="15"/>
        <v>5.918821953487256E-6</v>
      </c>
      <c r="T15">
        <f t="shared" ca="1" si="12"/>
        <v>1.1983911003490033E-2</v>
      </c>
      <c r="U15">
        <v>0</v>
      </c>
      <c r="V15">
        <v>1.0249999999999999</v>
      </c>
      <c r="W15">
        <f t="shared" si="13"/>
        <v>0.51990671091937213</v>
      </c>
      <c r="X15">
        <f t="shared" si="6"/>
        <v>3.363229225170385</v>
      </c>
      <c r="Y15">
        <f>Beta * (X15/X14)</f>
        <v>0.97383556693822459</v>
      </c>
    </row>
    <row r="16" spans="1:25" ht="14.65" thickBot="1" x14ac:dyDescent="0.5">
      <c r="A16" s="4" t="s">
        <v>23</v>
      </c>
      <c r="B16" s="14" t="s">
        <v>19</v>
      </c>
      <c r="C16" s="15"/>
      <c r="F16" s="7">
        <f t="shared" si="14"/>
        <v>15</v>
      </c>
      <c r="G16">
        <f t="shared" si="0"/>
        <v>1.4209705795014698</v>
      </c>
      <c r="H16">
        <v>1.0257451474072004</v>
      </c>
      <c r="I16">
        <f t="shared" si="7"/>
        <v>3.7812422025552674</v>
      </c>
      <c r="J16">
        <f t="shared" si="8"/>
        <v>0.15746965356473788</v>
      </c>
      <c r="K16">
        <f t="shared" si="1"/>
        <v>8.0867408298067656E-2</v>
      </c>
      <c r="L16">
        <f t="shared" si="2"/>
        <v>7.6736628366902624E-5</v>
      </c>
      <c r="M16">
        <f t="shared" si="3"/>
        <v>0.7022930009691607</v>
      </c>
      <c r="N16">
        <f t="shared" si="9"/>
        <v>0.32986996332876167</v>
      </c>
      <c r="O16">
        <f t="shared" si="10"/>
        <v>1.0305197146667657</v>
      </c>
      <c r="P16">
        <f t="shared" si="4"/>
        <v>2.1970489531250181</v>
      </c>
      <c r="Q16">
        <f t="shared" si="5"/>
        <v>-1.0072657877639724E-3</v>
      </c>
      <c r="R16">
        <f t="shared" si="11"/>
        <v>-2.6650837268205052E-3</v>
      </c>
      <c r="S16">
        <f t="shared" si="15"/>
        <v>7.1026712709634728E-6</v>
      </c>
      <c r="T16">
        <f t="shared" ca="1" si="12"/>
        <v>4.0948300458657542E-2</v>
      </c>
      <c r="U16">
        <v>0</v>
      </c>
      <c r="V16">
        <v>1.0249999999999999</v>
      </c>
      <c r="W16">
        <f t="shared" si="13"/>
        <v>0.52031196597741147</v>
      </c>
      <c r="X16">
        <f t="shared" si="6"/>
        <v>3.3579922329125584</v>
      </c>
      <c r="Y16">
        <f>Beta * (X16/X15)</f>
        <v>0.971176790638971</v>
      </c>
    </row>
    <row r="17" spans="1:25" ht="14.65" thickBot="1" x14ac:dyDescent="0.5">
      <c r="A17" s="10" t="s">
        <v>24</v>
      </c>
      <c r="B17" s="11">
        <f>Ac* alpha*kbar^(rhoc-1)*yhat1*(1-tauk)- Delta</f>
        <v>2.8075297414988758E-2</v>
      </c>
      <c r="C17" s="13"/>
      <c r="F17" s="7">
        <f t="shared" si="14"/>
        <v>16</v>
      </c>
      <c r="G17">
        <f t="shared" si="0"/>
        <v>1.4209705795014698</v>
      </c>
      <c r="H17">
        <v>1.0265902286023414</v>
      </c>
      <c r="I17">
        <f t="shared" si="7"/>
        <v>3.7874621680177945</v>
      </c>
      <c r="J17">
        <f t="shared" si="8"/>
        <v>0.15795262773999508</v>
      </c>
      <c r="K17">
        <f t="shared" si="1"/>
        <v>8.076143835116073E-2</v>
      </c>
      <c r="L17">
        <f t="shared" si="2"/>
        <v>8.2487826509293363E-5</v>
      </c>
      <c r="M17">
        <f t="shared" si="3"/>
        <v>0.70264190690169392</v>
      </c>
      <c r="N17">
        <f t="shared" si="9"/>
        <v>0.32985301615836032</v>
      </c>
      <c r="O17">
        <f t="shared" si="10"/>
        <v>1.0309851333653062</v>
      </c>
      <c r="P17">
        <f t="shared" si="4"/>
        <v>2.1982646980783267</v>
      </c>
      <c r="Q17">
        <f t="shared" si="5"/>
        <v>-1.0442275757830588E-3</v>
      </c>
      <c r="R17">
        <f t="shared" si="11"/>
        <v>1.3715592939205212E-3</v>
      </c>
      <c r="S17">
        <f t="shared" si="15"/>
        <v>1.8811748967397586E-6</v>
      </c>
      <c r="T17">
        <f t="shared" ca="1" si="12"/>
        <v>7.619306665607932E-2</v>
      </c>
      <c r="U17">
        <v>0</v>
      </c>
      <c r="V17">
        <v>1.0249999999999999</v>
      </c>
      <c r="W17">
        <f t="shared" si="13"/>
        <v>0.52013079181576261</v>
      </c>
      <c r="X17">
        <f t="shared" si="6"/>
        <v>3.3603319805075653</v>
      </c>
      <c r="Y17">
        <f>Beta * (X17/X16)</f>
        <v>0.97336914165885813</v>
      </c>
    </row>
    <row r="18" spans="1:25" ht="14.65" thickBot="1" x14ac:dyDescent="0.5">
      <c r="A18" s="3" t="s">
        <v>25</v>
      </c>
      <c r="B18" s="3">
        <f>1/(1+Interest)</f>
        <v>0.97269139966150164</v>
      </c>
      <c r="D18" s="22"/>
      <c r="F18" s="7">
        <f t="shared" si="14"/>
        <v>17</v>
      </c>
      <c r="G18">
        <f t="shared" si="0"/>
        <v>1.4209705795014698</v>
      </c>
      <c r="H18">
        <v>1.0259084078269702</v>
      </c>
      <c r="I18">
        <f t="shared" si="7"/>
        <v>3.7939163090370775</v>
      </c>
      <c r="J18">
        <f t="shared" si="8"/>
        <v>0.15804029435259351</v>
      </c>
      <c r="K18">
        <f t="shared" si="1"/>
        <v>8.0659023768802809E-2</v>
      </c>
      <c r="L18">
        <f t="shared" si="2"/>
        <v>7.8054219155536311E-5</v>
      </c>
      <c r="M18">
        <f t="shared" si="3"/>
        <v>0.70306641410761883</v>
      </c>
      <c r="N18">
        <f t="shared" si="9"/>
        <v>0.32987362812544391</v>
      </c>
      <c r="O18">
        <f t="shared" si="10"/>
        <v>1.0315513711054249</v>
      </c>
      <c r="P18">
        <f t="shared" si="4"/>
        <v>2.1994416149024447</v>
      </c>
      <c r="Q18">
        <f t="shared" si="5"/>
        <v>-1.0143184773621122E-3</v>
      </c>
      <c r="R18">
        <f t="shared" si="11"/>
        <v>-2.1487893291498583E-3</v>
      </c>
      <c r="S18">
        <f t="shared" si="15"/>
        <v>4.6172955810682977E-6</v>
      </c>
      <c r="T18">
        <f t="shared" ca="1" si="12"/>
        <v>1.2247059586741967E-2</v>
      </c>
      <c r="U18">
        <v>0</v>
      </c>
      <c r="V18">
        <v>1.0249999999999999</v>
      </c>
      <c r="W18">
        <f t="shared" si="13"/>
        <v>0.52043778663491436</v>
      </c>
      <c r="X18">
        <f t="shared" si="6"/>
        <v>3.356368777701352</v>
      </c>
      <c r="Y18">
        <f>Beta * (X18/X17)</f>
        <v>0.97154419953155036</v>
      </c>
    </row>
    <row r="19" spans="1:25" ht="14.65" thickBot="1" x14ac:dyDescent="0.5">
      <c r="A19" s="4" t="s">
        <v>26</v>
      </c>
      <c r="B19" s="6" t="s">
        <v>27</v>
      </c>
      <c r="C19" s="23"/>
      <c r="D19" s="22" t="e">
        <f>_PK1</f>
        <v>#NAME?</v>
      </c>
      <c r="F19" s="7">
        <f t="shared" si="14"/>
        <v>18</v>
      </c>
      <c r="G19">
        <f t="shared" si="0"/>
        <v>1.4209705795014698</v>
      </c>
      <c r="H19">
        <v>1.0264856440658443</v>
      </c>
      <c r="I19">
        <f t="shared" si="7"/>
        <v>3.8001999510281879</v>
      </c>
      <c r="J19">
        <f t="shared" si="8"/>
        <v>0.15845560682660029</v>
      </c>
      <c r="K19">
        <f t="shared" si="1"/>
        <v>8.0553806535463457E-2</v>
      </c>
      <c r="L19">
        <f t="shared" si="2"/>
        <v>8.2045009972286876E-5</v>
      </c>
      <c r="M19">
        <f t="shared" si="3"/>
        <v>0.70342861305918014</v>
      </c>
      <c r="N19">
        <f t="shared" si="9"/>
        <v>0.32986299213301262</v>
      </c>
      <c r="O19">
        <f t="shared" si="10"/>
        <v>1.0320344731153954</v>
      </c>
      <c r="P19">
        <f t="shared" si="4"/>
        <v>2.2006527521325525</v>
      </c>
      <c r="Q19">
        <f t="shared" si="5"/>
        <v>-1.0395795832235256E-3</v>
      </c>
      <c r="R19">
        <f t="shared" si="11"/>
        <v>6.0232659802550437E-4</v>
      </c>
      <c r="S19">
        <f t="shared" si="15"/>
        <v>3.6279733068897755E-7</v>
      </c>
      <c r="T19">
        <f t="shared" ca="1" si="12"/>
        <v>4.2226817434285392E-2</v>
      </c>
      <c r="U19">
        <v>0</v>
      </c>
      <c r="V19">
        <v>1.0249999999999999</v>
      </c>
      <c r="W19">
        <f t="shared" si="13"/>
        <v>0.52034067723031752</v>
      </c>
      <c r="X19">
        <f t="shared" si="6"/>
        <v>3.3576216699004053</v>
      </c>
      <c r="Y19">
        <f>Beta * (X19/X18)</f>
        <v>0.97305449369181751</v>
      </c>
    </row>
    <row r="20" spans="1:25" ht="14.65" thickBot="1" x14ac:dyDescent="0.5">
      <c r="A20" s="8" t="s">
        <v>28</v>
      </c>
      <c r="B20" s="24">
        <v>1</v>
      </c>
      <c r="C20" s="25"/>
      <c r="D20" s="26" t="e">
        <f>((R_1)/Alpha1)^(1/(Alpha1-1))</f>
        <v>#REF!</v>
      </c>
      <c r="F20" s="7">
        <f t="shared" si="14"/>
        <v>19</v>
      </c>
      <c r="G20">
        <f t="shared" si="0"/>
        <v>1.4209705795014698</v>
      </c>
      <c r="H20">
        <v>1.0260459562581579</v>
      </c>
      <c r="I20">
        <f t="shared" si="7"/>
        <v>3.8066475598136602</v>
      </c>
      <c r="J20">
        <f t="shared" si="8"/>
        <v>0.1586066541542431</v>
      </c>
      <c r="K20">
        <f t="shared" si="1"/>
        <v>8.045109227127091E-2</v>
      </c>
      <c r="L20">
        <f t="shared" si="2"/>
        <v>7.921366295090045E-5</v>
      </c>
      <c r="M20">
        <f t="shared" si="3"/>
        <v>0.70384292678518412</v>
      </c>
      <c r="N20">
        <f t="shared" si="9"/>
        <v>0.32987822759437047</v>
      </c>
      <c r="O20">
        <f t="shared" si="10"/>
        <v>1.0325870582352288</v>
      </c>
      <c r="P20">
        <f t="shared" si="4"/>
        <v>2.2018370519729533</v>
      </c>
      <c r="Q20">
        <f t="shared" si="5"/>
        <v>-1.0202322802269146E-3</v>
      </c>
      <c r="R20">
        <f t="shared" si="11"/>
        <v>-1.7801251807503249E-3</v>
      </c>
      <c r="S20">
        <f t="shared" si="15"/>
        <v>3.1688456591413768E-6</v>
      </c>
      <c r="T20">
        <f t="shared" ca="1" si="12"/>
        <v>7.3037320909267053E-2</v>
      </c>
      <c r="U20">
        <v>0</v>
      </c>
      <c r="V20">
        <v>1.0249999999999999</v>
      </c>
      <c r="W20">
        <f t="shared" si="13"/>
        <v>0.52057112953191331</v>
      </c>
      <c r="X20">
        <f t="shared" si="6"/>
        <v>3.3546495482177008</v>
      </c>
      <c r="Y20">
        <f>Beta * (X20/X19)</f>
        <v>0.97183038627651241</v>
      </c>
    </row>
    <row r="21" spans="1:25" ht="14.65" thickBot="1" x14ac:dyDescent="0.5">
      <c r="A21" s="10" t="s">
        <v>29</v>
      </c>
      <c r="B21" s="27">
        <v>3.71</v>
      </c>
      <c r="C21" s="28"/>
      <c r="F21" s="7">
        <f t="shared" si="14"/>
        <v>20</v>
      </c>
      <c r="G21">
        <f t="shared" si="0"/>
        <v>1.4209705795014698</v>
      </c>
      <c r="H21">
        <v>1.0252971944734834</v>
      </c>
      <c r="I21">
        <f t="shared" si="7"/>
        <v>3.8129883115753569</v>
      </c>
      <c r="J21">
        <f t="shared" si="8"/>
        <v>0.15868573596672092</v>
      </c>
      <c r="K21">
        <f t="shared" si="1"/>
        <v>8.0346472697306159E-2</v>
      </c>
      <c r="L21">
        <f t="shared" si="2"/>
        <v>7.4787927228293211E-5</v>
      </c>
      <c r="M21">
        <f t="shared" si="3"/>
        <v>0.70421570521194077</v>
      </c>
      <c r="N21">
        <f t="shared" si="9"/>
        <v>0.32987249493916893</v>
      </c>
      <c r="O21">
        <f t="shared" si="10"/>
        <v>1.0330842209600282</v>
      </c>
      <c r="P21">
        <f t="shared" si="4"/>
        <v>2.2030453306599709</v>
      </c>
      <c r="Q21">
        <f t="shared" si="5"/>
        <v>-9.8990862835685403E-4</v>
      </c>
      <c r="R21">
        <f t="shared" si="11"/>
        <v>-2.3217287322903069E-3</v>
      </c>
      <c r="S21">
        <f t="shared" si="15"/>
        <v>5.3904243063423554E-6</v>
      </c>
      <c r="T21">
        <f t="shared" ca="1" si="12"/>
        <v>-5.4231339896762022E-2</v>
      </c>
      <c r="U21">
        <v>0</v>
      </c>
      <c r="V21">
        <v>1.0249999999999999</v>
      </c>
      <c r="W21">
        <f t="shared" si="13"/>
        <v>0.5208441200224857</v>
      </c>
      <c r="X21">
        <f t="shared" si="6"/>
        <v>3.3511339188981681</v>
      </c>
      <c r="Y21">
        <f>Beta * (X21/X20)</f>
        <v>0.97167203166065519</v>
      </c>
    </row>
    <row r="22" spans="1:25" ht="14.65" thickBot="1" x14ac:dyDescent="0.5">
      <c r="A22" s="3" t="s">
        <v>30</v>
      </c>
      <c r="B22" s="3">
        <v>0.33</v>
      </c>
      <c r="F22" s="7">
        <f t="shared" si="14"/>
        <v>21</v>
      </c>
      <c r="G22">
        <f t="shared" si="0"/>
        <v>1.4209705795014698</v>
      </c>
      <c r="H22">
        <v>1.0286645153003342</v>
      </c>
      <c r="I22">
        <f t="shared" si="7"/>
        <v>3.8191545150790636</v>
      </c>
      <c r="J22">
        <f t="shared" si="8"/>
        <v>0.15980602991615744</v>
      </c>
      <c r="K22">
        <f t="shared" si="1"/>
        <v>8.0244520515926468E-2</v>
      </c>
      <c r="L22">
        <f t="shared" si="2"/>
        <v>9.7324181610092665E-5</v>
      </c>
      <c r="M22">
        <f t="shared" si="3"/>
        <v>0.7045733433471334</v>
      </c>
      <c r="N22">
        <f t="shared" si="9"/>
        <v>0.32986424942170534</v>
      </c>
      <c r="O22">
        <f t="shared" si="10"/>
        <v>1.0335611690730242</v>
      </c>
      <c r="P22">
        <f t="shared" si="4"/>
        <v>2.2042247606673357</v>
      </c>
      <c r="Q22">
        <f t="shared" si="5"/>
        <v>-1.1314634567272993E-3</v>
      </c>
      <c r="R22">
        <f t="shared" si="11"/>
        <v>6.0957011208582212E-3</v>
      </c>
      <c r="S22">
        <f t="shared" si="15"/>
        <v>3.7157572154832176E-5</v>
      </c>
      <c r="T22">
        <f t="shared" ca="1" si="12"/>
        <v>1.4754965567829962E-2</v>
      </c>
      <c r="U22">
        <v>0</v>
      </c>
      <c r="V22">
        <v>1.0249999999999999</v>
      </c>
      <c r="W22">
        <f t="shared" si="13"/>
        <v>0.51998569880819978</v>
      </c>
      <c r="X22">
        <f t="shared" si="6"/>
        <v>3.3622075270745642</v>
      </c>
      <c r="Y22">
        <f>Beta * (X22/X21)</f>
        <v>0.97590559631764218</v>
      </c>
    </row>
    <row r="23" spans="1:25" ht="14.65" thickBot="1" x14ac:dyDescent="0.5">
      <c r="A23" s="4" t="s">
        <v>31</v>
      </c>
      <c r="B23" s="14">
        <f>1</f>
        <v>1</v>
      </c>
      <c r="C23" s="15"/>
      <c r="F23" s="7">
        <f t="shared" si="14"/>
        <v>22</v>
      </c>
      <c r="G23">
        <f t="shared" si="0"/>
        <v>1.4209705795014698</v>
      </c>
      <c r="H23">
        <v>1.0241165311602072</v>
      </c>
      <c r="I23">
        <f t="shared" si="7"/>
        <v>3.826194364392058</v>
      </c>
      <c r="J23">
        <f t="shared" si="8"/>
        <v>0.15890649786106589</v>
      </c>
      <c r="K23">
        <f t="shared" si="1"/>
        <v>8.0142131761378826E-2</v>
      </c>
      <c r="L23">
        <f t="shared" si="2"/>
        <v>6.7282203801771639E-5</v>
      </c>
      <c r="M23">
        <f t="shared" si="3"/>
        <v>0.70510125931503587</v>
      </c>
      <c r="N23">
        <f t="shared" si="9"/>
        <v>0.3299274939034359</v>
      </c>
      <c r="O23">
        <f t="shared" si="10"/>
        <v>1.0342651603893487</v>
      </c>
      <c r="P23">
        <f t="shared" si="4"/>
        <v>2.2054111916679449</v>
      </c>
      <c r="Q23">
        <f t="shared" si="5"/>
        <v>-9.3631317017559099E-4</v>
      </c>
      <c r="R23">
        <f t="shared" si="11"/>
        <v>-1.0892540622035929E-2</v>
      </c>
      <c r="S23">
        <f t="shared" si="15"/>
        <v>1.1864744120270286E-4</v>
      </c>
      <c r="T23">
        <f t="shared" ca="1" si="12"/>
        <v>6.6219789791637992E-2</v>
      </c>
      <c r="U23">
        <v>0</v>
      </c>
      <c r="V23">
        <v>1.0249999999999999</v>
      </c>
      <c r="W23">
        <f t="shared" si="13"/>
        <v>0.52144042661132128</v>
      </c>
      <c r="X23">
        <f t="shared" si="6"/>
        <v>3.343473750915412</v>
      </c>
      <c r="Y23">
        <f>Beta * (X23/X22)</f>
        <v>0.96727169168498472</v>
      </c>
    </row>
    <row r="24" spans="1:25" ht="14.65" thickBot="1" x14ac:dyDescent="0.5">
      <c r="A24" s="8" t="s">
        <v>53</v>
      </c>
      <c r="B24" s="29">
        <f>(ybar - Delta*kbar - tauw * lbar *mpl - tauk * mpk *kbar)/(1+tauc)</f>
        <v>0.51002339110365957</v>
      </c>
      <c r="C24" s="30"/>
      <c r="F24" s="7">
        <f t="shared" si="14"/>
        <v>23</v>
      </c>
      <c r="G24">
        <f t="shared" si="0"/>
        <v>1.4209705795014698</v>
      </c>
      <c r="H24">
        <v>1.0358611681729777</v>
      </c>
      <c r="I24">
        <f t="shared" si="7"/>
        <v>3.832053087677441</v>
      </c>
      <c r="J24">
        <f t="shared" si="8"/>
        <v>0.16219522787994653</v>
      </c>
      <c r="K24">
        <f t="shared" si="1"/>
        <v>8.0031654288250514E-2</v>
      </c>
      <c r="L24">
        <f t="shared" si="2"/>
        <v>1.5548472530970548E-4</v>
      </c>
      <c r="M24">
        <f t="shared" si="3"/>
        <v>0.70531534442766752</v>
      </c>
      <c r="N24">
        <f t="shared" si="9"/>
        <v>0.3298442086082371</v>
      </c>
      <c r="O24">
        <f t="shared" si="10"/>
        <v>1.0345506354636729</v>
      </c>
      <c r="P24">
        <f t="shared" si="4"/>
        <v>2.2066935496840863</v>
      </c>
      <c r="Q24">
        <f t="shared" si="5"/>
        <v>-1.4361354665768872E-3</v>
      </c>
      <c r="R24">
        <f t="shared" si="11"/>
        <v>2.3959613551737924E-2</v>
      </c>
      <c r="S24">
        <f t="shared" si="15"/>
        <v>5.7406308154862352E-4</v>
      </c>
      <c r="T24">
        <f t="shared" ca="1" si="12"/>
        <v>0.11803320595449257</v>
      </c>
      <c r="U24">
        <v>0</v>
      </c>
      <c r="V24">
        <v>1.0249999999999999</v>
      </c>
      <c r="W24">
        <f t="shared" si="13"/>
        <v>0.51813643586847224</v>
      </c>
      <c r="X24">
        <f t="shared" si="6"/>
        <v>3.3862502342297081</v>
      </c>
      <c r="Y24">
        <f>Beta * (X24/X23)</f>
        <v>0.9851360367447709</v>
      </c>
    </row>
    <row r="25" spans="1:25" ht="14.65" thickBot="1" x14ac:dyDescent="0.5">
      <c r="A25" s="31"/>
      <c r="B25" s="32"/>
      <c r="C25" s="33"/>
      <c r="F25" s="7">
        <f t="shared" si="14"/>
        <v>24</v>
      </c>
      <c r="G25">
        <f t="shared" si="0"/>
        <v>1.4209705795014698</v>
      </c>
      <c r="H25">
        <v>1.0177232548806698</v>
      </c>
      <c r="I25">
        <f t="shared" si="7"/>
        <v>3.8409661920502898</v>
      </c>
      <c r="J25">
        <f t="shared" si="8"/>
        <v>0.15780988707970864</v>
      </c>
      <c r="K25">
        <f t="shared" si="1"/>
        <v>7.9928992752318767E-2</v>
      </c>
      <c r="L25">
        <f t="shared" si="2"/>
        <v>3.3974338570549143E-5</v>
      </c>
      <c r="M25">
        <f t="shared" si="3"/>
        <v>0.70621305657964217</v>
      </c>
      <c r="N25">
        <f t="shared" si="9"/>
        <v>0.3300635316223785</v>
      </c>
      <c r="O25">
        <f t="shared" si="10"/>
        <v>1.0357476177510903</v>
      </c>
      <c r="P25">
        <f t="shared" si="4"/>
        <v>2.2078872368685278</v>
      </c>
      <c r="Q25">
        <f t="shared" si="5"/>
        <v>-6.6043746556245593E-4</v>
      </c>
      <c r="R25">
        <f t="shared" si="11"/>
        <v>-4.009124146498233E-2</v>
      </c>
      <c r="S25">
        <f t="shared" si="15"/>
        <v>1.6073076422035185E-3</v>
      </c>
      <c r="T25">
        <f t="shared" ca="1" si="12"/>
        <v>-6.3300044678440776E-2</v>
      </c>
      <c r="U25">
        <v>0</v>
      </c>
      <c r="V25">
        <v>1.0249999999999999</v>
      </c>
      <c r="W25">
        <f t="shared" si="13"/>
        <v>0.52364618930604634</v>
      </c>
      <c r="X25">
        <f t="shared" si="6"/>
        <v>3.3153655469427163</v>
      </c>
      <c r="Y25">
        <f>Beta * (X25/X24)</f>
        <v>0.9523299612200109</v>
      </c>
    </row>
    <row r="26" spans="1:25" ht="14.65" thickBot="1" x14ac:dyDescent="0.5">
      <c r="F26" s="7">
        <f t="shared" si="14"/>
        <v>25</v>
      </c>
      <c r="G26">
        <f t="shared" si="0"/>
        <v>1.4209705795014698</v>
      </c>
      <c r="H26">
        <v>1.1358589429836936</v>
      </c>
      <c r="I26">
        <f t="shared" si="7"/>
        <v>3.8451374314479869</v>
      </c>
      <c r="J26">
        <f t="shared" si="8"/>
        <v>0.18842728814121529</v>
      </c>
      <c r="K26">
        <f t="shared" si="1"/>
        <v>7.9798190140898839E-2</v>
      </c>
      <c r="L26">
        <f t="shared" si="2"/>
        <v>2.3380212515224878E-3</v>
      </c>
      <c r="M26">
        <f t="shared" si="3"/>
        <v>0.70589964653985515</v>
      </c>
      <c r="N26">
        <f t="shared" si="9"/>
        <v>0.32972350211690216</v>
      </c>
      <c r="O26">
        <f t="shared" si="10"/>
        <v>1.0353297419887444</v>
      </c>
      <c r="P26">
        <f t="shared" si="4"/>
        <v>2.2094110047936031</v>
      </c>
      <c r="Q26">
        <f t="shared" si="5"/>
        <v>-6.0104732778814857E-3</v>
      </c>
      <c r="R26">
        <f t="shared" si="11"/>
        <v>0.27248997758855942</v>
      </c>
      <c r="S26">
        <f t="shared" si="15"/>
        <v>7.4250787886213615E-2</v>
      </c>
      <c r="T26">
        <f t="shared" ca="1" si="12"/>
        <v>-3.8407502174701391E-3</v>
      </c>
      <c r="U26">
        <v>0</v>
      </c>
      <c r="V26">
        <v>1.0249999999999999</v>
      </c>
      <c r="W26">
        <f t="shared" si="13"/>
        <v>0.49059191249999018</v>
      </c>
      <c r="X26">
        <f t="shared" si="6"/>
        <v>3.7771701232557735</v>
      </c>
      <c r="Y26">
        <f>Beta * (X26/X25)</f>
        <v>1.1081797291816839</v>
      </c>
    </row>
    <row r="27" spans="1:25" ht="14.65" thickBot="1" x14ac:dyDescent="0.5">
      <c r="A27" s="34"/>
      <c r="B27" s="35"/>
      <c r="F27" s="7">
        <f t="shared" si="14"/>
        <v>26</v>
      </c>
      <c r="G27">
        <f t="shared" si="0"/>
        <v>1.4209705795014698</v>
      </c>
      <c r="H27">
        <v>1.0202337176858238</v>
      </c>
      <c r="I27">
        <f t="shared" si="7"/>
        <v>3.8797592223312827</v>
      </c>
      <c r="J27">
        <f t="shared" si="8"/>
        <v>0.15899225894132696</v>
      </c>
      <c r="K27">
        <f t="shared" si="1"/>
        <v>7.9649541130277349E-2</v>
      </c>
      <c r="L27">
        <f t="shared" si="2"/>
        <v>2.7941878173379273E-5</v>
      </c>
      <c r="M27">
        <f t="shared" si="3"/>
        <v>0.71156634519038542</v>
      </c>
      <c r="N27">
        <f t="shared" si="9"/>
        <v>0.33189189093541061</v>
      </c>
      <c r="O27">
        <f t="shared" si="10"/>
        <v>1.042882666077189</v>
      </c>
      <c r="P27">
        <f t="shared" si="4"/>
        <v>2.2111465943148256</v>
      </c>
      <c r="Q27">
        <f t="shared" si="5"/>
        <v>-5.9515958973126388E-4</v>
      </c>
      <c r="R27">
        <f t="shared" si="11"/>
        <v>-0.25284221367538051</v>
      </c>
      <c r="S27">
        <f t="shared" si="15"/>
        <v>6.3929185016266779E-2</v>
      </c>
      <c r="T27">
        <f t="shared" ca="1" si="12"/>
        <v>3.8598445404969331E-2</v>
      </c>
      <c r="U27">
        <v>0</v>
      </c>
      <c r="V27">
        <v>1.0249999999999999</v>
      </c>
      <c r="W27">
        <f t="shared" si="13"/>
        <v>0.52704344152918103</v>
      </c>
      <c r="X27">
        <f t="shared" si="6"/>
        <v>3.272762483291868</v>
      </c>
      <c r="Y27">
        <f>Beta * (X27/X26)</f>
        <v>0.84279707208127086</v>
      </c>
    </row>
    <row r="28" spans="1:25" ht="14.65" thickBot="1" x14ac:dyDescent="0.5">
      <c r="A28" s="8"/>
      <c r="B28" s="36"/>
      <c r="F28" s="7">
        <f t="shared" si="14"/>
        <v>27</v>
      </c>
      <c r="G28">
        <f t="shared" si="0"/>
        <v>1.4209705795014698</v>
      </c>
      <c r="H28">
        <v>1.0550832931657168</v>
      </c>
      <c r="I28">
        <f t="shared" si="7"/>
        <v>3.8835611123793581</v>
      </c>
      <c r="J28">
        <f t="shared" si="8"/>
        <v>0.16943769653698915</v>
      </c>
      <c r="K28">
        <f t="shared" si="1"/>
        <v>7.9151211505373062E-2</v>
      </c>
      <c r="L28">
        <f t="shared" si="2"/>
        <v>3.8368675882744402E-4</v>
      </c>
      <c r="M28">
        <f t="shared" si="3"/>
        <v>0.70787666180340336</v>
      </c>
      <c r="N28">
        <f t="shared" si="9"/>
        <v>0.32953465237186125</v>
      </c>
      <c r="O28">
        <f t="shared" si="10"/>
        <v>1.0379654532242835</v>
      </c>
      <c r="P28">
        <f t="shared" si="4"/>
        <v>2.216995636015505</v>
      </c>
      <c r="Q28">
        <f t="shared" si="5"/>
        <v>-2.2764771116218609E-3</v>
      </c>
      <c r="R28">
        <f t="shared" si="11"/>
        <v>9.155728303619437E-2</v>
      </c>
      <c r="S28">
        <f t="shared" si="15"/>
        <v>8.3827360769698055E-3</v>
      </c>
      <c r="T28">
        <f t="shared" ca="1" si="12"/>
        <v>-1.8402558416399938E-2</v>
      </c>
      <c r="U28">
        <v>0</v>
      </c>
      <c r="V28">
        <v>1.0249999999999999</v>
      </c>
      <c r="W28">
        <f t="shared" si="13"/>
        <v>0.51288887752364887</v>
      </c>
      <c r="X28">
        <f t="shared" si="6"/>
        <v>3.4558967011274784</v>
      </c>
      <c r="Y28">
        <f>Beta * (X28/X27)</f>
        <v>1.0271203658886081</v>
      </c>
    </row>
    <row r="29" spans="1:25" ht="14.65" thickBot="1" x14ac:dyDescent="0.5">
      <c r="A29" s="10" t="s">
        <v>32</v>
      </c>
      <c r="B29" s="37">
        <v>0.9</v>
      </c>
      <c r="F29" s="7">
        <f t="shared" si="14"/>
        <v>28</v>
      </c>
      <c r="G29">
        <f t="shared" si="0"/>
        <v>1.4209705795014698</v>
      </c>
      <c r="H29">
        <v>1.0158483044684103</v>
      </c>
      <c r="I29">
        <f t="shared" si="7"/>
        <v>3.8976563644211728</v>
      </c>
      <c r="J29">
        <f t="shared" si="8"/>
        <v>0.15944563509055207</v>
      </c>
      <c r="K29">
        <f t="shared" si="1"/>
        <v>7.9104133991917347E-2</v>
      </c>
      <c r="L29">
        <f t="shared" si="2"/>
        <v>2.4105282603567948E-5</v>
      </c>
      <c r="M29">
        <f t="shared" si="3"/>
        <v>0.71028059790416664</v>
      </c>
      <c r="N29">
        <f t="shared" si="9"/>
        <v>0.33047664124575132</v>
      </c>
      <c r="O29">
        <f t="shared" si="10"/>
        <v>1.0411694242333969</v>
      </c>
      <c r="P29">
        <f t="shared" si="4"/>
        <v>2.217550657030579</v>
      </c>
      <c r="Q29">
        <f t="shared" si="5"/>
        <v>-5.5103205362887512E-4</v>
      </c>
      <c r="R29">
        <f t="shared" si="11"/>
        <v>-8.9325657855244378E-2</v>
      </c>
      <c r="S29">
        <f t="shared" si="15"/>
        <v>7.979073151272182E-3</v>
      </c>
      <c r="T29">
        <f t="shared" ca="1" si="12"/>
        <v>9.3543136695453055E-2</v>
      </c>
      <c r="U29">
        <v>0</v>
      </c>
      <c r="V29">
        <v>1.0249999999999999</v>
      </c>
      <c r="W29">
        <f t="shared" si="13"/>
        <v>0.52567789345339277</v>
      </c>
      <c r="X29">
        <f t="shared" si="6"/>
        <v>3.2897878109831411</v>
      </c>
      <c r="Y29">
        <f>Beta * (X29/X28)</f>
        <v>0.9259386455071309</v>
      </c>
    </row>
    <row r="30" spans="1:25" ht="14.65" thickBot="1" x14ac:dyDescent="0.5">
      <c r="A30" s="3" t="s">
        <v>33</v>
      </c>
      <c r="B30" s="3">
        <v>0.01</v>
      </c>
      <c r="F30" s="7">
        <f t="shared" si="14"/>
        <v>29</v>
      </c>
      <c r="G30">
        <f t="shared" si="0"/>
        <v>1.4209705795014698</v>
      </c>
      <c r="H30">
        <v>1.096860888317418</v>
      </c>
      <c r="I30">
        <f t="shared" si="7"/>
        <v>3.9011957449348778</v>
      </c>
      <c r="J30">
        <f t="shared" si="8"/>
        <v>0.18107495176443844</v>
      </c>
      <c r="K30">
        <f t="shared" si="1"/>
        <v>7.8898717659440065E-2</v>
      </c>
      <c r="L30">
        <f t="shared" si="2"/>
        <v>1.2041631750338859E-3</v>
      </c>
      <c r="M30">
        <f t="shared" si="3"/>
        <v>0.70914383260241609</v>
      </c>
      <c r="N30">
        <f t="shared" si="9"/>
        <v>0.32966782314192511</v>
      </c>
      <c r="O30">
        <f t="shared" si="10"/>
        <v>1.0396544641537384</v>
      </c>
      <c r="P30">
        <f t="shared" si="4"/>
        <v>2.2199774171616435</v>
      </c>
      <c r="Q30">
        <f t="shared" si="5"/>
        <v>-4.1578114546853232E-3</v>
      </c>
      <c r="R30">
        <f t="shared" si="11"/>
        <v>0.18503746821525047</v>
      </c>
      <c r="S30">
        <f t="shared" si="15"/>
        <v>3.423886464350983E-2</v>
      </c>
      <c r="T30">
        <f t="shared" ca="1" si="12"/>
        <v>2.5697530149571692E-2</v>
      </c>
      <c r="U30">
        <v>0</v>
      </c>
      <c r="V30">
        <v>1.0249999999999999</v>
      </c>
      <c r="W30">
        <f t="shared" si="13"/>
        <v>0.50162569146401992</v>
      </c>
      <c r="X30">
        <f t="shared" si="6"/>
        <v>3.6128320424927409</v>
      </c>
      <c r="Y30">
        <f>Beta * (X30/X29)</f>
        <v>1.0682058716437364</v>
      </c>
    </row>
    <row r="31" spans="1:25" ht="14.65" thickBot="1" x14ac:dyDescent="0.5">
      <c r="A31" s="3" t="s">
        <v>46</v>
      </c>
      <c r="B31" s="3">
        <v>-0.1</v>
      </c>
      <c r="F31" s="7">
        <f t="shared" si="14"/>
        <v>30</v>
      </c>
      <c r="G31">
        <f t="shared" si="0"/>
        <v>1.4209705795014698</v>
      </c>
      <c r="H31">
        <v>1.0153665872660509</v>
      </c>
      <c r="I31">
        <f t="shared" si="7"/>
        <v>3.926222866901921</v>
      </c>
      <c r="J31">
        <f t="shared" si="8"/>
        <v>0.16004436745449432</v>
      </c>
      <c r="K31">
        <f t="shared" si="1"/>
        <v>7.879757038301316E-2</v>
      </c>
      <c r="L31">
        <f t="shared" si="2"/>
        <v>1.7140017871952489E-5</v>
      </c>
      <c r="M31">
        <f t="shared" si="3"/>
        <v>0.7132341664128774</v>
      </c>
      <c r="N31">
        <f t="shared" si="9"/>
        <v>0.33123353917228748</v>
      </c>
      <c r="O31">
        <f t="shared" si="10"/>
        <v>1.0451045973823254</v>
      </c>
      <c r="P31">
        <f t="shared" si="4"/>
        <v>2.2211753572018109</v>
      </c>
      <c r="Q31">
        <f t="shared" si="5"/>
        <v>-4.6212651355528997E-4</v>
      </c>
      <c r="R31">
        <f t="shared" si="11"/>
        <v>-0.18072641999910566</v>
      </c>
      <c r="S31">
        <f t="shared" si="15"/>
        <v>3.2662038885693134E-2</v>
      </c>
      <c r="T31">
        <f t="shared" ca="1" si="12"/>
        <v>5.4423541185962777E-3</v>
      </c>
      <c r="U31">
        <v>0</v>
      </c>
      <c r="V31">
        <v>1.0249999999999999</v>
      </c>
      <c r="W31">
        <f t="shared" si="13"/>
        <v>0.52766897771930343</v>
      </c>
      <c r="X31">
        <f t="shared" si="6"/>
        <v>3.2650075536112908</v>
      </c>
      <c r="Y31">
        <f>Beta * (X31/X30)</f>
        <v>0.87904578177852644</v>
      </c>
    </row>
    <row r="32" spans="1:25" ht="14.65" thickBot="1" x14ac:dyDescent="0.5">
      <c r="A32" s="38" t="s">
        <v>34</v>
      </c>
      <c r="B32" s="39"/>
      <c r="C32" s="39"/>
      <c r="F32" s="7">
        <f t="shared" si="14"/>
        <v>31</v>
      </c>
      <c r="G32">
        <f t="shared" si="0"/>
        <v>1.4209705795014698</v>
      </c>
      <c r="H32">
        <v>1.0677161516565652</v>
      </c>
      <c r="I32">
        <f t="shared" si="7"/>
        <v>3.9292183196803383</v>
      </c>
      <c r="J32">
        <f t="shared" si="8"/>
        <v>0.1747734948822505</v>
      </c>
      <c r="K32">
        <f t="shared" si="1"/>
        <v>7.8444597544432684E-2</v>
      </c>
      <c r="L32">
        <f t="shared" si="2"/>
        <v>5.9158264419384215E-4</v>
      </c>
      <c r="M32">
        <f t="shared" si="3"/>
        <v>0.71063514979214604</v>
      </c>
      <c r="N32">
        <f t="shared" si="9"/>
        <v>0.32957012779465661</v>
      </c>
      <c r="O32">
        <f t="shared" si="10"/>
        <v>1.0416418882296841</v>
      </c>
      <c r="P32">
        <f t="shared" si="4"/>
        <v>2.2253714054300251</v>
      </c>
      <c r="Q32">
        <f t="shared" si="5"/>
        <v>-2.8388445216562808E-3</v>
      </c>
      <c r="R32">
        <f t="shared" si="11"/>
        <v>0.12509416192013578</v>
      </c>
      <c r="S32">
        <f t="shared" si="15"/>
        <v>1.5648549346501148E-2</v>
      </c>
      <c r="T32">
        <f t="shared" ca="1" si="12"/>
        <v>6.4091263724001188E-2</v>
      </c>
      <c r="U32">
        <v>0</v>
      </c>
      <c r="V32">
        <v>1.0249999999999999</v>
      </c>
      <c r="W32">
        <f t="shared" si="13"/>
        <v>0.50982558285788349</v>
      </c>
      <c r="X32">
        <f t="shared" si="6"/>
        <v>3.4975510811687194</v>
      </c>
      <c r="Y32">
        <f>Beta * (X32/X31)</f>
        <v>1.0419693678095003</v>
      </c>
    </row>
    <row r="33" spans="1:25" ht="14.65" thickBot="1" x14ac:dyDescent="0.5">
      <c r="A33" s="3" t="s">
        <v>35</v>
      </c>
      <c r="B33" s="3">
        <f>( alpha*kbar^(rhoc)+(1-alpha)*lbar^(rhoc))^(1/rhoc)</f>
        <v>0.72133794660239103</v>
      </c>
      <c r="F33" s="7">
        <f t="shared" si="14"/>
        <v>32</v>
      </c>
      <c r="G33">
        <f t="shared" si="0"/>
        <v>1.4209705795014698</v>
      </c>
      <c r="H33">
        <v>1.0125413798129437</v>
      </c>
      <c r="I33">
        <f t="shared" si="7"/>
        <v>3.9468230817753751</v>
      </c>
      <c r="J33">
        <f t="shared" si="8"/>
        <v>0.16045392074155268</v>
      </c>
      <c r="K33">
        <f t="shared" si="1"/>
        <v>7.8387746753427842E-2</v>
      </c>
      <c r="L33">
        <f t="shared" si="2"/>
        <v>1.2658689922690885E-5</v>
      </c>
      <c r="M33">
        <f t="shared" si="3"/>
        <v>0.7136207600491673</v>
      </c>
      <c r="N33">
        <f t="shared" si="9"/>
        <v>0.33073702609987021</v>
      </c>
      <c r="O33">
        <f t="shared" si="10"/>
        <v>1.0456195638333681</v>
      </c>
      <c r="P33">
        <f t="shared" si="4"/>
        <v>2.2260495122075041</v>
      </c>
      <c r="Q33">
        <f t="shared" si="5"/>
        <v>-3.9557313309898851E-4</v>
      </c>
      <c r="R33">
        <f t="shared" si="11"/>
        <v>-0.1244115695065886</v>
      </c>
      <c r="S33">
        <f t="shared" si="15"/>
        <v>1.5478238627092727E-2</v>
      </c>
      <c r="T33">
        <f t="shared" ca="1" si="12"/>
        <v>-1.9816232608779173E-2</v>
      </c>
      <c r="U33">
        <v>0</v>
      </c>
      <c r="V33">
        <v>1.0249999999999999</v>
      </c>
      <c r="W33">
        <f t="shared" si="13"/>
        <v>0.5277211788625199</v>
      </c>
      <c r="X33">
        <f t="shared" si="6"/>
        <v>3.2643616492811929</v>
      </c>
      <c r="Y33">
        <f>Beta * (X33/X32)</f>
        <v>0.90783992226344878</v>
      </c>
    </row>
    <row r="34" spans="1:25" ht="14.65" thickBot="1" x14ac:dyDescent="0.5">
      <c r="A34" s="3" t="s">
        <v>36</v>
      </c>
      <c r="B34" s="3">
        <f>1/yhat</f>
        <v>1.3863127604892389</v>
      </c>
      <c r="F34" s="7">
        <f t="shared" si="14"/>
        <v>33</v>
      </c>
      <c r="G34">
        <f t="shared" si="0"/>
        <v>1.4209705795014698</v>
      </c>
      <c r="H34">
        <v>1.0807111880113356</v>
      </c>
      <c r="I34">
        <f t="shared" si="7"/>
        <v>3.9494040792459129</v>
      </c>
      <c r="J34">
        <f t="shared" si="8"/>
        <v>0.17910977525772509</v>
      </c>
      <c r="K34">
        <f t="shared" ref="K34:K50" si="16">G34*(alpha*I34^(rhoc-1))*M34</f>
        <v>7.8139901397981507E-2</v>
      </c>
      <c r="L34">
        <f t="shared" ref="L34:L50" si="17">(Phi/2)*((J34-Delta*I34)/I34)^2*I34</f>
        <v>8.4815876823364045E-4</v>
      </c>
      <c r="M34">
        <f t="shared" ref="M34:M50" si="18">(alpha* I34^rhoc + (1-alpha)*N34^rhoc)^(1/rhoc-1)</f>
        <v>0.71187617097089573</v>
      </c>
      <c r="N34">
        <f t="shared" si="9"/>
        <v>0.32960299010356903</v>
      </c>
      <c r="O34">
        <f t="shared" si="10"/>
        <v>1.0432954628782352</v>
      </c>
      <c r="P34">
        <f t="shared" ref="P34:P50" si="19">G34*(1-alpha)*N34^(rhoc-1)*M34</f>
        <v>2.2290132055971839</v>
      </c>
      <c r="Q34">
        <f t="shared" ref="Q34:Q50" si="20">(Phi/2)*((J34-Delta*I34)/I34)^2 - Phi *((J34-Delta*I34)/I34)* (J34/I34)</f>
        <v>-3.4254094414035868E-3</v>
      </c>
      <c r="R34">
        <f t="shared" si="11"/>
        <v>0.15724902979898037</v>
      </c>
      <c r="S34">
        <f t="shared" si="15"/>
        <v>2.4727257372720614E-2</v>
      </c>
      <c r="T34">
        <f t="shared" ca="1" si="12"/>
        <v>3.0526737624953004E-2</v>
      </c>
      <c r="U34">
        <v>0</v>
      </c>
      <c r="V34">
        <v>1.0249999999999999</v>
      </c>
      <c r="W34">
        <f t="shared" si="13"/>
        <v>0.50637935508890308</v>
      </c>
      <c r="X34">
        <f t="shared" ref="X34:X50" si="21">W34^(-sigma_c) /(1+tauc)</f>
        <v>3.5453191145657623</v>
      </c>
      <c r="Y34">
        <f>Beta * (X34/X33)</f>
        <v>1.0564091183196571</v>
      </c>
    </row>
    <row r="35" spans="1:25" ht="14.65" thickBot="1" x14ac:dyDescent="0.5">
      <c r="A35" s="3" t="s">
        <v>55</v>
      </c>
      <c r="B35" s="3">
        <f>( alpha*kbar^(rhoc)+(1-alpha)*lbar^(rhoc))^(1/rhoc-1)</f>
        <v>0.69815629325111683</v>
      </c>
      <c r="F35" s="7">
        <f t="shared" si="14"/>
        <v>34</v>
      </c>
      <c r="G35">
        <f t="shared" si="0"/>
        <v>1.4209705795014698</v>
      </c>
      <c r="H35">
        <v>1.0109629565446649</v>
      </c>
      <c r="I35">
        <f t="shared" ref="I35:I50" si="22">(1-Delta)*I34+J34</f>
        <v>3.9705376913338011</v>
      </c>
      <c r="J35">
        <f t="shared" ref="J35:J50" si="23">Delta*I34+ (H35-1)*(I34/Phi)</f>
        <v>0.16086263952304286</v>
      </c>
      <c r="K35">
        <f t="shared" si="16"/>
        <v>7.8070800791255737E-2</v>
      </c>
      <c r="L35">
        <f t="shared" si="17"/>
        <v>7.8696255394342048E-6</v>
      </c>
      <c r="M35">
        <f t="shared" si="18"/>
        <v>0.71543430199805635</v>
      </c>
      <c r="N35">
        <f t="shared" ref="N35:N50" si="24">(P34 *(1-tauw)*X34/gamma)^phiLL</f>
        <v>0.33098848666287156</v>
      </c>
      <c r="O35">
        <f t="shared" si="10"/>
        <v>1.0480349747301849</v>
      </c>
      <c r="P35">
        <f t="shared" si="19"/>
        <v>2.2298416631864137</v>
      </c>
      <c r="Q35">
        <f t="shared" si="20"/>
        <v>-3.1042363608438221E-4</v>
      </c>
      <c r="R35">
        <f t="shared" si="11"/>
        <v>-0.15610812404162222</v>
      </c>
      <c r="S35">
        <f t="shared" si="15"/>
        <v>2.4369746391794511E-2</v>
      </c>
      <c r="T35">
        <f t="shared" ref="T35:T50" ca="1" si="25">_xlfn.NORM.INV(RAND(),0,sigma)</f>
        <v>-5.5470088109747323E-2</v>
      </c>
      <c r="U35">
        <v>0</v>
      </c>
      <c r="V35">
        <v>1.0249999999999999</v>
      </c>
      <c r="W35">
        <f t="shared" ref="W35:W50" si="26" xml:space="preserve"> (O35 - J35 - tauw * P35*N35 - tauk * K35 * I35 *H35)/(1+tauc)</f>
        <v>0.52895177805517657</v>
      </c>
      <c r="X35">
        <f t="shared" si="21"/>
        <v>3.2491903308818193</v>
      </c>
      <c r="Y35">
        <f>Beta * (X35/X34)</f>
        <v>0.89144570307577342</v>
      </c>
    </row>
    <row r="36" spans="1:25" ht="14.65" thickBot="1" x14ac:dyDescent="0.5">
      <c r="A36" s="3" t="s">
        <v>38</v>
      </c>
      <c r="B36" s="3">
        <v>2</v>
      </c>
      <c r="F36" s="7">
        <f t="shared" si="14"/>
        <v>35</v>
      </c>
      <c r="G36">
        <f t="shared" si="0"/>
        <v>1.4209705795014698</v>
      </c>
      <c r="H36">
        <v>1.0712430280738681</v>
      </c>
      <c r="I36">
        <f t="shared" si="22"/>
        <v>3.9725788232034915</v>
      </c>
      <c r="J36">
        <f t="shared" si="23"/>
        <v>0.17767971620082174</v>
      </c>
      <c r="K36">
        <f t="shared" si="16"/>
        <v>7.7777625069792466E-2</v>
      </c>
      <c r="L36">
        <f t="shared" si="17"/>
        <v>6.6561170468241754E-4</v>
      </c>
      <c r="M36">
        <f t="shared" si="18"/>
        <v>0.71315071644431161</v>
      </c>
      <c r="N36">
        <f t="shared" si="24"/>
        <v>0.32955427328293641</v>
      </c>
      <c r="O36">
        <f t="shared" si="10"/>
        <v>1.0449934335728979</v>
      </c>
      <c r="P36">
        <f t="shared" si="19"/>
        <v>2.2333671476008403</v>
      </c>
      <c r="Q36">
        <f t="shared" si="20"/>
        <v>-3.0034771364637245E-3</v>
      </c>
      <c r="R36">
        <f t="shared" si="11"/>
        <v>0.14124688902889204</v>
      </c>
      <c r="S36">
        <f t="shared" si="15"/>
        <v>1.9950683660340144E-2</v>
      </c>
      <c r="T36">
        <f t="shared" ca="1" si="25"/>
        <v>-4.5276982932590706E-2</v>
      </c>
      <c r="U36">
        <v>0</v>
      </c>
      <c r="V36">
        <v>1.0249999999999999</v>
      </c>
      <c r="W36">
        <f t="shared" si="26"/>
        <v>0.50914517121641312</v>
      </c>
      <c r="X36">
        <f t="shared" si="21"/>
        <v>3.5069054451061721</v>
      </c>
      <c r="Y36">
        <f>Beta * (X36/X35)</f>
        <v>1.0498420894152707</v>
      </c>
    </row>
    <row r="37" spans="1:25" ht="14.65" thickBot="1" x14ac:dyDescent="0.5">
      <c r="A37" s="3" t="s">
        <v>39</v>
      </c>
      <c r="B37" s="3">
        <v>0.05</v>
      </c>
      <c r="F37" s="7">
        <f t="shared" si="14"/>
        <v>36</v>
      </c>
      <c r="G37">
        <f t="shared" si="0"/>
        <v>1.4209705795014698</v>
      </c>
      <c r="H37">
        <v>1.0088745107920505</v>
      </c>
      <c r="I37">
        <f t="shared" si="22"/>
        <v>3.9913553864761733</v>
      </c>
      <c r="J37">
        <f t="shared" si="23"/>
        <v>0.16125346583739236</v>
      </c>
      <c r="K37">
        <f t="shared" si="16"/>
        <v>7.7728227356536811E-2</v>
      </c>
      <c r="L37">
        <f t="shared" si="17"/>
        <v>4.8058895882283846E-6</v>
      </c>
      <c r="M37">
        <f t="shared" si="18"/>
        <v>0.7164041145260045</v>
      </c>
      <c r="N37">
        <f t="shared" si="24"/>
        <v>0.33084052212274906</v>
      </c>
      <c r="O37">
        <f t="shared" si="10"/>
        <v>1.0493264151494961</v>
      </c>
      <c r="P37">
        <f t="shared" si="19"/>
        <v>2.2339628515473131</v>
      </c>
      <c r="Q37">
        <f t="shared" si="20"/>
        <v>-2.4161118798466226E-4</v>
      </c>
      <c r="R37">
        <f t="shared" si="11"/>
        <v>-0.14055409831324672</v>
      </c>
      <c r="S37">
        <f t="shared" si="15"/>
        <v>1.9755454552649824E-2</v>
      </c>
      <c r="T37">
        <f t="shared" ca="1" si="25"/>
        <v>1.4879982281261151E-2</v>
      </c>
      <c r="U37">
        <v>0</v>
      </c>
      <c r="V37">
        <v>1.0249999999999999</v>
      </c>
      <c r="W37">
        <f t="shared" si="26"/>
        <v>0.52949446750960882</v>
      </c>
      <c r="X37">
        <f t="shared" si="21"/>
        <v>3.2425334239081591</v>
      </c>
      <c r="Y37">
        <f>Beta * (X37/X36)</f>
        <v>0.89936396173776545</v>
      </c>
    </row>
    <row r="38" spans="1:25" ht="14.65" thickBot="1" x14ac:dyDescent="0.5">
      <c r="F38" s="7">
        <f t="shared" si="14"/>
        <v>37</v>
      </c>
      <c r="G38">
        <f t="shared" si="0"/>
        <v>1.4209705795014698</v>
      </c>
      <c r="H38">
        <v>1.0706933789467765</v>
      </c>
      <c r="I38">
        <f t="shared" si="22"/>
        <v>3.9929546368545186</v>
      </c>
      <c r="J38">
        <f t="shared" si="23"/>
        <v>0.17846504204887478</v>
      </c>
      <c r="K38">
        <f t="shared" si="16"/>
        <v>7.7469313856579944E-2</v>
      </c>
      <c r="L38">
        <f t="shared" si="17"/>
        <v>6.6012138265049783E-4</v>
      </c>
      <c r="M38">
        <f t="shared" si="18"/>
        <v>0.71433247232625674</v>
      </c>
      <c r="N38">
        <f t="shared" si="24"/>
        <v>0.32955090526897601</v>
      </c>
      <c r="O38">
        <f t="shared" si="10"/>
        <v>1.0465675419583444</v>
      </c>
      <c r="P38">
        <f t="shared" si="19"/>
        <v>2.2370931901371991</v>
      </c>
      <c r="Q38">
        <f t="shared" si="20"/>
        <v>-2.9823116991000262E-3</v>
      </c>
      <c r="R38">
        <f t="shared" si="11"/>
        <v>0.14348808483235986</v>
      </c>
      <c r="S38">
        <f t="shared" si="15"/>
        <v>2.0588830488858501E-2</v>
      </c>
      <c r="T38">
        <f t="shared" ca="1" si="25"/>
        <v>7.2587584215141207E-2</v>
      </c>
      <c r="U38">
        <v>0</v>
      </c>
      <c r="V38">
        <v>1.0249999999999999</v>
      </c>
      <c r="W38">
        <f t="shared" si="26"/>
        <v>0.50944545322175083</v>
      </c>
      <c r="X38">
        <f t="shared" si="21"/>
        <v>3.5027725188404983</v>
      </c>
      <c r="Y38">
        <f>Beta * (X38/X37)</f>
        <v>1.0507576202376598</v>
      </c>
    </row>
    <row r="39" spans="1:25" ht="14.65" thickBot="1" x14ac:dyDescent="0.5">
      <c r="A39" s="3" t="s">
        <v>40</v>
      </c>
      <c r="B39" s="3">
        <f xml:space="preserve"> (ybar - Delta*kbar -tauw * mpl *lbar - tauk * kbar * mpk)/(1+tauc)</f>
        <v>0.51002339110365946</v>
      </c>
      <c r="F39" s="7">
        <f t="shared" si="14"/>
        <v>38</v>
      </c>
      <c r="G39">
        <f t="shared" si="0"/>
        <v>1.4209705795014698</v>
      </c>
      <c r="H39">
        <v>1.0066664051981118</v>
      </c>
      <c r="I39">
        <f t="shared" si="22"/>
        <v>4.0117014934292126</v>
      </c>
      <c r="J39">
        <f t="shared" si="23"/>
        <v>0.16149276237731083</v>
      </c>
      <c r="K39">
        <f t="shared" si="16"/>
        <v>7.7424065228483371E-2</v>
      </c>
      <c r="L39">
        <f t="shared" si="17"/>
        <v>1.9630364493117065E-6</v>
      </c>
      <c r="M39">
        <f t="shared" si="18"/>
        <v>0.71760310847615338</v>
      </c>
      <c r="N39">
        <f t="shared" si="24"/>
        <v>0.3308485906929492</v>
      </c>
      <c r="O39">
        <f t="shared" si="10"/>
        <v>1.0509228228761973</v>
      </c>
      <c r="P39">
        <f t="shared" si="19"/>
        <v>2.2376416451439547</v>
      </c>
      <c r="Q39">
        <f t="shared" si="20"/>
        <v>-1.5374638954192789E-4</v>
      </c>
      <c r="R39">
        <f t="shared" si="11"/>
        <v>-0.14422499603185368</v>
      </c>
      <c r="S39">
        <f t="shared" si="15"/>
        <v>2.0800849480388212E-2</v>
      </c>
      <c r="T39">
        <f t="shared" ca="1" si="25"/>
        <v>1.8070201350217818E-2</v>
      </c>
      <c r="U39">
        <v>0</v>
      </c>
      <c r="V39">
        <v>1.0249999999999999</v>
      </c>
      <c r="W39">
        <f t="shared" si="26"/>
        <v>0.53037902732446751</v>
      </c>
      <c r="X39">
        <f t="shared" si="21"/>
        <v>3.2317267259420008</v>
      </c>
      <c r="Y39">
        <f>Beta * (X39/X38)</f>
        <v>0.89742419054394429</v>
      </c>
    </row>
    <row r="40" spans="1:25" ht="14.65" thickBot="1" x14ac:dyDescent="0.5">
      <c r="F40" s="7">
        <f t="shared" si="14"/>
        <v>39</v>
      </c>
      <c r="G40">
        <f t="shared" si="0"/>
        <v>1.4209705795014698</v>
      </c>
      <c r="H40">
        <v>1.0727994218863919</v>
      </c>
      <c r="I40">
        <f t="shared" si="22"/>
        <v>4.0127261960693543</v>
      </c>
      <c r="J40">
        <f t="shared" si="23"/>
        <v>0.17993802970399664</v>
      </c>
      <c r="K40">
        <f t="shared" si="16"/>
        <v>7.7168289297565987E-2</v>
      </c>
      <c r="L40">
        <f t="shared" si="17"/>
        <v>7.055402942770096E-4</v>
      </c>
      <c r="M40">
        <f t="shared" si="18"/>
        <v>0.71543341768424906</v>
      </c>
      <c r="N40">
        <f t="shared" si="24"/>
        <v>0.3295230106519757</v>
      </c>
      <c r="O40">
        <f t="shared" si="10"/>
        <v>1.0480337970706239</v>
      </c>
      <c r="P40">
        <f t="shared" si="19"/>
        <v>2.2407496813030074</v>
      </c>
      <c r="Q40">
        <f t="shared" si="20"/>
        <v>-3.0809302222315929E-3</v>
      </c>
      <c r="R40">
        <f t="shared" si="11"/>
        <v>0.15381876595519728</v>
      </c>
      <c r="S40">
        <f t="shared" si="15"/>
        <v>2.3660212759979756E-2</v>
      </c>
      <c r="T40">
        <f t="shared" ca="1" si="25"/>
        <v>-2.6300886338633235E-2</v>
      </c>
      <c r="U40">
        <v>0</v>
      </c>
      <c r="V40">
        <v>1.0249999999999999</v>
      </c>
      <c r="W40">
        <f t="shared" si="26"/>
        <v>0.50893961225448991</v>
      </c>
      <c r="X40">
        <f t="shared" si="21"/>
        <v>3.5097388713325319</v>
      </c>
      <c r="Y40">
        <f>Beta * (X40/X39)</f>
        <v>1.0563680362570631</v>
      </c>
    </row>
    <row r="41" spans="1:25" ht="14.65" thickBot="1" x14ac:dyDescent="0.5">
      <c r="F41" s="7">
        <f t="shared" si="14"/>
        <v>40</v>
      </c>
      <c r="G41">
        <f t="shared" si="0"/>
        <v>1.4209705795014698</v>
      </c>
      <c r="H41">
        <v>1.0052328342354733</v>
      </c>
      <c r="I41">
        <f t="shared" si="22"/>
        <v>4.0321551779305764</v>
      </c>
      <c r="J41">
        <f t="shared" si="23"/>
        <v>0.16190890991053231</v>
      </c>
      <c r="K41">
        <f t="shared" si="16"/>
        <v>7.7130351979165776E-2</v>
      </c>
      <c r="L41">
        <f t="shared" si="17"/>
        <v>7.2124971327521699E-7</v>
      </c>
      <c r="M41">
        <f t="shared" si="18"/>
        <v>0.71889116143621601</v>
      </c>
      <c r="N41">
        <f t="shared" si="24"/>
        <v>0.3309084794558611</v>
      </c>
      <c r="O41">
        <f t="shared" si="10"/>
        <v>1.0526375386211215</v>
      </c>
      <c r="P41">
        <f t="shared" si="19"/>
        <v>2.2412118049445295</v>
      </c>
      <c r="Q41">
        <f t="shared" si="20"/>
        <v>-9.2839414452037993E-5</v>
      </c>
      <c r="R41">
        <f t="shared" si="11"/>
        <v>-0.15234817409541468</v>
      </c>
      <c r="S41">
        <f t="shared" si="15"/>
        <v>2.320996615020678E-2</v>
      </c>
      <c r="T41">
        <f t="shared" ca="1" si="25"/>
        <v>2.6627856566553337E-2</v>
      </c>
      <c r="U41">
        <v>0</v>
      </c>
      <c r="V41">
        <v>1.0249999999999999</v>
      </c>
      <c r="W41">
        <f t="shared" si="26"/>
        <v>0.53114698807512983</v>
      </c>
      <c r="X41">
        <f t="shared" si="21"/>
        <v>3.2223882748163462</v>
      </c>
      <c r="Y41">
        <f>Beta * (X41/X40)</f>
        <v>0.89305486139881951</v>
      </c>
    </row>
    <row r="42" spans="1:25" ht="14.65" thickBot="1" x14ac:dyDescent="0.5">
      <c r="A42" s="3" t="s">
        <v>41</v>
      </c>
      <c r="B42" s="3">
        <v>0.1</v>
      </c>
      <c r="F42" s="7">
        <f t="shared" si="14"/>
        <v>41</v>
      </c>
      <c r="G42">
        <f t="shared" si="0"/>
        <v>1.4209705795014698</v>
      </c>
      <c r="H42">
        <v>1.0600509920732466</v>
      </c>
      <c r="I42">
        <f t="shared" si="22"/>
        <v>4.0327778807238852</v>
      </c>
      <c r="J42">
        <f t="shared" si="23"/>
        <v>0.17742853502575701</v>
      </c>
      <c r="K42">
        <f t="shared" si="16"/>
        <v>7.6866869667939319E-2</v>
      </c>
      <c r="L42">
        <f t="shared" si="17"/>
        <v>4.831121907581409E-4</v>
      </c>
      <c r="M42">
        <f t="shared" si="18"/>
        <v>0.71655708966094855</v>
      </c>
      <c r="N42">
        <f t="shared" si="24"/>
        <v>0.32950159943834145</v>
      </c>
      <c r="O42">
        <f t="shared" si="10"/>
        <v>1.0495301083251638</v>
      </c>
      <c r="P42">
        <f t="shared" si="19"/>
        <v>2.2444294590023692</v>
      </c>
      <c r="Q42">
        <f t="shared" si="20"/>
        <v>-2.5177593135916839E-3</v>
      </c>
      <c r="R42">
        <f t="shared" si="11"/>
        <v>0.12796911491573226</v>
      </c>
      <c r="S42">
        <f t="shared" si="15"/>
        <v>1.6376094372315891E-2</v>
      </c>
      <c r="T42">
        <f t="shared" ca="1" si="25"/>
        <v>1.4025971143018769E-2</v>
      </c>
      <c r="U42">
        <v>0</v>
      </c>
      <c r="V42">
        <v>1.0249999999999999</v>
      </c>
      <c r="W42">
        <f t="shared" si="26"/>
        <v>0.51270107599926584</v>
      </c>
      <c r="X42">
        <f t="shared" si="21"/>
        <v>3.4584289428836006</v>
      </c>
      <c r="Y42">
        <f>Beta * (X42/X41)</f>
        <v>1.0439412641156722</v>
      </c>
    </row>
    <row r="43" spans="1:25" ht="14.65" thickBot="1" x14ac:dyDescent="0.5">
      <c r="A43" s="3" t="s">
        <v>42</v>
      </c>
      <c r="B43" s="3">
        <v>0.35</v>
      </c>
      <c r="F43" s="7">
        <f t="shared" si="14"/>
        <v>42</v>
      </c>
      <c r="G43">
        <f t="shared" si="0"/>
        <v>1.4209705795014698</v>
      </c>
      <c r="H43">
        <v>1.0021715345561677</v>
      </c>
      <c r="I43">
        <f t="shared" si="22"/>
        <v>4.0488953005206865</v>
      </c>
      <c r="J43">
        <f t="shared" si="23"/>
        <v>0.16189493633064478</v>
      </c>
      <c r="K43">
        <f t="shared" si="16"/>
        <v>7.6844093966085006E-2</v>
      </c>
      <c r="L43">
        <f t="shared" si="17"/>
        <v>6.8645569596613446E-9</v>
      </c>
      <c r="M43">
        <f t="shared" si="18"/>
        <v>0.71949464363116811</v>
      </c>
      <c r="N43">
        <f t="shared" si="24"/>
        <v>0.33069203099252775</v>
      </c>
      <c r="O43">
        <f t="shared" si="10"/>
        <v>1.0534408259542747</v>
      </c>
      <c r="P43">
        <f t="shared" si="19"/>
        <v>2.244708264648192</v>
      </c>
      <c r="Q43">
        <f t="shared" si="20"/>
        <v>9.0193859910257846E-6</v>
      </c>
      <c r="R43">
        <f t="shared" si="11"/>
        <v>-0.13116408858760054</v>
      </c>
      <c r="S43">
        <f t="shared" si="15"/>
        <v>1.720401813501592E-2</v>
      </c>
      <c r="T43">
        <f t="shared" ca="1" si="25"/>
        <v>1.3044886480309908E-2</v>
      </c>
      <c r="U43">
        <v>0</v>
      </c>
      <c r="V43">
        <v>1.0249999999999999</v>
      </c>
      <c r="W43">
        <f t="shared" si="26"/>
        <v>0.5317881755380246</v>
      </c>
      <c r="X43">
        <f t="shared" si="21"/>
        <v>3.2146223655481916</v>
      </c>
      <c r="Y43">
        <f>Beta * (X43/X42)</f>
        <v>0.9041202175231382</v>
      </c>
    </row>
    <row r="44" spans="1:25" ht="14.65" thickBot="1" x14ac:dyDescent="0.5">
      <c r="A44" s="3" t="s">
        <v>43</v>
      </c>
      <c r="B44" s="3">
        <v>0.15</v>
      </c>
      <c r="F44" s="7">
        <f t="shared" si="14"/>
        <v>43</v>
      </c>
      <c r="G44">
        <f t="shared" si="0"/>
        <v>1.4209705795014698</v>
      </c>
      <c r="H44">
        <v>1.0781344421691177</v>
      </c>
      <c r="I44">
        <f t="shared" si="22"/>
        <v>4.0488344248305035</v>
      </c>
      <c r="J44">
        <f t="shared" si="23"/>
        <v>0.18304635706798386</v>
      </c>
      <c r="K44">
        <f t="shared" si="16"/>
        <v>7.6627936096340499E-2</v>
      </c>
      <c r="L44">
        <f t="shared" si="17"/>
        <v>8.2415164789000517E-4</v>
      </c>
      <c r="M44">
        <f t="shared" si="18"/>
        <v>0.71745888196762042</v>
      </c>
      <c r="N44">
        <f t="shared" si="24"/>
        <v>0.32948752945392989</v>
      </c>
      <c r="O44">
        <f t="shared" si="10"/>
        <v>1.0507308044591204</v>
      </c>
      <c r="P44">
        <f t="shared" si="19"/>
        <v>2.2473596500473358</v>
      </c>
      <c r="Q44">
        <f t="shared" si="20"/>
        <v>-3.329338342432351E-3</v>
      </c>
      <c r="R44">
        <f t="shared" si="11"/>
        <v>0.1759679346775993</v>
      </c>
      <c r="S44">
        <f t="shared" si="15"/>
        <v>3.0964714034699855E-2</v>
      </c>
      <c r="T44">
        <f t="shared" ca="1" si="25"/>
        <v>-3.0414081801284666E-2</v>
      </c>
      <c r="U44">
        <v>0</v>
      </c>
      <c r="V44">
        <v>1.0249999999999999</v>
      </c>
      <c r="W44">
        <f t="shared" si="26"/>
        <v>0.50758473136890048</v>
      </c>
      <c r="X44">
        <f t="shared" si="21"/>
        <v>3.5285007622145783</v>
      </c>
      <c r="Y44">
        <f>Beta * (X44/X43)</f>
        <v>1.0676657954875792</v>
      </c>
    </row>
    <row r="45" spans="1:25" ht="14.65" thickBot="1" x14ac:dyDescent="0.5">
      <c r="F45" s="7">
        <f t="shared" si="14"/>
        <v>44</v>
      </c>
      <c r="G45">
        <f t="shared" si="0"/>
        <v>1.4209705795014698</v>
      </c>
      <c r="H45">
        <v>1.001999157316003</v>
      </c>
      <c r="I45">
        <f t="shared" si="22"/>
        <v>4.0699274049052674</v>
      </c>
      <c r="J45">
        <f t="shared" si="23"/>
        <v>0.16249299412399912</v>
      </c>
      <c r="K45">
        <f t="shared" si="16"/>
        <v>7.6599491451574991E-2</v>
      </c>
      <c r="L45">
        <f t="shared" si="17"/>
        <v>1.7041717417105347E-7</v>
      </c>
      <c r="M45">
        <f t="shared" si="18"/>
        <v>0.72130357535536782</v>
      </c>
      <c r="N45">
        <f t="shared" si="24"/>
        <v>0.3310454539015435</v>
      </c>
      <c r="O45">
        <f t="shared" si="10"/>
        <v>1.0558483048098475</v>
      </c>
      <c r="P45">
        <f t="shared" si="19"/>
        <v>2.2477092694665943</v>
      </c>
      <c r="Q45">
        <f t="shared" si="20"/>
        <v>4.4789699672054554E-5</v>
      </c>
      <c r="R45">
        <f t="shared" si="11"/>
        <v>-0.17146607101322331</v>
      </c>
      <c r="S45">
        <f t="shared" si="15"/>
        <v>2.9400613508711738E-2</v>
      </c>
      <c r="T45">
        <f t="shared" ca="1" si="25"/>
        <v>-3.5361814221300178E-2</v>
      </c>
      <c r="U45">
        <v>0</v>
      </c>
      <c r="V45">
        <v>1.0249999999999999</v>
      </c>
      <c r="W45">
        <f t="shared" si="26"/>
        <v>0.5327870827184007</v>
      </c>
      <c r="X45">
        <f t="shared" si="21"/>
        <v>3.2025796593381513</v>
      </c>
      <c r="Y45">
        <f>Beta * (X45/X44)</f>
        <v>0.88284569036452476</v>
      </c>
    </row>
    <row r="46" spans="1:25" ht="14.65" thickBot="1" x14ac:dyDescent="0.5">
      <c r="A46" s="3" t="s">
        <v>44</v>
      </c>
      <c r="B46" s="3">
        <f>Cbar^(-sigma_c)/(1+tauc)</f>
        <v>3.4948386162388987</v>
      </c>
      <c r="F46" s="7">
        <f t="shared" si="14"/>
        <v>45</v>
      </c>
      <c r="G46">
        <f t="shared" si="0"/>
        <v>1.4209705795014698</v>
      </c>
      <c r="H46">
        <v>1.0416849942393145</v>
      </c>
      <c r="I46">
        <f t="shared" si="22"/>
        <v>4.0696233028330555</v>
      </c>
      <c r="J46">
        <f t="shared" si="23"/>
        <v>0.1741074228914043</v>
      </c>
      <c r="K46">
        <f t="shared" si="16"/>
        <v>7.6317144145534699E-2</v>
      </c>
      <c r="L46">
        <f t="shared" si="17"/>
        <v>2.3626043717088287E-4</v>
      </c>
      <c r="M46">
        <f t="shared" si="18"/>
        <v>0.71858576942157282</v>
      </c>
      <c r="N46">
        <f t="shared" si="24"/>
        <v>0.32944770949160845</v>
      </c>
      <c r="O46">
        <f t="shared" si="10"/>
        <v>1.0522310119081233</v>
      </c>
      <c r="P46">
        <f t="shared" si="19"/>
        <v>2.2511887693263106</v>
      </c>
      <c r="Q46">
        <f t="shared" si="20"/>
        <v>-1.7273723833668778E-3</v>
      </c>
      <c r="R46">
        <f t="shared" si="11"/>
        <v>9.4730218750485262E-2</v>
      </c>
      <c r="S46">
        <f t="shared" si="15"/>
        <v>8.9738143445147901E-3</v>
      </c>
      <c r="T46">
        <f t="shared" ca="1" si="25"/>
        <v>6.6498894632624622E-3</v>
      </c>
      <c r="U46">
        <v>0</v>
      </c>
      <c r="V46">
        <v>1.0249999999999999</v>
      </c>
      <c r="W46">
        <f t="shared" si="26"/>
        <v>0.51819740816760307</v>
      </c>
      <c r="X46">
        <f t="shared" si="21"/>
        <v>3.385453413125469</v>
      </c>
      <c r="Y46">
        <f>Beta * (X46/X45)</f>
        <v>1.0282340391752678</v>
      </c>
    </row>
    <row r="47" spans="1:25" ht="14.65" thickBot="1" x14ac:dyDescent="0.5">
      <c r="A47" s="3" t="s">
        <v>45</v>
      </c>
      <c r="B47" s="3" cm="1">
        <f t="array" ref="B47">Ac * alpha * kbar^(rhoc-1)*yhat1</f>
        <v>8.0088585194104417E-2</v>
      </c>
      <c r="F47" s="7">
        <f t="shared" si="14"/>
        <v>46</v>
      </c>
      <c r="G47">
        <f t="shared" si="0"/>
        <v>1.4209705795014698</v>
      </c>
      <c r="H47">
        <v>0.99695040211329677</v>
      </c>
      <c r="I47">
        <f t="shared" si="22"/>
        <v>4.0809457936111375</v>
      </c>
      <c r="J47">
        <f t="shared" si="23"/>
        <v>0.16195755113838903</v>
      </c>
      <c r="K47">
        <f t="shared" si="16"/>
        <v>7.6321615687359234E-2</v>
      </c>
      <c r="L47">
        <f t="shared" si="17"/>
        <v>3.0123870417681819E-6</v>
      </c>
      <c r="M47">
        <f t="shared" si="18"/>
        <v>0.72082747835010896</v>
      </c>
      <c r="N47">
        <f t="shared" si="24"/>
        <v>0.33038926388201706</v>
      </c>
      <c r="O47">
        <f t="shared" si="10"/>
        <v>1.0552147280488129</v>
      </c>
      <c r="P47">
        <f t="shared" si="19"/>
        <v>2.2511335350578277</v>
      </c>
      <c r="Q47">
        <f t="shared" si="20"/>
        <v>1.8749476599027521E-4</v>
      </c>
      <c r="R47">
        <f t="shared" si="11"/>
        <v>-0.10248196737664828</v>
      </c>
      <c r="S47">
        <f t="shared" si="15"/>
        <v>1.0502553637388402E-2</v>
      </c>
      <c r="T47">
        <f t="shared" ca="1" si="25"/>
        <v>1.8171306053098035E-2</v>
      </c>
      <c r="U47">
        <v>0</v>
      </c>
      <c r="V47">
        <v>1.0249999999999999</v>
      </c>
      <c r="W47">
        <f t="shared" si="26"/>
        <v>0.5330612486901638</v>
      </c>
      <c r="X47">
        <f t="shared" si="21"/>
        <v>3.1992861820175276</v>
      </c>
      <c r="Y47">
        <f>Beta * (X47/X46)</f>
        <v>0.91920276977948157</v>
      </c>
    </row>
    <row r="48" spans="1:25" ht="14.65" thickBot="1" x14ac:dyDescent="0.5">
      <c r="A48" s="3" t="s">
        <v>47</v>
      </c>
      <c r="B48" s="3">
        <f xml:space="preserve"> Ac * (1-alpha)*lbar ^(rhoc-1)*yhat1</f>
        <v>2.1299131785753715</v>
      </c>
      <c r="F48" s="7">
        <f t="shared" si="14"/>
        <v>47</v>
      </c>
      <c r="G48">
        <f t="shared" si="0"/>
        <v>1.4209705795014698</v>
      </c>
      <c r="H48">
        <v>1.0971627842327032</v>
      </c>
      <c r="I48">
        <f t="shared" si="22"/>
        <v>4.0796655130050805</v>
      </c>
      <c r="J48">
        <f t="shared" si="23"/>
        <v>0.18967223545177861</v>
      </c>
      <c r="K48">
        <f t="shared" si="16"/>
        <v>7.6172906741065791E-2</v>
      </c>
      <c r="L48">
        <f t="shared" si="17"/>
        <v>1.2896053537983074E-3</v>
      </c>
      <c r="M48">
        <f t="shared" si="18"/>
        <v>0.7191747167194088</v>
      </c>
      <c r="N48">
        <f t="shared" si="24"/>
        <v>0.32945583666802386</v>
      </c>
      <c r="O48">
        <f t="shared" si="10"/>
        <v>1.0530149830177244</v>
      </c>
      <c r="P48">
        <f t="shared" si="19"/>
        <v>2.2529726893525326</v>
      </c>
      <c r="Q48">
        <f t="shared" si="20"/>
        <v>-4.211368372719371E-3</v>
      </c>
      <c r="R48">
        <f t="shared" si="11"/>
        <v>0.23296349826010887</v>
      </c>
      <c r="S48">
        <f t="shared" si="15"/>
        <v>5.4271991521587751E-2</v>
      </c>
      <c r="T48">
        <f t="shared" ca="1" si="25"/>
        <v>-3.3777704117918264E-2</v>
      </c>
      <c r="U48">
        <v>0</v>
      </c>
      <c r="V48">
        <v>1.0249999999999999</v>
      </c>
      <c r="W48">
        <f t="shared" si="26"/>
        <v>0.50219123081709949</v>
      </c>
      <c r="X48">
        <f t="shared" si="21"/>
        <v>3.604699490176428</v>
      </c>
      <c r="Y48">
        <f>Beta * (X48/X47)</f>
        <v>1.0959507818233694</v>
      </c>
    </row>
    <row r="49" spans="1:25" ht="14.65" thickBot="1" x14ac:dyDescent="0.5">
      <c r="A49" s="3" t="s">
        <v>48</v>
      </c>
      <c r="B49" s="3">
        <f>mpl *(1-tauw) *lambdabar/(lbar^(1/phiLL))</f>
        <v>20626407123.435833</v>
      </c>
      <c r="F49" s="7">
        <f t="shared" si="14"/>
        <v>48</v>
      </c>
      <c r="G49">
        <f t="shared" si="0"/>
        <v>1.4209705795014698</v>
      </c>
      <c r="H49">
        <v>1</v>
      </c>
      <c r="I49">
        <f t="shared" si="22"/>
        <v>4.1061511279366556</v>
      </c>
      <c r="J49">
        <f t="shared" si="23"/>
        <v>0.16318662052020322</v>
      </c>
      <c r="K49">
        <f t="shared" si="16"/>
        <v>7.6145461956406715E-2</v>
      </c>
      <c r="L49">
        <f t="shared" si="17"/>
        <v>2.0500593663912029E-6</v>
      </c>
      <c r="M49">
        <f t="shared" si="18"/>
        <v>0.72405126706652889</v>
      </c>
      <c r="N49">
        <f t="shared" si="24"/>
        <v>0.33144062418036729</v>
      </c>
      <c r="O49">
        <f t="shared" si="10"/>
        <v>1.0595041151687694</v>
      </c>
      <c r="P49">
        <f t="shared" si="19"/>
        <v>2.2533126182588541</v>
      </c>
      <c r="Q49">
        <f t="shared" si="20"/>
        <v>1.5430622966617594E-4</v>
      </c>
      <c r="R49">
        <f t="shared" si="11"/>
        <v>-0.21763425267243841</v>
      </c>
      <c r="S49">
        <f t="shared" si="15"/>
        <v>4.7364667936290766E-2</v>
      </c>
      <c r="T49">
        <f t="shared" ca="1" si="25"/>
        <v>1.4401715177991995E-2</v>
      </c>
      <c r="U49">
        <v>0</v>
      </c>
      <c r="V49">
        <v>1.0249999999999999</v>
      </c>
      <c r="W49">
        <f t="shared" si="26"/>
        <v>0.53456728112673468</v>
      </c>
      <c r="X49">
        <f t="shared" si="21"/>
        <v>3.1812849247248307</v>
      </c>
      <c r="Y49">
        <f>Beta * (X49/X48)</f>
        <v>0.85843729680811143</v>
      </c>
    </row>
    <row r="50" spans="1:25" x14ac:dyDescent="0.45">
      <c r="A50" s="3" t="s">
        <v>50</v>
      </c>
      <c r="F50" s="7">
        <f t="shared" si="14"/>
        <v>49</v>
      </c>
      <c r="G50">
        <f t="shared" si="0"/>
        <v>1.4209705795014698</v>
      </c>
      <c r="H50">
        <v>1</v>
      </c>
      <c r="I50">
        <f t="shared" si="22"/>
        <v>4.1050917033393919</v>
      </c>
      <c r="J50">
        <f t="shared" si="23"/>
        <v>0.16424604511746624</v>
      </c>
      <c r="K50">
        <f t="shared" si="16"/>
        <v>7.5793054933734685E-2</v>
      </c>
      <c r="L50">
        <f t="shared" si="17"/>
        <v>3.2809414991878055E-9</v>
      </c>
      <c r="M50">
        <f t="shared" si="18"/>
        <v>0.72049576304879537</v>
      </c>
      <c r="N50">
        <f t="shared" si="24"/>
        <v>0.32937883517349575</v>
      </c>
      <c r="O50">
        <f t="shared" si="10"/>
        <v>1.05477326799075</v>
      </c>
      <c r="P50">
        <f t="shared" si="19"/>
        <v>2.257691592781998</v>
      </c>
      <c r="Q50">
        <f t="shared" si="20"/>
        <v>-6.1946171032307824E-6</v>
      </c>
      <c r="R50">
        <f t="shared" si="11"/>
        <v>1.1674380855487998E-2</v>
      </c>
      <c r="S50">
        <f t="shared" si="15"/>
        <v>1.3629116835898469E-4</v>
      </c>
      <c r="T50">
        <f t="shared" ca="1" si="25"/>
        <v>-3.5619627302653133E-2</v>
      </c>
      <c r="U50">
        <v>0</v>
      </c>
      <c r="V50">
        <v>1.0249999999999999</v>
      </c>
      <c r="W50">
        <f t="shared" si="26"/>
        <v>0.53053097024760498</v>
      </c>
      <c r="X50">
        <f t="shared" si="21"/>
        <v>3.229875871922375</v>
      </c>
      <c r="Y50">
        <f>Beta * (X50/X49)</f>
        <v>0.98754828848435539</v>
      </c>
    </row>
    <row r="51" spans="1:25" x14ac:dyDescent="0.45">
      <c r="A51" s="3" t="s">
        <v>49</v>
      </c>
      <c r="B51" s="3">
        <f>(mpl *(1-tauw)*lambdabar/gamma)^phiLL</f>
        <v>0.33</v>
      </c>
      <c r="S51">
        <f>AVERAGE(S3:S50)</f>
        <v>1.354474167397497E-2</v>
      </c>
    </row>
    <row r="53" spans="1:25" x14ac:dyDescent="0.45">
      <c r="A53" s="3" t="s">
        <v>54</v>
      </c>
      <c r="B53" s="3" cm="1">
        <f t="array" ref="B53" xml:space="preserve">  mpl *lbar + mpk * kbar</f>
        <v>1</v>
      </c>
    </row>
    <row r="54" spans="1:25" x14ac:dyDescent="0.45">
      <c r="B54" s="3" cm="1">
        <f t="array" ref="B54" xml:space="preserve"> mpk</f>
        <v>8.0088585194104417E-2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</vt:lpstr>
      <vt:lpstr>Ac</vt:lpstr>
      <vt:lpstr>alpha</vt:lpstr>
      <vt:lpstr>Beta</vt:lpstr>
      <vt:lpstr>Cbar</vt:lpstr>
      <vt:lpstr>Delta</vt:lpstr>
      <vt:lpstr>gamma</vt:lpstr>
      <vt:lpstr>Interest</vt:lpstr>
      <vt:lpstr>kbar</vt:lpstr>
      <vt:lpstr>lambdabar</vt:lpstr>
      <vt:lpstr>lbar</vt:lpstr>
      <vt:lpstr>mpk</vt:lpstr>
      <vt:lpstr>mpl</vt:lpstr>
      <vt:lpstr>Phi</vt:lpstr>
      <vt:lpstr>phiL</vt:lpstr>
      <vt:lpstr>phiLL</vt:lpstr>
      <vt:lpstr>qbar</vt:lpstr>
      <vt:lpstr>rhoc</vt:lpstr>
      <vt:lpstr>sigma_c</vt:lpstr>
      <vt:lpstr>tauc</vt:lpstr>
      <vt:lpstr>tauk</vt:lpstr>
      <vt:lpstr>tauw</vt:lpstr>
      <vt:lpstr>yhat</vt:lpstr>
      <vt:lpstr>yhat1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2024-11-12T22:28:08Z</dcterms:created>
  <dcterms:modified xsi:type="dcterms:W3CDTF">2025-10-29T20:13:14Z</dcterms:modified>
</cp:coreProperties>
</file>