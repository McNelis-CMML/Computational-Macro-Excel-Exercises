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1F32C67D-C437-48DF-B0F0-B7FD225BC5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Hoja3" sheetId="3" r:id="rId3"/>
  </sheets>
  <definedNames>
    <definedName name="Beta0_0">Sheet1!$B$19</definedName>
    <definedName name="Beta0_1">Sheet1!$C$19</definedName>
    <definedName name="Beta1">Sheet1!$B$12</definedName>
    <definedName name="Beta2">Sheet1!$B$13</definedName>
    <definedName name="iext_0">Sheet1!$B$18</definedName>
    <definedName name="iext_1">Sheet1!$C$18</definedName>
    <definedName name="iext0">Sheet1!$B$18</definedName>
    <definedName name="iext1">Sheet1!$C$18</definedName>
    <definedName name="Lambda1">Sheet1!$B$28</definedName>
    <definedName name="Lambda2">Sheet1!$B$29</definedName>
    <definedName name="m_0">Sheet1!$B$17</definedName>
    <definedName name="m_1">Sheet1!$C$17</definedName>
    <definedName name="Mi">Sheet1!$B$14</definedName>
    <definedName name="money0">Sheet1!$B$17</definedName>
    <definedName name="money1">Sheet1!$C$17</definedName>
    <definedName name="pbar_0">Sheet1!$B$24</definedName>
    <definedName name="pbar_1">Sheet1!$C$24</definedName>
    <definedName name="pbar0">Sheet1!$B$24</definedName>
    <definedName name="pbar1">Sheet1!$C$24</definedName>
    <definedName name="pext_0">Sheet1!$B$20</definedName>
    <definedName name="pext_1">Sheet1!$C$20</definedName>
    <definedName name="pext0">Sheet1!$B$20</definedName>
    <definedName name="pext1">Sheet1!$C$20</definedName>
    <definedName name="Psi">Sheet1!$B$10</definedName>
    <definedName name="sbar_0">Sheet1!$B$25</definedName>
    <definedName name="sbar_1">Sheet1!$C$25</definedName>
    <definedName name="sbar0">Sheet1!$B$25</definedName>
    <definedName name="sbar1">Sheet1!$C$25</definedName>
    <definedName name="Theta">Sheet1!$B$11</definedName>
    <definedName name="ypot_0">Sheet1!$B$21</definedName>
    <definedName name="ypot_1">Sheet1!$C$21</definedName>
    <definedName name="ypot0">Sheet1!$B$21</definedName>
    <definedName name="ypot1">Sheet1!$C$21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3" i="1"/>
  <c r="H3" i="1"/>
  <c r="G3" i="1"/>
  <c r="O3" i="1"/>
  <c r="N3" i="1"/>
  <c r="A3" i="2"/>
  <c r="B3" i="2" s="1"/>
  <c r="C3" i="2" s="1"/>
  <c r="A4" i="2"/>
  <c r="N5" i="1" s="1"/>
  <c r="A5" i="2"/>
  <c r="N6" i="1" s="1"/>
  <c r="A6" i="2"/>
  <c r="N7" i="1" s="1"/>
  <c r="A7" i="2"/>
  <c r="N8" i="1" s="1"/>
  <c r="A8" i="2"/>
  <c r="N9" i="1" s="1"/>
  <c r="A9" i="2"/>
  <c r="N10" i="1" s="1"/>
  <c r="A10" i="2"/>
  <c r="N11" i="1" s="1"/>
  <c r="A11" i="2"/>
  <c r="N12" i="1" s="1"/>
  <c r="A12" i="2"/>
  <c r="N13" i="1" s="1"/>
  <c r="A13" i="2"/>
  <c r="N14" i="1" s="1"/>
  <c r="A14" i="2"/>
  <c r="N15" i="1" s="1"/>
  <c r="A15" i="2"/>
  <c r="N16" i="1" s="1"/>
  <c r="A16" i="2"/>
  <c r="N17" i="1" s="1"/>
  <c r="A17" i="2"/>
  <c r="N18" i="1" s="1"/>
  <c r="A18" i="2"/>
  <c r="N19" i="1" s="1"/>
  <c r="A19" i="2"/>
  <c r="N20" i="1" s="1"/>
  <c r="A20" i="2"/>
  <c r="N21" i="1" s="1"/>
  <c r="A21" i="2"/>
  <c r="N22" i="1" s="1"/>
  <c r="A22" i="2"/>
  <c r="N23" i="1" s="1"/>
  <c r="A23" i="2"/>
  <c r="N24" i="1" s="1"/>
  <c r="A24" i="2"/>
  <c r="N25" i="1" s="1"/>
  <c r="A25" i="2"/>
  <c r="N26" i="1" s="1"/>
  <c r="A26" i="2"/>
  <c r="N27" i="1" s="1"/>
  <c r="A27" i="2"/>
  <c r="N28" i="1" s="1"/>
  <c r="A28" i="2"/>
  <c r="N29" i="1" s="1"/>
  <c r="A29" i="2"/>
  <c r="N30" i="1" s="1"/>
  <c r="A30" i="2"/>
  <c r="N31" i="1" s="1"/>
  <c r="A31" i="2"/>
  <c r="N32" i="1" s="1"/>
  <c r="A32" i="2"/>
  <c r="N33" i="1" s="1"/>
  <c r="A33" i="2"/>
  <c r="R4" i="1"/>
  <c r="C25" i="1"/>
  <c r="C29" i="1"/>
  <c r="C28" i="1"/>
  <c r="B28" i="1"/>
  <c r="B29" i="1"/>
  <c r="N4" i="1" l="1"/>
  <c r="N35" i="1" s="1"/>
  <c r="O4" i="1"/>
  <c r="B4" i="2"/>
  <c r="B25" i="1"/>
  <c r="B5" i="2" l="1"/>
  <c r="C5" i="2" s="1"/>
  <c r="O5" i="1"/>
  <c r="P5" i="1" s="1"/>
  <c r="J5" i="1" s="1"/>
  <c r="C4" i="2"/>
  <c r="P4" i="1"/>
  <c r="J4" i="1" s="1"/>
  <c r="C24" i="1"/>
  <c r="B24" i="1"/>
  <c r="F3" i="1" s="1"/>
  <c r="K3" i="1" l="1"/>
  <c r="B6" i="2"/>
  <c r="O6" i="1"/>
  <c r="P6" i="1" s="1"/>
  <c r="J6" i="1" s="1"/>
  <c r="B32" i="1"/>
  <c r="B33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7" i="2" l="1"/>
  <c r="O7" i="1"/>
  <c r="P7" i="1" s="1"/>
  <c r="J7" i="1" s="1"/>
  <c r="C6" i="2"/>
  <c r="F4" i="1"/>
  <c r="G4" i="1" s="1"/>
  <c r="H4" i="1" s="1"/>
  <c r="L4" i="1" l="1"/>
  <c r="C7" i="2"/>
  <c r="O8" i="1"/>
  <c r="P8" i="1" s="1"/>
  <c r="J8" i="1" s="1"/>
  <c r="B8" i="2"/>
  <c r="K4" i="1" l="1"/>
  <c r="B9" i="2"/>
  <c r="O9" i="1"/>
  <c r="P9" i="1" s="1"/>
  <c r="J9" i="1" s="1"/>
  <c r="C8" i="2"/>
  <c r="M4" i="1" l="1"/>
  <c r="O10" i="1"/>
  <c r="P10" i="1" s="1"/>
  <c r="J10" i="1" s="1"/>
  <c r="C9" i="2"/>
  <c r="B10" i="2"/>
  <c r="F5" i="1" l="1"/>
  <c r="O11" i="1"/>
  <c r="P11" i="1" s="1"/>
  <c r="J11" i="1" s="1"/>
  <c r="B11" i="2"/>
  <c r="C10" i="2"/>
  <c r="G5" i="1" l="1"/>
  <c r="H5" i="1" s="1"/>
  <c r="L5" i="1"/>
  <c r="O12" i="1"/>
  <c r="P12" i="1" s="1"/>
  <c r="J12" i="1" s="1"/>
  <c r="B12" i="2"/>
  <c r="C11" i="2"/>
  <c r="K5" i="1" l="1"/>
  <c r="O13" i="1"/>
  <c r="P13" i="1" s="1"/>
  <c r="J13" i="1" s="1"/>
  <c r="C12" i="2"/>
  <c r="B13" i="2"/>
  <c r="M5" i="1" l="1"/>
  <c r="F6" i="1"/>
  <c r="O14" i="1"/>
  <c r="P14" i="1" s="1"/>
  <c r="J14" i="1" s="1"/>
  <c r="C13" i="2"/>
  <c r="B14" i="2"/>
  <c r="G6" i="1" l="1"/>
  <c r="H6" i="1" s="1"/>
  <c r="L6" i="1"/>
  <c r="O15" i="1"/>
  <c r="P15" i="1" s="1"/>
  <c r="J15" i="1" s="1"/>
  <c r="B15" i="2"/>
  <c r="C14" i="2"/>
  <c r="K6" i="1" l="1"/>
  <c r="O16" i="1"/>
  <c r="P16" i="1" s="1"/>
  <c r="J16" i="1" s="1"/>
  <c r="B16" i="2"/>
  <c r="C15" i="2"/>
  <c r="M6" i="1" l="1"/>
  <c r="O17" i="1"/>
  <c r="P17" i="1" s="1"/>
  <c r="J17" i="1" s="1"/>
  <c r="B17" i="2"/>
  <c r="C16" i="2"/>
  <c r="F7" i="1" l="1"/>
  <c r="O18" i="1"/>
  <c r="P18" i="1" s="1"/>
  <c r="J18" i="1" s="1"/>
  <c r="B18" i="2"/>
  <c r="C17" i="2"/>
  <c r="G7" i="1" l="1"/>
  <c r="H7" i="1" s="1"/>
  <c r="L7" i="1"/>
  <c r="O19" i="1"/>
  <c r="P19" i="1" s="1"/>
  <c r="J19" i="1" s="1"/>
  <c r="C18" i="2"/>
  <c r="B19" i="2"/>
  <c r="K7" i="1" l="1"/>
  <c r="O20" i="1"/>
  <c r="P20" i="1" s="1"/>
  <c r="J20" i="1" s="1"/>
  <c r="B20" i="2"/>
  <c r="C19" i="2"/>
  <c r="M7" i="1" l="1"/>
  <c r="F8" i="1"/>
  <c r="O21" i="1"/>
  <c r="P21" i="1" s="1"/>
  <c r="J21" i="1" s="1"/>
  <c r="C20" i="2"/>
  <c r="B21" i="2"/>
  <c r="G8" i="1" l="1"/>
  <c r="H8" i="1" s="1"/>
  <c r="L8" i="1"/>
  <c r="O22" i="1"/>
  <c r="P22" i="1" s="1"/>
  <c r="J22" i="1" s="1"/>
  <c r="B22" i="2"/>
  <c r="C21" i="2"/>
  <c r="K8" i="1" l="1"/>
  <c r="O23" i="1"/>
  <c r="P23" i="1" s="1"/>
  <c r="J23" i="1" s="1"/>
  <c r="B23" i="2"/>
  <c r="C22" i="2"/>
  <c r="M8" i="1" l="1"/>
  <c r="F9" i="1"/>
  <c r="O24" i="1"/>
  <c r="P24" i="1" s="1"/>
  <c r="J24" i="1" s="1"/>
  <c r="C23" i="2"/>
  <c r="B24" i="2"/>
  <c r="G9" i="1" l="1"/>
  <c r="H9" i="1" s="1"/>
  <c r="L9" i="1"/>
  <c r="O25" i="1"/>
  <c r="P25" i="1" s="1"/>
  <c r="J25" i="1" s="1"/>
  <c r="B25" i="2"/>
  <c r="C24" i="2"/>
  <c r="K9" i="1" l="1"/>
  <c r="O26" i="1"/>
  <c r="P26" i="1" s="1"/>
  <c r="J26" i="1" s="1"/>
  <c r="B26" i="2"/>
  <c r="C25" i="2"/>
  <c r="M9" i="1" l="1"/>
  <c r="F10" i="1"/>
  <c r="O27" i="1"/>
  <c r="P27" i="1" s="1"/>
  <c r="J27" i="1" s="1"/>
  <c r="B27" i="2"/>
  <c r="C26" i="2"/>
  <c r="G10" i="1" l="1"/>
  <c r="H10" i="1" s="1"/>
  <c r="L10" i="1"/>
  <c r="O28" i="1"/>
  <c r="P28" i="1" s="1"/>
  <c r="J28" i="1" s="1"/>
  <c r="C27" i="2"/>
  <c r="B28" i="2"/>
  <c r="K10" i="1" l="1"/>
  <c r="O29" i="1"/>
  <c r="P29" i="1" s="1"/>
  <c r="J29" i="1" s="1"/>
  <c r="B29" i="2"/>
  <c r="C28" i="2"/>
  <c r="M10" i="1" l="1"/>
  <c r="F11" i="1"/>
  <c r="O30" i="1"/>
  <c r="P30" i="1" s="1"/>
  <c r="J30" i="1" s="1"/>
  <c r="B30" i="2"/>
  <c r="C29" i="2"/>
  <c r="G11" i="1" l="1"/>
  <c r="H11" i="1" s="1"/>
  <c r="L11" i="1"/>
  <c r="O31" i="1"/>
  <c r="P31" i="1" s="1"/>
  <c r="J31" i="1" s="1"/>
  <c r="B31" i="2"/>
  <c r="C30" i="2"/>
  <c r="K11" i="1" l="1"/>
  <c r="O32" i="1"/>
  <c r="P32" i="1" s="1"/>
  <c r="J32" i="1" s="1"/>
  <c r="B32" i="2"/>
  <c r="C31" i="2"/>
  <c r="M11" i="1" l="1"/>
  <c r="F12" i="1"/>
  <c r="O33" i="1"/>
  <c r="P33" i="1" s="1"/>
  <c r="J33" i="1" s="1"/>
  <c r="B33" i="2"/>
  <c r="C33" i="2" s="1"/>
  <c r="C32" i="2"/>
  <c r="G12" i="1" l="1"/>
  <c r="H12" i="1" s="1"/>
  <c r="L12" i="1"/>
  <c r="O35" i="1"/>
  <c r="P35" i="1" l="1"/>
  <c r="K12" i="1"/>
  <c r="M12" i="1" l="1"/>
  <c r="F13" i="1"/>
  <c r="G13" i="1" l="1"/>
  <c r="H13" i="1" s="1"/>
  <c r="L13" i="1"/>
  <c r="K13" i="1" l="1"/>
  <c r="F14" i="1" s="1"/>
  <c r="G14" i="1" l="1"/>
  <c r="H14" i="1" s="1"/>
  <c r="L14" i="1"/>
  <c r="M13" i="1"/>
  <c r="K14" i="1" l="1"/>
  <c r="F15" i="1" s="1"/>
  <c r="G15" i="1" l="1"/>
  <c r="H15" i="1" s="1"/>
  <c r="L15" i="1"/>
  <c r="M14" i="1"/>
  <c r="K15" i="1" l="1"/>
  <c r="F16" i="1" s="1"/>
  <c r="G16" i="1" l="1"/>
  <c r="H16" i="1" s="1"/>
  <c r="L16" i="1"/>
  <c r="M15" i="1"/>
  <c r="K16" i="1" l="1"/>
  <c r="F17" i="1" s="1"/>
  <c r="G17" i="1" l="1"/>
  <c r="H17" i="1" s="1"/>
  <c r="L17" i="1"/>
  <c r="M16" i="1"/>
  <c r="K17" i="1" l="1"/>
  <c r="F18" i="1" s="1"/>
  <c r="G18" i="1" l="1"/>
  <c r="H18" i="1" s="1"/>
  <c r="L18" i="1"/>
  <c r="M17" i="1"/>
  <c r="K18" i="1" l="1"/>
  <c r="F19" i="1" s="1"/>
  <c r="G19" i="1" l="1"/>
  <c r="H19" i="1" s="1"/>
  <c r="L19" i="1"/>
  <c r="M18" i="1"/>
  <c r="K19" i="1" l="1"/>
  <c r="F20" i="1" s="1"/>
  <c r="G20" i="1" l="1"/>
  <c r="H20" i="1" s="1"/>
  <c r="L20" i="1"/>
  <c r="M19" i="1"/>
  <c r="M20" i="1" l="1"/>
  <c r="K20" i="1"/>
  <c r="F21" i="1" s="1"/>
  <c r="G21" i="1" l="1"/>
  <c r="H21" i="1" s="1"/>
  <c r="L21" i="1"/>
  <c r="M21" i="1" l="1"/>
  <c r="K21" i="1" l="1"/>
  <c r="F22" i="1" s="1"/>
  <c r="G22" i="1" l="1"/>
  <c r="H22" i="1" s="1"/>
  <c r="L22" i="1"/>
  <c r="K22" i="1" l="1"/>
  <c r="F23" i="1" s="1"/>
  <c r="G23" i="1" l="1"/>
  <c r="H23" i="1" s="1"/>
  <c r="L23" i="1"/>
  <c r="M22" i="1"/>
  <c r="M23" i="1" l="1"/>
  <c r="K23" i="1" l="1"/>
  <c r="F24" i="1" s="1"/>
  <c r="G24" i="1" l="1"/>
  <c r="H24" i="1" s="1"/>
  <c r="L24" i="1"/>
  <c r="M24" i="1" l="1"/>
  <c r="K24" i="1" l="1"/>
  <c r="F25" i="1" s="1"/>
  <c r="G25" i="1" l="1"/>
  <c r="H25" i="1" s="1"/>
  <c r="L25" i="1"/>
  <c r="K25" i="1" l="1"/>
  <c r="F26" i="1" s="1"/>
  <c r="M25" i="1" l="1"/>
  <c r="G26" i="1"/>
  <c r="H26" i="1" s="1"/>
  <c r="L26" i="1"/>
  <c r="K26" i="1" l="1"/>
  <c r="F27" i="1" s="1"/>
  <c r="M26" i="1" l="1"/>
  <c r="G27" i="1"/>
  <c r="H27" i="1" s="1"/>
  <c r="L27" i="1"/>
  <c r="K27" i="1" l="1"/>
  <c r="F28" i="1" s="1"/>
  <c r="M27" i="1"/>
  <c r="G28" i="1" l="1"/>
  <c r="H28" i="1" s="1"/>
  <c r="L28" i="1"/>
  <c r="K28" i="1" l="1"/>
  <c r="F29" i="1" s="1"/>
  <c r="M28" i="1"/>
  <c r="G29" i="1" l="1"/>
  <c r="H29" i="1" s="1"/>
  <c r="L29" i="1"/>
  <c r="K29" i="1" l="1"/>
  <c r="F30" i="1" s="1"/>
  <c r="M29" i="1"/>
  <c r="G30" i="1" l="1"/>
  <c r="H30" i="1" s="1"/>
  <c r="L30" i="1"/>
  <c r="M30" i="1" l="1"/>
  <c r="K30" i="1"/>
  <c r="F31" i="1" s="1"/>
  <c r="G31" i="1" l="1"/>
  <c r="H31" i="1" s="1"/>
  <c r="L31" i="1"/>
  <c r="K31" i="1" l="1"/>
  <c r="F32" i="1" s="1"/>
  <c r="M31" i="1"/>
  <c r="G32" i="1" l="1"/>
  <c r="H32" i="1" s="1"/>
  <c r="L32" i="1"/>
  <c r="K32" i="1" l="1"/>
  <c r="F33" i="1" s="1"/>
  <c r="M32" i="1" l="1"/>
  <c r="G33" i="1"/>
  <c r="H33" i="1" s="1"/>
  <c r="F35" i="1"/>
  <c r="L33" i="1" l="1"/>
  <c r="L35" i="1" s="1"/>
  <c r="I35" i="1"/>
  <c r="G35" i="1"/>
  <c r="K33" i="1" l="1"/>
  <c r="K35" i="1" s="1"/>
  <c r="M33" i="1"/>
  <c r="M35" i="1" s="1"/>
  <c r="H35" i="1"/>
</calcChain>
</file>

<file path=xl/sharedStrings.xml><?xml version="1.0" encoding="utf-8"?>
<sst xmlns="http://schemas.openxmlformats.org/spreadsheetml/2006/main" count="68" uniqueCount="52">
  <si>
    <t xml:space="preserve"> </t>
  </si>
  <si>
    <t>Psi</t>
  </si>
  <si>
    <t>Theta</t>
  </si>
  <si>
    <t>Beta1</t>
  </si>
  <si>
    <t>p</t>
  </si>
  <si>
    <t>yd</t>
  </si>
  <si>
    <t>i</t>
  </si>
  <si>
    <t>p_ee0</t>
  </si>
  <si>
    <t>s_ee0</t>
  </si>
  <si>
    <t>s</t>
  </si>
  <si>
    <t>Beta2</t>
  </si>
  <si>
    <t>Mi</t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</si>
  <si>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</si>
  <si>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</si>
  <si>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rPr>
        <b/>
        <sz val="11"/>
        <color indexed="9"/>
        <rFont val="Times New Roman"/>
        <family val="1"/>
      </rPr>
      <t>∆p</t>
    </r>
  </si>
  <si>
    <r>
      <rPr>
        <b/>
        <sz val="11"/>
        <color indexed="9"/>
        <rFont val="Times New Roman"/>
        <family val="1"/>
      </rPr>
      <t>∆s</t>
    </r>
  </si>
  <si>
    <t>Period</t>
  </si>
  <si>
    <t>Endogenous variables</t>
  </si>
  <si>
    <t>Change over time</t>
  </si>
  <si>
    <t>∆p: Inflation</t>
  </si>
  <si>
    <t>∆s: Exchange rate depreciation</t>
  </si>
  <si>
    <t>p: Price level</t>
  </si>
  <si>
    <t>s: Nominal exchange rate</t>
  </si>
  <si>
    <t>yd: Aggregate demand</t>
  </si>
  <si>
    <t>i: Nominal interest rate</t>
  </si>
  <si>
    <t>Parameters</t>
  </si>
  <si>
    <t>Exogenous variables</t>
  </si>
  <si>
    <t>Initial value</t>
  </si>
  <si>
    <t>Final value</t>
  </si>
  <si>
    <t>m: Money supply</t>
  </si>
  <si>
    <t>i*: Foreign nominal interest rate</t>
  </si>
  <si>
    <t>Beta0: Public spending</t>
  </si>
  <si>
    <t>p*: Foreign price level</t>
  </si>
  <si>
    <t>ypot: Potential output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</si>
  <si>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</si>
  <si>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</si>
  <si>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</si>
  <si>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</si>
  <si>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</si>
  <si>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</si>
  <si>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</si>
  <si>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</si>
  <si>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</si>
  <si>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epsilon</t>
  </si>
  <si>
    <t>z</t>
  </si>
  <si>
    <t>Z</t>
  </si>
  <si>
    <t>rho</t>
  </si>
  <si>
    <t>sigma</t>
  </si>
  <si>
    <t>∆yd</t>
  </si>
  <si>
    <t>Volatility</t>
  </si>
  <si>
    <t>i*</t>
  </si>
  <si>
    <t>EXERCISE 3: Exchange rate overshooting with recurring foreign interest rate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</si>
</sst>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9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0" fontId="5" fillId="3" borderId="7" xfId="0" applyFont="1" applyFill="1" applyBorder="1" applyProtection="1">
      <protection locked="0"/>
    </xf>
    <xf numFmtId="0" fontId="5" fillId="3" borderId="0" xfId="0" applyFont="1" applyFill="1" applyProtection="1">
      <protection locked="0"/>
    </xf>
    <xf numFmtId="0" fontId="5" fillId="3" borderId="8" xfId="0" applyFont="1" applyFill="1" applyBorder="1" applyProtection="1">
      <protection locked="0"/>
    </xf>
    <xf numFmtId="0" fontId="5" fillId="3" borderId="9" xfId="0" applyFont="1" applyFill="1" applyBorder="1" applyProtection="1">
      <protection locked="0"/>
    </xf>
    <xf numFmtId="0" fontId="5" fillId="3" borderId="10" xfId="0" applyFont="1" applyFill="1" applyBorder="1" applyProtection="1">
      <protection locked="0"/>
    </xf>
    <xf numFmtId="0" fontId="5" fillId="3" borderId="11" xfId="0" applyFont="1" applyFill="1" applyBorder="1" applyProtection="1">
      <protection locked="0"/>
    </xf>
    <xf numFmtId="2" fontId="5" fillId="3" borderId="0" xfId="0" applyNumberFormat="1" applyFont="1" applyFill="1" applyAlignment="1" applyProtection="1">
      <alignment horizontal="right"/>
      <protection locked="0"/>
    </xf>
    <xf numFmtId="2" fontId="5" fillId="3" borderId="8" xfId="0" applyNumberFormat="1" applyFont="1" applyFill="1" applyBorder="1" applyAlignment="1" applyProtection="1">
      <alignment horizontal="right"/>
      <protection locked="0"/>
    </xf>
    <xf numFmtId="2" fontId="5" fillId="3" borderId="10" xfId="0" applyNumberFormat="1" applyFont="1" applyFill="1" applyBorder="1" applyAlignment="1" applyProtection="1">
      <alignment horizontal="right"/>
      <protection locked="0"/>
    </xf>
    <xf numFmtId="2" fontId="5" fillId="3" borderId="11" xfId="0" applyNumberFormat="1" applyFont="1" applyFill="1" applyBorder="1" applyAlignment="1" applyProtection="1">
      <alignment horizontal="right"/>
      <protection locked="0"/>
    </xf>
    <xf numFmtId="0" fontId="5" fillId="3" borderId="7" xfId="0" applyFont="1" applyFill="1" applyBorder="1"/>
    <xf numFmtId="2" fontId="5" fillId="3" borderId="0" xfId="0" applyNumberFormat="1" applyFont="1" applyFill="1" applyProtection="1">
      <protection locked="0"/>
    </xf>
    <xf numFmtId="2" fontId="5" fillId="3" borderId="8" xfId="0" applyNumberFormat="1" applyFont="1" applyFill="1" applyBorder="1" applyProtection="1">
      <protection locked="0"/>
    </xf>
    <xf numFmtId="0" fontId="5" fillId="3" borderId="9" xfId="0" applyFont="1" applyFill="1" applyBorder="1"/>
    <xf numFmtId="2" fontId="5" fillId="3" borderId="10" xfId="0" applyNumberFormat="1" applyFont="1" applyFill="1" applyBorder="1" applyProtection="1">
      <protection locked="0"/>
    </xf>
    <xf numFmtId="2" fontId="5" fillId="3" borderId="11" xfId="0" applyNumberFormat="1" applyFont="1" applyFill="1" applyBorder="1" applyProtection="1"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2" fontId="5" fillId="3" borderId="0" xfId="0" applyNumberFormat="1" applyFont="1" applyFill="1" applyAlignment="1" applyProtection="1">
      <alignment horizontal="center"/>
      <protection locked="0"/>
    </xf>
    <xf numFmtId="2" fontId="5" fillId="3" borderId="8" xfId="0" applyNumberFormat="1" applyFont="1" applyFill="1" applyBorder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/>
      <protection locked="0"/>
    </xf>
    <xf numFmtId="2" fontId="5" fillId="3" borderId="10" xfId="0" applyNumberFormat="1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Protection="1">
      <protection locked="0"/>
    </xf>
    <xf numFmtId="0" fontId="7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7" fillId="4" borderId="4" xfId="0" applyFont="1" applyFill="1" applyBorder="1" applyAlignment="1" applyProtection="1">
      <alignment horizontal="left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4" borderId="6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0" fontId="9" fillId="4" borderId="5" xfId="0" applyFont="1" applyFill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3"/>
  <sheetViews>
    <sheetView tabSelected="1" topLeftCell="B1" zoomScale="96" zoomScaleNormal="96" workbookViewId="0">
      <selection activeCell="I4" sqref="I4"/>
    </sheetView>
  </sheetViews>
  <sheetFormatPr defaultColWidth="11.3984375" defaultRowHeight="12.75" x14ac:dyDescent="0.35"/>
  <cols>
    <col min="1" max="1" width="31.73046875" style="1" customWidth="1"/>
    <col min="2" max="2" width="13.86328125" style="1" customWidth="1"/>
    <col min="3" max="3" width="16.265625" style="1" customWidth="1"/>
    <col min="4" max="4" width="3" style="1" customWidth="1"/>
    <col min="5" max="6" width="10.265625" style="1" customWidth="1"/>
    <col min="7" max="7" width="10.73046875" style="1" customWidth="1"/>
    <col min="8" max="8" width="12.3984375" style="1" customWidth="1"/>
    <col min="9" max="10" width="9.59765625" style="1" customWidth="1"/>
    <col min="11" max="11" width="10.1328125" style="1" customWidth="1"/>
    <col min="12" max="13" width="9.73046875" style="1" customWidth="1"/>
    <col min="14" max="14" width="6.265625" style="1" customWidth="1"/>
    <col min="15" max="16384" width="11.3984375" style="1"/>
  </cols>
  <sheetData>
    <row r="1" spans="1:61" ht="13.9" customHeight="1" thickBot="1" x14ac:dyDescent="0.45">
      <c r="A1" s="13" t="s">
        <v>51</v>
      </c>
      <c r="B1" s="14"/>
      <c r="C1" s="15"/>
      <c r="D1" s="10"/>
      <c r="E1" s="10"/>
      <c r="F1" s="10"/>
      <c r="G1" s="10"/>
      <c r="H1" s="10"/>
      <c r="I1" s="10"/>
      <c r="J1" s="10"/>
      <c r="K1" s="10"/>
      <c r="L1" s="10"/>
      <c r="M1" s="10"/>
      <c r="BF1" s="2"/>
    </row>
    <row r="2" spans="1:61" ht="13.9" customHeight="1" thickBot="1" x14ac:dyDescent="0.45">
      <c r="A2" s="10" t="s">
        <v>0</v>
      </c>
      <c r="B2" s="10"/>
      <c r="C2" s="10"/>
      <c r="D2" s="10"/>
      <c r="E2" s="43" t="s">
        <v>16</v>
      </c>
      <c r="F2" s="44" t="s">
        <v>4</v>
      </c>
      <c r="G2" s="44" t="s">
        <v>9</v>
      </c>
      <c r="H2" s="44" t="s">
        <v>5</v>
      </c>
      <c r="I2" s="44" t="s">
        <v>6</v>
      </c>
      <c r="J2" s="44" t="s">
        <v>50</v>
      </c>
      <c r="K2" s="44" t="s">
        <v>14</v>
      </c>
      <c r="L2" s="45" t="s">
        <v>15</v>
      </c>
      <c r="M2" s="46" t="s">
        <v>48</v>
      </c>
      <c r="N2" t="s">
        <v>43</v>
      </c>
      <c r="O2" t="s">
        <v>44</v>
      </c>
      <c r="P2" t="s">
        <v>45</v>
      </c>
      <c r="BF2" s="3"/>
      <c r="BG2" s="3"/>
      <c r="BH2" s="3"/>
    </row>
    <row r="3" spans="1:61" ht="13.9" customHeight="1" x14ac:dyDescent="0.4">
      <c r="A3" s="37" t="s">
        <v>17</v>
      </c>
      <c r="B3" s="38" t="s">
        <v>18</v>
      </c>
      <c r="C3" s="39"/>
      <c r="D3" s="10"/>
      <c r="E3" s="32">
        <v>0</v>
      </c>
      <c r="F3" s="33">
        <f>pbar_0</f>
        <v>1.5</v>
      </c>
      <c r="G3" s="33">
        <f>sbar_0</f>
        <v>76.515000000000001</v>
      </c>
      <c r="H3" s="33">
        <f>Beta0_0+Beta1*(G3-F3+pext_0)+(Beta2/Theta)* I3</f>
        <v>2000.8999999999999</v>
      </c>
      <c r="I3" s="33">
        <v>3</v>
      </c>
      <c r="J3" s="33">
        <f>3 *P3</f>
        <v>3</v>
      </c>
      <c r="K3" s="33">
        <f t="shared" ref="K3" si="0">Mi*(H3-ypot_0)</f>
        <v>8.9999999999986358E-3</v>
      </c>
      <c r="L3" s="34">
        <f>I3-J3</f>
        <v>0</v>
      </c>
      <c r="M3" s="33">
        <v>0</v>
      </c>
      <c r="N3">
        <f>Sheet2!A2</f>
        <v>0</v>
      </c>
      <c r="O3">
        <f>Sheet2!B2</f>
        <v>0</v>
      </c>
      <c r="P3">
        <v>1</v>
      </c>
    </row>
    <row r="4" spans="1:61" ht="13.9" customHeight="1" x14ac:dyDescent="0.4">
      <c r="A4" s="16" t="s">
        <v>21</v>
      </c>
      <c r="B4" s="17" t="s">
        <v>19</v>
      </c>
      <c r="C4" s="18" t="s">
        <v>0</v>
      </c>
      <c r="D4" s="10"/>
      <c r="E4" s="32">
        <v>1</v>
      </c>
      <c r="F4" s="33">
        <f t="shared" ref="F4:F33" si="1">F3+K3</f>
        <v>1.5089999999999986</v>
      </c>
      <c r="G4" s="33">
        <f t="shared" ref="G4:G33" ca="1" si="2">-(m_1-F4-Psi*ypot_1)/(Theta*Lambda1)-iext_1*P4/Lambda1+sbar_1</f>
        <v>76.492411263681532</v>
      </c>
      <c r="H4" s="33">
        <f ca="1">Beta0_0+Beta1*(G4-F4+pext_0)+(Beta2/Theta)* I4</f>
        <v>2000.2682252736306</v>
      </c>
      <c r="I4" s="33">
        <v>3</v>
      </c>
      <c r="J4" s="33">
        <f t="shared" ref="J4:J33" ca="1" si="3">3 *P4</f>
        <v>3.0012511441581093</v>
      </c>
      <c r="K4" s="33">
        <f t="shared" ref="K4:K33" ca="1" si="4">Mi*(H4-ypot_1)</f>
        <v>2.6822527363060543E-3</v>
      </c>
      <c r="L4" s="34">
        <f t="shared" ref="L4:L33" ca="1" si="5">I4-iext_1*P4</f>
        <v>-1.2511441581093408E-3</v>
      </c>
      <c r="M4" s="33">
        <f ca="1">(H4-H3)</f>
        <v>-0.63177472636925813</v>
      </c>
      <c r="N4">
        <f ca="1">Sheet2!A3</f>
        <v>4.1696111233533269E-4</v>
      </c>
      <c r="O4">
        <f ca="1">Sheet2!B3</f>
        <v>4.1696111233533269E-4</v>
      </c>
      <c r="P4">
        <f ca="1">EXP(O4)</f>
        <v>1.000417048052703</v>
      </c>
      <c r="R4" s="1">
        <f>0.95</f>
        <v>0.95</v>
      </c>
    </row>
    <row r="5" spans="1:61" ht="13.9" customHeight="1" x14ac:dyDescent="0.4">
      <c r="A5" s="16" t="s">
        <v>22</v>
      </c>
      <c r="B5" s="17" t="s">
        <v>20</v>
      </c>
      <c r="C5" s="18"/>
      <c r="D5" s="10"/>
      <c r="E5" s="32">
        <v>2</v>
      </c>
      <c r="F5" s="33">
        <f t="shared" ca="1" si="1"/>
        <v>1.5116822527363045</v>
      </c>
      <c r="G5" s="33">
        <f t="shared" ca="1" si="2"/>
        <v>76.517614980106359</v>
      </c>
      <c r="H5" s="33">
        <f ca="1">Beta0_0+Beta1*(G5-F5+pext_0)+(Beta2/Theta)* I5</f>
        <v>2000.718654547401</v>
      </c>
      <c r="I5" s="33">
        <v>3</v>
      </c>
      <c r="J5" s="33">
        <f t="shared" ca="1" si="3"/>
        <v>3.0253034330962487</v>
      </c>
      <c r="K5" s="33">
        <f t="shared" ca="1" si="4"/>
        <v>7.1865454740100178E-3</v>
      </c>
      <c r="L5" s="34">
        <f t="shared" ca="1" si="5"/>
        <v>-2.5303433096248718E-2</v>
      </c>
      <c r="M5" s="33">
        <f t="shared" ref="M5:M33" ca="1" si="6">(H5-H4)</f>
        <v>0.45042927377039632</v>
      </c>
      <c r="N5">
        <f ca="1">Sheet2!A4</f>
        <v>8.3991062457074959E-3</v>
      </c>
      <c r="O5">
        <f ca="1">Sheet2!B4</f>
        <v>8.3991062457074959E-3</v>
      </c>
      <c r="P5">
        <f t="shared" ref="P5:P33" ca="1" si="7">EXP(O5)</f>
        <v>1.0084344776987495</v>
      </c>
      <c r="R5" s="1">
        <v>0.01</v>
      </c>
    </row>
    <row r="6" spans="1:61" ht="13.9" customHeight="1" x14ac:dyDescent="0.4">
      <c r="A6" s="16" t="s">
        <v>23</v>
      </c>
      <c r="B6" s="17"/>
      <c r="C6" s="18"/>
      <c r="D6" s="10"/>
      <c r="E6" s="32">
        <f>E5+1</f>
        <v>3</v>
      </c>
      <c r="F6" s="33">
        <f t="shared" ca="1" si="1"/>
        <v>1.5188687982103146</v>
      </c>
      <c r="G6" s="33">
        <f t="shared" ca="1" si="2"/>
        <v>76.475559647075485</v>
      </c>
      <c r="H6" s="33">
        <f ca="1">Beta0_0+Beta1*(G6-F6+pext_0)+(Beta2/Theta)* I6</f>
        <v>1999.7338169773031</v>
      </c>
      <c r="I6" s="33">
        <v>3</v>
      </c>
      <c r="J6" s="33">
        <f t="shared" ca="1" si="3"/>
        <v>3.0084937832133631</v>
      </c>
      <c r="K6" s="33">
        <f t="shared" ca="1" si="4"/>
        <v>-2.6618302269685048E-3</v>
      </c>
      <c r="L6" s="34">
        <f t="shared" ca="1" si="5"/>
        <v>-8.4937832133631375E-3</v>
      </c>
      <c r="M6" s="33">
        <f t="shared" ca="1" si="6"/>
        <v>-0.98483757009785222</v>
      </c>
      <c r="N6">
        <f ca="1">Sheet2!A5</f>
        <v>2.8272606006332275E-3</v>
      </c>
      <c r="O6">
        <f ca="1">Sheet2!B5</f>
        <v>2.8272606006332275E-3</v>
      </c>
      <c r="P6">
        <f t="shared" ca="1" si="7"/>
        <v>1.002831261071121</v>
      </c>
    </row>
    <row r="7" spans="1:61" ht="13.9" customHeight="1" thickBot="1" x14ac:dyDescent="0.45">
      <c r="A7" s="19" t="s">
        <v>24</v>
      </c>
      <c r="B7" s="20"/>
      <c r="C7" s="21"/>
      <c r="D7" s="10"/>
      <c r="E7" s="32">
        <f t="shared" ref="E7:E33" si="8">E6+1</f>
        <v>4</v>
      </c>
      <c r="F7" s="33">
        <f t="shared" ca="1" si="1"/>
        <v>1.5162069679833461</v>
      </c>
      <c r="G7" s="33">
        <f t="shared" ca="1" si="2"/>
        <v>76.502668585978043</v>
      </c>
      <c r="H7" s="33">
        <f ca="1">Beta0_0+Beta1*(G7-F7+pext_0)+(Beta2/Theta)* I7</f>
        <v>2000.3292323598937</v>
      </c>
      <c r="I7" s="33">
        <v>3</v>
      </c>
      <c r="J7" s="33">
        <f t="shared" ca="1" si="3"/>
        <v>3.0232705703145188</v>
      </c>
      <c r="K7" s="33">
        <f t="shared" ca="1" si="4"/>
        <v>3.2923235989369458E-3</v>
      </c>
      <c r="L7" s="34">
        <f t="shared" ca="1" si="5"/>
        <v>-2.3270570314518846E-2</v>
      </c>
      <c r="M7" s="33">
        <f t="shared" ca="1" si="6"/>
        <v>0.59541538259054505</v>
      </c>
      <c r="N7">
        <f ca="1">Sheet2!A6</f>
        <v>7.7269270321854875E-3</v>
      </c>
      <c r="O7">
        <f ca="1">Sheet2!B6</f>
        <v>7.7269270321854875E-3</v>
      </c>
      <c r="P7">
        <f t="shared" ca="1" si="7"/>
        <v>1.0077568567715063</v>
      </c>
    </row>
    <row r="8" spans="1:61" ht="13.9" customHeight="1" thickBot="1" x14ac:dyDescent="0.45">
      <c r="A8" s="10"/>
      <c r="B8" s="10"/>
      <c r="C8" s="10"/>
      <c r="D8" s="10"/>
      <c r="E8" s="32">
        <f t="shared" si="8"/>
        <v>5</v>
      </c>
      <c r="F8" s="33">
        <f t="shared" ca="1" si="1"/>
        <v>1.5194992915822831</v>
      </c>
      <c r="G8" s="33">
        <f t="shared" ca="1" si="2"/>
        <v>76.468624657344662</v>
      </c>
      <c r="H8" s="33">
        <f ca="1">Beta0_0+Beta1*(G8-F8+pext_0)+(Beta2/Theta)* I8</f>
        <v>1999.5825073152475</v>
      </c>
      <c r="I8" s="33">
        <v>3</v>
      </c>
      <c r="J8" s="33">
        <f t="shared" ca="1" si="3"/>
        <v>3.0046126875659009</v>
      </c>
      <c r="K8" s="33">
        <f t="shared" ca="1" si="4"/>
        <v>-4.1749268475246024E-3</v>
      </c>
      <c r="L8" s="34">
        <f t="shared" ca="1" si="5"/>
        <v>-4.6126875659009414E-3</v>
      </c>
      <c r="M8" s="33">
        <f t="shared" ca="1" si="6"/>
        <v>-0.74672504464615486</v>
      </c>
      <c r="N8">
        <f ca="1">Sheet2!A7</f>
        <v>1.5363816829667208E-3</v>
      </c>
      <c r="O8">
        <f ca="1">Sheet2!B7</f>
        <v>1.5363816829667208E-3</v>
      </c>
      <c r="P8">
        <f t="shared" ca="1" si="7"/>
        <v>1.0015375625219669</v>
      </c>
      <c r="BI8" s="4"/>
    </row>
    <row r="9" spans="1:61" ht="13.9" customHeight="1" x14ac:dyDescent="0.4">
      <c r="A9" s="40" t="s">
        <v>25</v>
      </c>
      <c r="B9" s="39"/>
      <c r="C9" s="10"/>
      <c r="D9" s="10"/>
      <c r="E9" s="32">
        <f t="shared" si="8"/>
        <v>6</v>
      </c>
      <c r="F9" s="33">
        <f t="shared" ca="1" si="1"/>
        <v>1.5153243647347585</v>
      </c>
      <c r="G9" s="33">
        <f t="shared" ca="1" si="2"/>
        <v>76.542490648380706</v>
      </c>
      <c r="H9" s="33">
        <f ca="1">Beta0_0+Beta1*(G9-F9+pext_0)+(Beta2/Theta)* I9</f>
        <v>2001.143325672919</v>
      </c>
      <c r="I9" s="33">
        <v>3</v>
      </c>
      <c r="J9" s="33">
        <f t="shared" ca="1" si="3"/>
        <v>3.051032202906752</v>
      </c>
      <c r="K9" s="33">
        <f t="shared" ca="1" si="4"/>
        <v>1.1433256729189907E-2</v>
      </c>
      <c r="L9" s="34">
        <f t="shared" ca="1" si="5"/>
        <v>-5.1032202906752033E-2</v>
      </c>
      <c r="M9" s="33">
        <f t="shared" ca="1" si="6"/>
        <v>1.5608183576714509</v>
      </c>
      <c r="N9">
        <f ca="1">Sheet2!A8</f>
        <v>1.6867671880190459E-2</v>
      </c>
      <c r="O9">
        <f ca="1">Sheet2!B8</f>
        <v>1.6867671880190459E-2</v>
      </c>
      <c r="P9">
        <f t="shared" ca="1" si="7"/>
        <v>1.0170107343022508</v>
      </c>
    </row>
    <row r="10" spans="1:61" ht="13.9" customHeight="1" x14ac:dyDescent="0.4">
      <c r="A10" s="16" t="s">
        <v>1</v>
      </c>
      <c r="B10" s="18">
        <v>0.05</v>
      </c>
      <c r="C10" s="10"/>
      <c r="D10" s="10"/>
      <c r="E10" s="32">
        <f t="shared" si="8"/>
        <v>7</v>
      </c>
      <c r="F10" s="33">
        <f t="shared" ca="1" si="1"/>
        <v>1.5267576214639484</v>
      </c>
      <c r="G10" s="33">
        <f t="shared" ca="1" si="2"/>
        <v>76.398761271889484</v>
      </c>
      <c r="H10" s="33">
        <f ca="1">Beta0_0+Beta1*(G10-F10+pext_0)+(Beta2/Theta)* I10</f>
        <v>1998.0400730085107</v>
      </c>
      <c r="I10" s="33">
        <v>3</v>
      </c>
      <c r="J10" s="33">
        <f t="shared" ca="1" si="3"/>
        <v>2.9673277876882782</v>
      </c>
      <c r="K10" s="33">
        <f t="shared" ca="1" si="4"/>
        <v>-1.9599269914892831E-2</v>
      </c>
      <c r="L10" s="34">
        <f t="shared" ca="1" si="5"/>
        <v>3.2672212311721793E-2</v>
      </c>
      <c r="M10" s="33">
        <f t="shared" ca="1" si="6"/>
        <v>-3.1032526644082736</v>
      </c>
      <c r="N10">
        <f ca="1">Sheet2!A9</f>
        <v>-1.0950475642883957E-2</v>
      </c>
      <c r="O10">
        <f ca="1">Sheet2!B9</f>
        <v>-1.0950475642883957E-2</v>
      </c>
      <c r="P10">
        <f t="shared" ca="1" si="7"/>
        <v>0.98910926256275933</v>
      </c>
    </row>
    <row r="11" spans="1:61" ht="13.9" customHeight="1" x14ac:dyDescent="0.4">
      <c r="A11" s="16" t="s">
        <v>2</v>
      </c>
      <c r="B11" s="18">
        <v>0.5</v>
      </c>
      <c r="C11" s="10"/>
      <c r="D11" s="10"/>
      <c r="E11" s="32">
        <f t="shared" si="8"/>
        <v>8</v>
      </c>
      <c r="F11" s="33">
        <f t="shared" ca="1" si="1"/>
        <v>1.5071583515490556</v>
      </c>
      <c r="G11" s="33">
        <f t="shared" ca="1" si="2"/>
        <v>76.504231531334725</v>
      </c>
      <c r="H11" s="33">
        <f ca="1">Beta0_0+Beta1*(G11-F11+pext_0)+(Beta2/Theta)* I11</f>
        <v>2000.5414635957134</v>
      </c>
      <c r="I11" s="33">
        <v>3</v>
      </c>
      <c r="J11" s="33">
        <f t="shared" ca="1" si="3"/>
        <v>3.0063322135379185</v>
      </c>
      <c r="K11" s="33">
        <f t="shared" ca="1" si="4"/>
        <v>5.4146359571336693E-3</v>
      </c>
      <c r="L11" s="34">
        <f t="shared" ca="1" si="5"/>
        <v>-6.332213537918463E-3</v>
      </c>
      <c r="M11" s="33">
        <f t="shared" ca="1" si="6"/>
        <v>2.5013905872026498</v>
      </c>
      <c r="N11">
        <f ca="1">Sheet2!A10</f>
        <v>2.1085133684880979E-3</v>
      </c>
      <c r="O11">
        <f ca="1">Sheet2!B10</f>
        <v>2.1085133684880979E-3</v>
      </c>
      <c r="P11">
        <f t="shared" ca="1" si="7"/>
        <v>1.0021107378459728</v>
      </c>
    </row>
    <row r="12" spans="1:61" ht="13.9" customHeight="1" x14ac:dyDescent="0.4">
      <c r="A12" s="16" t="s">
        <v>3</v>
      </c>
      <c r="B12" s="18">
        <v>20</v>
      </c>
      <c r="C12" s="10" t="s">
        <v>0</v>
      </c>
      <c r="D12" s="10"/>
      <c r="E12" s="32">
        <f t="shared" si="8"/>
        <v>9</v>
      </c>
      <c r="F12" s="33">
        <f t="shared" ca="1" si="1"/>
        <v>1.5125729875061893</v>
      </c>
      <c r="G12" s="33">
        <f t="shared" ca="1" si="2"/>
        <v>76.47563248760828</v>
      </c>
      <c r="H12" s="33">
        <f ca="1">Beta0_0+Beta1*(G12-F12+pext_0)+(Beta2/Theta)* I12</f>
        <v>1999.8611900020417</v>
      </c>
      <c r="I12" s="33">
        <v>3</v>
      </c>
      <c r="J12" s="33">
        <f t="shared" ca="1" si="3"/>
        <v>2.9959561708282698</v>
      </c>
      <c r="K12" s="33">
        <f t="shared" ca="1" si="4"/>
        <v>-1.3880999795833305E-3</v>
      </c>
      <c r="L12" s="34">
        <f t="shared" ca="1" si="5"/>
        <v>4.0438291717301844E-3</v>
      </c>
      <c r="M12" s="33">
        <f t="shared" ca="1" si="6"/>
        <v>-0.68027359367169993</v>
      </c>
      <c r="N12">
        <f ca="1">Sheet2!A11</f>
        <v>-1.3488523496943631E-3</v>
      </c>
      <c r="O12">
        <f ca="1">Sheet2!B11</f>
        <v>-1.3488523496943631E-3</v>
      </c>
      <c r="P12">
        <f t="shared" ca="1" si="7"/>
        <v>0.99865205694275661</v>
      </c>
    </row>
    <row r="13" spans="1:61" ht="13.9" customHeight="1" x14ac:dyDescent="0.4">
      <c r="A13" s="16" t="s">
        <v>10</v>
      </c>
      <c r="B13" s="18">
        <v>0.1</v>
      </c>
      <c r="C13" s="10"/>
      <c r="D13" s="10"/>
      <c r="E13" s="32">
        <f t="shared" si="8"/>
        <v>10</v>
      </c>
      <c r="F13" s="33">
        <f t="shared" ca="1" si="1"/>
        <v>1.5111848875266061</v>
      </c>
      <c r="G13" s="33">
        <f t="shared" ca="1" si="2"/>
        <v>76.501069697382803</v>
      </c>
      <c r="H13" s="33">
        <f ca="1">Beta0_0+Beta1*(G13-F13+pext_0)+(Beta2/Theta)* I13</f>
        <v>2000.3976961971239</v>
      </c>
      <c r="I13" s="33">
        <v>3</v>
      </c>
      <c r="J13" s="33">
        <f t="shared" ca="1" si="3"/>
        <v>3.0120408824989919</v>
      </c>
      <c r="K13" s="33">
        <f t="shared" ca="1" si="4"/>
        <v>3.9769619712387797E-3</v>
      </c>
      <c r="L13" s="34">
        <f t="shared" ca="1" si="5"/>
        <v>-1.2040882498991934E-2</v>
      </c>
      <c r="M13" s="33">
        <f t="shared" ca="1" si="6"/>
        <v>0.53650619508221098</v>
      </c>
      <c r="N13">
        <f ca="1">Sheet2!A12</f>
        <v>4.0055943842590485E-3</v>
      </c>
      <c r="O13">
        <f ca="1">Sheet2!B12</f>
        <v>4.0055943842590485E-3</v>
      </c>
      <c r="P13">
        <f t="shared" ca="1" si="7"/>
        <v>1.0040136274996641</v>
      </c>
    </row>
    <row r="14" spans="1:61" ht="13.9" customHeight="1" thickBot="1" x14ac:dyDescent="0.45">
      <c r="A14" s="19" t="s">
        <v>11</v>
      </c>
      <c r="B14" s="21">
        <v>0.01</v>
      </c>
      <c r="C14" s="10"/>
      <c r="D14" s="10"/>
      <c r="E14" s="32">
        <f t="shared" si="8"/>
        <v>11</v>
      </c>
      <c r="F14" s="33">
        <f t="shared" ca="1" si="1"/>
        <v>1.5151618494978449</v>
      </c>
      <c r="G14" s="33">
        <f t="shared" ca="1" si="2"/>
        <v>76.532244232405603</v>
      </c>
      <c r="H14" s="33">
        <f ca="1">Beta0_0+Beta1*(G14-F14+pext_0)+(Beta2/Theta)* I14</f>
        <v>2000.941647658155</v>
      </c>
      <c r="I14" s="33">
        <v>3</v>
      </c>
      <c r="J14" s="33">
        <f t="shared" ca="1" si="3"/>
        <v>3.0431097689463664</v>
      </c>
      <c r="K14" s="33">
        <f t="shared" ca="1" si="4"/>
        <v>9.4164765815503409E-3</v>
      </c>
      <c r="L14" s="34">
        <f t="shared" ca="1" si="5"/>
        <v>-4.3109768946366422E-2</v>
      </c>
      <c r="M14" s="33">
        <f t="shared" ca="1" si="6"/>
        <v>0.54395146103115621</v>
      </c>
      <c r="N14">
        <f ca="1">Sheet2!A13</f>
        <v>1.4267654204196524E-2</v>
      </c>
      <c r="O14">
        <f ca="1">Sheet2!B13</f>
        <v>1.4267654204196524E-2</v>
      </c>
      <c r="P14">
        <f t="shared" ca="1" si="7"/>
        <v>1.0143699229821221</v>
      </c>
    </row>
    <row r="15" spans="1:61" ht="13.9" customHeight="1" thickBot="1" x14ac:dyDescent="0.45">
      <c r="A15" s="10"/>
      <c r="B15" s="10"/>
      <c r="C15" s="11" t="s">
        <v>0</v>
      </c>
      <c r="D15" s="11"/>
      <c r="E15" s="32">
        <f t="shared" si="8"/>
        <v>12</v>
      </c>
      <c r="F15" s="33">
        <f t="shared" ca="1" si="1"/>
        <v>1.5245783260793953</v>
      </c>
      <c r="G15" s="33">
        <f t="shared" ca="1" si="2"/>
        <v>76.421476741200664</v>
      </c>
      <c r="H15" s="33">
        <f ca="1">Beta0_0+Beta1*(G15-F15+pext_0)+(Beta2/Theta)* I15</f>
        <v>1998.5379683024253</v>
      </c>
      <c r="I15" s="33">
        <v>3</v>
      </c>
      <c r="J15" s="33">
        <f t="shared" ca="1" si="3"/>
        <v>2.9798120213919561</v>
      </c>
      <c r="K15" s="33">
        <f t="shared" ca="1" si="4"/>
        <v>-1.46203169757473E-2</v>
      </c>
      <c r="L15" s="34">
        <f t="shared" ca="1" si="5"/>
        <v>2.0187978608043888E-2</v>
      </c>
      <c r="M15" s="33">
        <f t="shared" ca="1" si="6"/>
        <v>-2.4036793557297642</v>
      </c>
      <c r="N15">
        <f ca="1">Sheet2!A14</f>
        <v>-6.7520702102413042E-3</v>
      </c>
      <c r="O15">
        <f ca="1">Sheet2!B14</f>
        <v>-6.7520702102413042E-3</v>
      </c>
      <c r="P15">
        <f t="shared" ca="1" si="7"/>
        <v>0.9932706737973187</v>
      </c>
    </row>
    <row r="16" spans="1:61" ht="13.9" customHeight="1" x14ac:dyDescent="0.4">
      <c r="A16" s="37" t="s">
        <v>26</v>
      </c>
      <c r="B16" s="41" t="s">
        <v>27</v>
      </c>
      <c r="C16" s="42" t="s">
        <v>28</v>
      </c>
      <c r="D16" s="11"/>
      <c r="E16" s="32">
        <f t="shared" si="8"/>
        <v>13</v>
      </c>
      <c r="F16" s="33">
        <f t="shared" ca="1" si="1"/>
        <v>1.509958009103648</v>
      </c>
      <c r="G16" s="33">
        <f t="shared" ca="1" si="2"/>
        <v>76.453555673935227</v>
      </c>
      <c r="H16" s="33">
        <f ca="1">Beta0_0+Beta1*(G16-F16+pext_0)+(Beta2/Theta)* I16</f>
        <v>1999.4719532966317</v>
      </c>
      <c r="I16" s="33">
        <v>3</v>
      </c>
      <c r="J16" s="33">
        <f t="shared" ca="1" si="3"/>
        <v>2.9743569331371167</v>
      </c>
      <c r="K16" s="33">
        <f t="shared" ca="1" si="4"/>
        <v>-5.2804670336831809E-3</v>
      </c>
      <c r="L16" s="34">
        <f t="shared" ca="1" si="5"/>
        <v>2.5643066862883312E-2</v>
      </c>
      <c r="M16" s="33">
        <f t="shared" ca="1" si="6"/>
        <v>0.93398499420641201</v>
      </c>
      <c r="N16">
        <f ca="1">Sheet2!A15</f>
        <v>-8.5844299644929154E-3</v>
      </c>
      <c r="O16">
        <f ca="1">Sheet2!B15</f>
        <v>-8.5844299644929154E-3</v>
      </c>
      <c r="P16">
        <f t="shared" ca="1" si="7"/>
        <v>0.99145231104570553</v>
      </c>
    </row>
    <row r="17" spans="1:16" ht="13.9" customHeight="1" x14ac:dyDescent="0.4">
      <c r="A17" s="16" t="s">
        <v>29</v>
      </c>
      <c r="B17" s="17">
        <v>100</v>
      </c>
      <c r="C17" s="18">
        <v>100</v>
      </c>
      <c r="D17" s="11"/>
      <c r="E17" s="32">
        <f t="shared" si="8"/>
        <v>14</v>
      </c>
      <c r="F17" s="33">
        <f t="shared" ca="1" si="1"/>
        <v>1.5046775420699647</v>
      </c>
      <c r="G17" s="33">
        <f t="shared" ca="1" si="2"/>
        <v>76.49529803617196</v>
      </c>
      <c r="H17" s="33">
        <f ca="1">Beta0_0+Beta1*(G17-F17+pext_0)+(Beta2/Theta)* I17</f>
        <v>2000.4124098820398</v>
      </c>
      <c r="I17" s="33">
        <v>3</v>
      </c>
      <c r="J17" s="33">
        <f t="shared" ca="1" si="3"/>
        <v>2.9947466816465251</v>
      </c>
      <c r="K17" s="33">
        <f t="shared" ca="1" si="4"/>
        <v>4.1240988203981033E-3</v>
      </c>
      <c r="L17" s="34">
        <f t="shared" ca="1" si="5"/>
        <v>5.2533183534748673E-3</v>
      </c>
      <c r="M17" s="33">
        <f t="shared" ca="1" si="6"/>
        <v>0.94045658540812838</v>
      </c>
      <c r="N17">
        <f ca="1">Sheet2!A16</f>
        <v>-1.7526410963449388E-3</v>
      </c>
      <c r="O17">
        <f ca="1">Sheet2!B16</f>
        <v>-1.7526410963449388E-3</v>
      </c>
      <c r="P17">
        <f t="shared" ca="1" si="7"/>
        <v>0.99824889388217497</v>
      </c>
    </row>
    <row r="18" spans="1:16" ht="13.9" customHeight="1" x14ac:dyDescent="0.4">
      <c r="A18" s="16" t="s">
        <v>30</v>
      </c>
      <c r="B18" s="17">
        <v>3</v>
      </c>
      <c r="C18" s="18">
        <v>3</v>
      </c>
      <c r="D18" s="11"/>
      <c r="E18" s="32">
        <f t="shared" si="8"/>
        <v>15</v>
      </c>
      <c r="F18" s="33">
        <f t="shared" ca="1" si="1"/>
        <v>1.5088016408903628</v>
      </c>
      <c r="G18" s="33">
        <f t="shared" ca="1" si="2"/>
        <v>76.489240940524951</v>
      </c>
      <c r="H18" s="33">
        <f ca="1">Beta0_0+Beta1*(G18-F18+pext_0)+(Beta2/Theta)* I18</f>
        <v>2000.2087859926914</v>
      </c>
      <c r="I18" s="33">
        <v>3</v>
      </c>
      <c r="J18" s="33">
        <f t="shared" ca="1" si="3"/>
        <v>2.9985037284596689</v>
      </c>
      <c r="K18" s="33">
        <f t="shared" ca="1" si="4"/>
        <v>2.0878599269144615E-3</v>
      </c>
      <c r="L18" s="34">
        <f t="shared" ca="1" si="5"/>
        <v>1.4962715403310511E-3</v>
      </c>
      <c r="M18" s="33">
        <f t="shared" ca="1" si="6"/>
        <v>-0.20362388934836417</v>
      </c>
      <c r="N18">
        <f ca="1">Sheet2!A17</f>
        <v>-4.9888160084486687E-4</v>
      </c>
      <c r="O18">
        <f ca="1">Sheet2!B17</f>
        <v>-4.9888160084486687E-4</v>
      </c>
      <c r="P18">
        <f t="shared" ca="1" si="7"/>
        <v>0.99950124281988972</v>
      </c>
    </row>
    <row r="19" spans="1:16" ht="13.9" customHeight="1" x14ac:dyDescent="0.4">
      <c r="A19" s="16" t="s">
        <v>31</v>
      </c>
      <c r="B19" s="17">
        <v>500</v>
      </c>
      <c r="C19" s="18">
        <v>500</v>
      </c>
      <c r="D19" s="11"/>
      <c r="E19" s="32">
        <f t="shared" si="8"/>
        <v>16</v>
      </c>
      <c r="F19" s="33">
        <f t="shared" ca="1" si="1"/>
        <v>1.5108895008172774</v>
      </c>
      <c r="G19" s="33">
        <f t="shared" ca="1" si="2"/>
        <v>76.488776223750094</v>
      </c>
      <c r="H19" s="33">
        <f ca="1">Beta0_0+Beta1*(G19-F19+pext_0)+(Beta2/Theta)* I19</f>
        <v>2000.1577344586563</v>
      </c>
      <c r="I19" s="33">
        <v>3</v>
      </c>
      <c r="J19" s="33">
        <f t="shared" ca="1" si="3"/>
        <v>3.0023348750642311</v>
      </c>
      <c r="K19" s="33">
        <f t="shared" ca="1" si="4"/>
        <v>1.5773445865625035E-3</v>
      </c>
      <c r="L19" s="34">
        <f t="shared" ca="1" si="5"/>
        <v>-2.3348750642311344E-3</v>
      </c>
      <c r="M19" s="33">
        <f t="shared" ca="1" si="6"/>
        <v>-5.10515340351958E-2</v>
      </c>
      <c r="N19">
        <f ca="1">Sheet2!A18</f>
        <v>7.7798897615642345E-4</v>
      </c>
      <c r="O19">
        <f ca="1">Sheet2!B18</f>
        <v>7.7798897615642345E-4</v>
      </c>
      <c r="P19">
        <f t="shared" ca="1" si="7"/>
        <v>1.000778291688077</v>
      </c>
    </row>
    <row r="20" spans="1:16" ht="13.9" customHeight="1" x14ac:dyDescent="0.4">
      <c r="A20" s="16" t="s">
        <v>32</v>
      </c>
      <c r="B20" s="17">
        <v>0</v>
      </c>
      <c r="C20" s="18">
        <v>0</v>
      </c>
      <c r="D20" s="11"/>
      <c r="E20" s="32">
        <f t="shared" si="8"/>
        <v>17</v>
      </c>
      <c r="F20" s="33">
        <f t="shared" ca="1" si="1"/>
        <v>1.5124668454038399</v>
      </c>
      <c r="G20" s="33">
        <f t="shared" ca="1" si="2"/>
        <v>76.493004525925954</v>
      </c>
      <c r="H20" s="33">
        <f ca="1">Beta0_0+Beta1*(G20-F20+pext_0)+(Beta2/Theta)* I20</f>
        <v>2000.2107536104422</v>
      </c>
      <c r="I20" s="33">
        <v>3</v>
      </c>
      <c r="J20" s="33">
        <f t="shared" ca="1" si="3"/>
        <v>3.008624720741957</v>
      </c>
      <c r="K20" s="33">
        <f t="shared" ca="1" si="4"/>
        <v>2.1075361044222518E-3</v>
      </c>
      <c r="L20" s="34">
        <f t="shared" ca="1" si="5"/>
        <v>-8.6247207419569705E-3</v>
      </c>
      <c r="M20" s="33">
        <f t="shared" ca="1" si="6"/>
        <v>5.3019151785974827E-2</v>
      </c>
      <c r="N20">
        <f ca="1">Sheet2!A19</f>
        <v>2.8707822725195075E-3</v>
      </c>
      <c r="O20">
        <f ca="1">Sheet2!B19</f>
        <v>2.8707822725195075E-3</v>
      </c>
      <c r="P20">
        <f t="shared" ca="1" si="7"/>
        <v>1.0028749069139857</v>
      </c>
    </row>
    <row r="21" spans="1:16" ht="13.9" customHeight="1" thickBot="1" x14ac:dyDescent="0.45">
      <c r="A21" s="19" t="s">
        <v>33</v>
      </c>
      <c r="B21" s="20">
        <v>2000</v>
      </c>
      <c r="C21" s="21">
        <v>2000</v>
      </c>
      <c r="D21" s="10"/>
      <c r="E21" s="32">
        <f t="shared" si="8"/>
        <v>18</v>
      </c>
      <c r="F21" s="33">
        <f t="shared" ca="1" si="1"/>
        <v>1.5145743815082622</v>
      </c>
      <c r="G21" s="33">
        <f t="shared" ca="1" si="2"/>
        <v>76.443211218414348</v>
      </c>
      <c r="H21" s="33">
        <f ca="1">Beta0_0+Beta1*(G21-F21+pext_0)+(Beta2/Theta)* I21</f>
        <v>1999.1727367381216</v>
      </c>
      <c r="I21" s="33">
        <v>3</v>
      </c>
      <c r="J21" s="33">
        <f t="shared" ca="1" si="3"/>
        <v>2.9759195811406292</v>
      </c>
      <c r="K21" s="33">
        <f t="shared" ca="1" si="4"/>
        <v>-8.2726326187844285E-3</v>
      </c>
      <c r="L21" s="34">
        <f t="shared" ca="1" si="5"/>
        <v>2.4080418859370845E-2</v>
      </c>
      <c r="M21" s="33">
        <f t="shared" ca="1" si="6"/>
        <v>-1.038016872320668</v>
      </c>
      <c r="N21">
        <f ca="1">Sheet2!A20</f>
        <v>-8.0591945285642154E-3</v>
      </c>
      <c r="O21">
        <f ca="1">Sheet2!B20</f>
        <v>-8.0591945285642154E-3</v>
      </c>
      <c r="P21">
        <f t="shared" ca="1" si="7"/>
        <v>0.99197319371354298</v>
      </c>
    </row>
    <row r="22" spans="1:16" ht="13.9" customHeight="1" thickBot="1" x14ac:dyDescent="0.45">
      <c r="A22" s="10"/>
      <c r="B22" s="10"/>
      <c r="C22" s="10"/>
      <c r="D22" s="12"/>
      <c r="E22" s="32">
        <f t="shared" si="8"/>
        <v>19</v>
      </c>
      <c r="F22" s="33">
        <f t="shared" ca="1" si="1"/>
        <v>1.5063017488894777</v>
      </c>
      <c r="G22" s="33">
        <f t="shared" ca="1" si="2"/>
        <v>76.51402155666652</v>
      </c>
      <c r="H22" s="33">
        <f ca="1">Beta0_0+Beta1*(G22-F22+pext_0)+(Beta2/Theta)* I22</f>
        <v>2000.7543961555407</v>
      </c>
      <c r="I22" s="33">
        <v>3</v>
      </c>
      <c r="J22" s="33">
        <f t="shared" ca="1" si="3"/>
        <v>3.0118780120275375</v>
      </c>
      <c r="K22" s="33">
        <f t="shared" ca="1" si="4"/>
        <v>7.543961555406895E-3</v>
      </c>
      <c r="L22" s="34">
        <f t="shared" ca="1" si="5"/>
        <v>-1.1878012027537466E-2</v>
      </c>
      <c r="M22" s="33">
        <f t="shared" ca="1" si="6"/>
        <v>1.5816594174191323</v>
      </c>
      <c r="N22">
        <f ca="1">Sheet2!A21</f>
        <v>3.9515197944957458E-3</v>
      </c>
      <c r="O22">
        <f ca="1">Sheet2!B21</f>
        <v>3.9515197944957458E-3</v>
      </c>
      <c r="P22">
        <f t="shared" ca="1" si="7"/>
        <v>1.0039593373425124</v>
      </c>
    </row>
    <row r="23" spans="1:16" ht="13.9" customHeight="1" x14ac:dyDescent="0.4">
      <c r="A23" s="37" t="s">
        <v>34</v>
      </c>
      <c r="B23" s="41" t="s">
        <v>35</v>
      </c>
      <c r="C23" s="42" t="s">
        <v>36</v>
      </c>
      <c r="D23" s="10"/>
      <c r="E23" s="32">
        <f t="shared" si="8"/>
        <v>20</v>
      </c>
      <c r="F23" s="33">
        <f t="shared" ca="1" si="1"/>
        <v>1.5138457104448846</v>
      </c>
      <c r="G23" s="33">
        <f t="shared" ca="1" si="2"/>
        <v>76.532480306340261</v>
      </c>
      <c r="H23" s="33">
        <f ca="1">Beta0_0+Beta1*(G23-F23+pext_0)+(Beta2/Theta)* I23</f>
        <v>2000.9726919179075</v>
      </c>
      <c r="I23" s="33">
        <v>3</v>
      </c>
      <c r="J23" s="33">
        <f t="shared" ca="1" si="3"/>
        <v>3.0406525324294922</v>
      </c>
      <c r="K23" s="33">
        <f t="shared" ca="1" si="4"/>
        <v>9.7269191790746844E-3</v>
      </c>
      <c r="L23" s="34">
        <f t="shared" ca="1" si="5"/>
        <v>-4.0652532429492183E-2</v>
      </c>
      <c r="M23" s="33">
        <f t="shared" ca="1" si="6"/>
        <v>0.21829576236677894</v>
      </c>
      <c r="N23">
        <f ca="1">Sheet2!A22</f>
        <v>1.3459852541748418E-2</v>
      </c>
      <c r="O23">
        <f ca="1">Sheet2!B22</f>
        <v>1.3459852541748418E-2</v>
      </c>
      <c r="P23">
        <f t="shared" ca="1" si="7"/>
        <v>1.013550844143164</v>
      </c>
    </row>
    <row r="24" spans="1:16" ht="13.9" customHeight="1" x14ac:dyDescent="0.4">
      <c r="A24" s="16" t="s">
        <v>7</v>
      </c>
      <c r="B24" s="22">
        <f>m_0-Psi*ypot_0+Theta*iext_0</f>
        <v>1.5</v>
      </c>
      <c r="C24" s="23">
        <f>m_1-Psi*ypot_1+Theta*iext_1</f>
        <v>1.5</v>
      </c>
      <c r="D24" s="10"/>
      <c r="E24" s="32">
        <f t="shared" si="8"/>
        <v>21</v>
      </c>
      <c r="F24" s="33">
        <f t="shared" ca="1" si="1"/>
        <v>1.5235726296239593</v>
      </c>
      <c r="G24" s="33">
        <f t="shared" ca="1" si="2"/>
        <v>76.489696325838082</v>
      </c>
      <c r="H24" s="33">
        <f ca="1">Beta0_0+Beta1*(G24-F24+pext_0)+(Beta2/Theta)* I24</f>
        <v>1999.9224739242825</v>
      </c>
      <c r="I24" s="33">
        <v>3</v>
      </c>
      <c r="J24" s="33">
        <f t="shared" ca="1" si="3"/>
        <v>3.0283833601831325</v>
      </c>
      <c r="K24" s="33">
        <f t="shared" ca="1" si="4"/>
        <v>-7.7526075717514686E-4</v>
      </c>
      <c r="L24" s="34">
        <f t="shared" ca="1" si="5"/>
        <v>-2.8383360183132478E-2</v>
      </c>
      <c r="M24" s="33">
        <f t="shared" ca="1" si="6"/>
        <v>-1.0502179936249831</v>
      </c>
      <c r="N24">
        <f ca="1">Sheet2!A23</f>
        <v>9.4166439736406912E-3</v>
      </c>
      <c r="O24">
        <f ca="1">Sheet2!B23</f>
        <v>9.4166439736406912E-3</v>
      </c>
      <c r="P24">
        <f t="shared" ca="1" si="7"/>
        <v>1.0094611200610442</v>
      </c>
    </row>
    <row r="25" spans="1:16" ht="13.9" customHeight="1" thickBot="1" x14ac:dyDescent="0.45">
      <c r="A25" s="19" t="s">
        <v>8</v>
      </c>
      <c r="B25" s="24">
        <f>m_0-Beta0_0/Beta1-((1-Psi*Beta1)/Beta1)*ypot_0+((Theta*Beta1+Beta2)/Beta1)*iext_0</f>
        <v>76.515000000000001</v>
      </c>
      <c r="C25" s="25">
        <f>m_1-Beta0_1/Beta1-((1-Psi*Beta1)/Beta1)*ypot_1+((Theta*Beta1+Beta2)/Beta1)*iext_1</f>
        <v>76.515000000000001</v>
      </c>
      <c r="D25" s="10"/>
      <c r="E25" s="32">
        <f t="shared" si="8"/>
        <v>22</v>
      </c>
      <c r="F25" s="33">
        <f t="shared" ca="1" si="1"/>
        <v>1.5227973688667842</v>
      </c>
      <c r="G25" s="33">
        <f t="shared" ca="1" si="2"/>
        <v>76.437659744717564</v>
      </c>
      <c r="H25" s="33">
        <f ca="1">Beta0_0+Beta1*(G25-F25+pext_0)+(Beta2/Theta)* I25</f>
        <v>1998.8972475170153</v>
      </c>
      <c r="I25" s="33">
        <v>3</v>
      </c>
      <c r="J25" s="33">
        <f t="shared" ca="1" si="3"/>
        <v>2.9882493082134221</v>
      </c>
      <c r="K25" s="33">
        <f t="shared" ca="1" si="4"/>
        <v>-1.1027524829846699E-2</v>
      </c>
      <c r="L25" s="34">
        <f t="shared" ca="1" si="5"/>
        <v>1.1750691786577949E-2</v>
      </c>
      <c r="M25" s="33">
        <f t="shared" ca="1" si="6"/>
        <v>-1.0252264072671551</v>
      </c>
      <c r="N25">
        <f ca="1">Sheet2!A24</f>
        <v>-3.9245883944263081E-3</v>
      </c>
      <c r="O25">
        <f ca="1">Sheet2!B24</f>
        <v>-3.9245883944263081E-3</v>
      </c>
      <c r="P25">
        <f t="shared" ca="1" si="7"/>
        <v>0.99608310273780731</v>
      </c>
    </row>
    <row r="26" spans="1:16" ht="13.9" customHeight="1" thickBot="1" x14ac:dyDescent="0.45">
      <c r="A26" s="10"/>
      <c r="B26" s="10"/>
      <c r="C26" s="10"/>
      <c r="D26" s="10"/>
      <c r="E26" s="32">
        <f t="shared" si="8"/>
        <v>23</v>
      </c>
      <c r="F26" s="33">
        <f t="shared" ca="1" si="1"/>
        <v>1.5117698440369376</v>
      </c>
      <c r="G26" s="33">
        <f t="shared" ca="1" si="2"/>
        <v>76.445613985241181</v>
      </c>
      <c r="H26" s="33">
        <f ca="1">Beta0_0+Beta1*(G26-F26+pext_0)+(Beta2/Theta)* I26</f>
        <v>1999.2768828240849</v>
      </c>
      <c r="I26" s="33">
        <v>3</v>
      </c>
      <c r="J26" s="33">
        <f t="shared" ca="1" si="3"/>
        <v>2.9720920841772198</v>
      </c>
      <c r="K26" s="33">
        <f t="shared" ca="1" si="4"/>
        <v>-7.2311717591514932E-3</v>
      </c>
      <c r="L26" s="34">
        <f t="shared" ca="1" si="5"/>
        <v>2.7907915822780183E-2</v>
      </c>
      <c r="M26" s="33">
        <f t="shared" ca="1" si="6"/>
        <v>0.37963530706952042</v>
      </c>
      <c r="N26">
        <f ca="1">Sheet2!A25</f>
        <v>-9.3461783836987743E-3</v>
      </c>
      <c r="O26">
        <f ca="1">Sheet2!B25</f>
        <v>-9.3461783836987743E-3</v>
      </c>
      <c r="P26">
        <f t="shared" ca="1" si="7"/>
        <v>0.99069736139240661</v>
      </c>
    </row>
    <row r="27" spans="1:16" ht="13.9" customHeight="1" x14ac:dyDescent="0.4">
      <c r="A27" s="37" t="s">
        <v>37</v>
      </c>
      <c r="B27" s="41" t="s">
        <v>38</v>
      </c>
      <c r="C27" s="42" t="s">
        <v>39</v>
      </c>
      <c r="D27" s="10"/>
      <c r="E27" s="32">
        <f t="shared" si="8"/>
        <v>24</v>
      </c>
      <c r="F27" s="33">
        <f t="shared" ca="1" si="1"/>
        <v>1.504538672277786</v>
      </c>
      <c r="G27" s="33">
        <f t="shared" ca="1" si="2"/>
        <v>76.459454742847186</v>
      </c>
      <c r="H27" s="33">
        <f ca="1">Beta0_0+Beta1*(G27-F27+pext_0)+(Beta2/Theta)* I27</f>
        <v>1999.698321411388</v>
      </c>
      <c r="I27" s="33">
        <v>3</v>
      </c>
      <c r="J27" s="33">
        <f t="shared" ca="1" si="3"/>
        <v>2.9678922383310882</v>
      </c>
      <c r="K27" s="33">
        <f t="shared" ca="1" si="4"/>
        <v>-3.0167858861204879E-3</v>
      </c>
      <c r="L27" s="34">
        <f t="shared" ca="1" si="5"/>
        <v>3.2107761668911827E-2</v>
      </c>
      <c r="M27" s="33">
        <f t="shared" ca="1" si="6"/>
        <v>0.42143858730310058</v>
      </c>
      <c r="N27">
        <f ca="1">Sheet2!A26</f>
        <v>-1.076027186205117E-2</v>
      </c>
      <c r="O27">
        <f ca="1">Sheet2!B26</f>
        <v>-1.076027186205117E-2</v>
      </c>
      <c r="P27">
        <f t="shared" ca="1" si="7"/>
        <v>0.98929741277702932</v>
      </c>
    </row>
    <row r="28" spans="1:16" ht="13.9" customHeight="1" x14ac:dyDescent="0.55000000000000004">
      <c r="A28" s="26" t="s">
        <v>12</v>
      </c>
      <c r="B28" s="27">
        <f>IF((Beta1*Mi+Beta2*Mi/Theta)^2+4*Beta1*Mi/Theta&gt;0,(-(Beta1*Mi+Beta2*Mi/Theta)-((Beta1*Mi+Beta2*Mi/Theta)^2+4*Beta1*Mi/Theta)^0.5)/2,(-(Beta1*Mi+Beta2*Mi/Theta))/2)</f>
        <v>-0.74146935914218415</v>
      </c>
      <c r="C28" s="28">
        <f>IF((Beta1*Mi+Beta2*Mi/Theta)^2+4*Beta1*Mi/Theta&gt;0, 0, -SQRT(-(Beta1*Mi+Beta2*Mi/Theta)^2+4*Beta1*Mi/Theta)/2)</f>
        <v>0</v>
      </c>
      <c r="D28" s="10"/>
      <c r="E28" s="32">
        <f t="shared" si="8"/>
        <v>25</v>
      </c>
      <c r="F28" s="33">
        <f t="shared" ca="1" si="1"/>
        <v>1.5015218863916655</v>
      </c>
      <c r="G28" s="33">
        <f t="shared" ca="1" si="2"/>
        <v>76.549072174543255</v>
      </c>
      <c r="H28" s="33">
        <f ca="1">Beta0_0+Beta1*(G28-F28+pext_0)+(Beta2/Theta)* I28</f>
        <v>2001.5510057630315</v>
      </c>
      <c r="I28" s="33">
        <v>3</v>
      </c>
      <c r="J28" s="33">
        <f t="shared" ca="1" si="3"/>
        <v>3.028307246206511</v>
      </c>
      <c r="K28" s="33">
        <f t="shared" ca="1" si="4"/>
        <v>1.5510057630315259E-2</v>
      </c>
      <c r="L28" s="34">
        <f t="shared" ca="1" si="5"/>
        <v>-2.8307246206511039E-2</v>
      </c>
      <c r="M28" s="33">
        <f t="shared" ca="1" si="6"/>
        <v>1.8526843516435747</v>
      </c>
      <c r="N28">
        <f ca="1">Sheet2!A27</f>
        <v>9.3915101236318101E-3</v>
      </c>
      <c r="O28">
        <f ca="1">Sheet2!B27</f>
        <v>9.3915101236318101E-3</v>
      </c>
      <c r="P28">
        <f t="shared" ca="1" si="7"/>
        <v>1.0094357487355037</v>
      </c>
    </row>
    <row r="29" spans="1:16" ht="13.9" customHeight="1" thickBot="1" x14ac:dyDescent="0.6">
      <c r="A29" s="29" t="s">
        <v>13</v>
      </c>
      <c r="B29" s="30">
        <f>IF((Beta1*Mi+Beta2*Mi/Theta)^2+4*Beta1*Mi/Theta&gt;0,(-(Beta1*Mi+Beta2*Mi/Theta)+((Beta1*Mi+Beta2*Mi/Theta)^2+4*Beta1*Mi/Theta)^0.5)/2,(-(Beta1*Mi+Beta2*Mi/Theta))/2)</f>
        <v>0.53946935914218419</v>
      </c>
      <c r="C29" s="31">
        <f>IF((Beta1*Mi+Beta2*Mi/Theta)^2+4*Beta1*Mi/Theta&gt;0, 0, +SQRT(-(Beta1*Mi+Beta2*Mi/Theta)^2+4*Beta1*Mi/Theta)/2)</f>
        <v>0</v>
      </c>
      <c r="D29" s="10"/>
      <c r="E29" s="32">
        <f t="shared" si="8"/>
        <v>26</v>
      </c>
      <c r="F29" s="33">
        <f t="shared" ca="1" si="1"/>
        <v>1.5170319440219808</v>
      </c>
      <c r="G29" s="33">
        <f t="shared" ca="1" si="2"/>
        <v>76.51281105964317</v>
      </c>
      <c r="H29" s="33">
        <f ca="1">Beta0_0+Beta1*(G29-F29+pext_0)+(Beta2/Theta)* I29</f>
        <v>2000.5155823124237</v>
      </c>
      <c r="I29" s="33">
        <v>3</v>
      </c>
      <c r="J29" s="33">
        <f t="shared" ca="1" si="3"/>
        <v>3.0324408558403784</v>
      </c>
      <c r="K29" s="33">
        <f t="shared" ca="1" si="4"/>
        <v>5.1558231242370316E-3</v>
      </c>
      <c r="L29" s="34">
        <f t="shared" ca="1" si="5"/>
        <v>-3.2440855840378369E-2</v>
      </c>
      <c r="M29" s="33">
        <f t="shared" ca="1" si="6"/>
        <v>-1.0354234506078228</v>
      </c>
      <c r="N29">
        <f ca="1">Sheet2!A28</f>
        <v>1.0755569545077746E-2</v>
      </c>
      <c r="O29">
        <f ca="1">Sheet2!B28</f>
        <v>1.0755569545077746E-2</v>
      </c>
      <c r="P29">
        <f t="shared" ca="1" si="7"/>
        <v>1.0108136186134595</v>
      </c>
    </row>
    <row r="30" spans="1:16" ht="13.9" customHeight="1" thickBot="1" x14ac:dyDescent="0.45">
      <c r="A30" s="10"/>
      <c r="B30" s="10"/>
      <c r="C30" s="10"/>
      <c r="D30" s="10"/>
      <c r="E30" s="32">
        <f t="shared" si="8"/>
        <v>27</v>
      </c>
      <c r="F30" s="33">
        <f t="shared" ca="1" si="1"/>
        <v>1.5221877671462178</v>
      </c>
      <c r="G30" s="33">
        <f t="shared" ca="1" si="2"/>
        <v>76.500088957454125</v>
      </c>
      <c r="H30" s="33">
        <f ca="1">Beta0_0+Beta1*(G30-F30+pext_0)+(Beta2/Theta)* I30</f>
        <v>2000.1580238061579</v>
      </c>
      <c r="I30" s="33">
        <v>3</v>
      </c>
      <c r="J30" s="33">
        <f t="shared" ca="1" si="3"/>
        <v>3.0333194531318126</v>
      </c>
      <c r="K30" s="33">
        <f t="shared" ca="1" si="4"/>
        <v>1.5802380615787116E-3</v>
      </c>
      <c r="L30" s="34">
        <f t="shared" ca="1" si="5"/>
        <v>-3.3319453131812615E-2</v>
      </c>
      <c r="M30" s="33">
        <f t="shared" ca="1" si="6"/>
        <v>-0.35755850626583197</v>
      </c>
      <c r="N30">
        <f ca="1">Sheet2!A29</f>
        <v>1.1045260285504163E-2</v>
      </c>
      <c r="O30">
        <f ca="1">Sheet2!B29</f>
        <v>1.1045260285504163E-2</v>
      </c>
      <c r="P30">
        <f t="shared" ca="1" si="7"/>
        <v>1.0111064843772708</v>
      </c>
    </row>
    <row r="31" spans="1:16" ht="13.9" customHeight="1" x14ac:dyDescent="0.4">
      <c r="A31" s="37" t="s">
        <v>40</v>
      </c>
      <c r="B31" s="39"/>
      <c r="C31" s="10"/>
      <c r="D31" s="10"/>
      <c r="E31" s="32">
        <f t="shared" si="8"/>
        <v>28</v>
      </c>
      <c r="F31" s="33">
        <f t="shared" ca="1" si="1"/>
        <v>1.5237680052077966</v>
      </c>
      <c r="G31" s="33">
        <f t="shared" ca="1" si="2"/>
        <v>76.458561939328291</v>
      </c>
      <c r="H31" s="33">
        <f ca="1">Beta0_0+Beta1*(G31-F31+pext_0)+(Beta2/Theta)* I31</f>
        <v>1999.2958786824097</v>
      </c>
      <c r="I31" s="33">
        <v>3</v>
      </c>
      <c r="J31" s="33">
        <f t="shared" ca="1" si="3"/>
        <v>3.0056889177381221</v>
      </c>
      <c r="K31" s="33">
        <f t="shared" ca="1" si="4"/>
        <v>-7.0412131759030674E-3</v>
      </c>
      <c r="L31" s="34">
        <f t="shared" ca="1" si="5"/>
        <v>-5.688917738122079E-3</v>
      </c>
      <c r="M31" s="33">
        <f t="shared" ca="1" si="6"/>
        <v>-0.86214512374817787</v>
      </c>
      <c r="N31">
        <f ca="1">Sheet2!A30</f>
        <v>1.8945101944456331E-3</v>
      </c>
      <c r="O31">
        <f ca="1">Sheet2!B30</f>
        <v>1.8945101944456331E-3</v>
      </c>
      <c r="P31">
        <f t="shared" ca="1" si="7"/>
        <v>1.0018963059127073</v>
      </c>
    </row>
    <row r="32" spans="1:16" ht="13.9" customHeight="1" x14ac:dyDescent="0.55000000000000004">
      <c r="A32" s="26" t="s">
        <v>41</v>
      </c>
      <c r="B32" s="28">
        <f>IF(C28=0,ABS(1+B28),SQRT((1+B28)^2+C28^2))</f>
        <v>0.25853064085781585</v>
      </c>
      <c r="C32" s="10"/>
      <c r="D32" s="10"/>
      <c r="E32" s="32">
        <f t="shared" si="8"/>
        <v>29</v>
      </c>
      <c r="F32" s="33">
        <f t="shared" ca="1" si="1"/>
        <v>1.5167267920318936</v>
      </c>
      <c r="G32" s="33">
        <f t="shared" ca="1" si="2"/>
        <v>76.418193784924426</v>
      </c>
      <c r="H32" s="33">
        <f ca="1">Beta0_0+Beta1*(G32-F32+pext_0)+(Beta2/Theta)* I32</f>
        <v>1998.6293398578507</v>
      </c>
      <c r="I32" s="33">
        <v>3</v>
      </c>
      <c r="J32" s="33">
        <f t="shared" ca="1" si="3"/>
        <v>2.9616747418107088</v>
      </c>
      <c r="K32" s="33">
        <f t="shared" ca="1" si="4"/>
        <v>-1.3706601421492905E-2</v>
      </c>
      <c r="L32" s="34">
        <f t="shared" ca="1" si="5"/>
        <v>3.8325258189291223E-2</v>
      </c>
      <c r="M32" s="33">
        <f t="shared" ca="1" si="6"/>
        <v>-0.66653882455898383</v>
      </c>
      <c r="N32">
        <f ca="1">Sheet2!A31</f>
        <v>-1.2857389179340165E-2</v>
      </c>
      <c r="O32">
        <f ca="1">Sheet2!B31</f>
        <v>-1.2857389179340165E-2</v>
      </c>
      <c r="P32">
        <f t="shared" ca="1" si="7"/>
        <v>0.98722491393690293</v>
      </c>
    </row>
    <row r="33" spans="1:16" ht="13.9" customHeight="1" thickBot="1" x14ac:dyDescent="0.6">
      <c r="A33" s="29" t="s">
        <v>42</v>
      </c>
      <c r="B33" s="31">
        <f>IF(C29=0,ABS(1+B29),SQRT((1+B29)^2+C29^2))</f>
        <v>1.5394693591421842</v>
      </c>
      <c r="C33" s="10"/>
      <c r="D33" s="10"/>
      <c r="E33" s="35">
        <f t="shared" si="8"/>
        <v>30</v>
      </c>
      <c r="F33" s="36">
        <f t="shared" ca="1" si="1"/>
        <v>1.5030201906104008</v>
      </c>
      <c r="G33" s="33">
        <f t="shared" ca="1" si="2"/>
        <v>76.46461683386255</v>
      </c>
      <c r="H33" s="33">
        <f ca="1">Beta0_0+Beta1*(G33-F33+pext_0)+(Beta2/Theta)* I33</f>
        <v>1999.831932865043</v>
      </c>
      <c r="I33" s="33">
        <v>3</v>
      </c>
      <c r="J33" s="33">
        <f t="shared" ca="1" si="3"/>
        <v>2.9686828073133094</v>
      </c>
      <c r="K33" s="33">
        <f t="shared" ca="1" si="4"/>
        <v>-1.6806713495702752E-3</v>
      </c>
      <c r="L33" s="34">
        <f t="shared" ca="1" si="5"/>
        <v>3.1317192686690642E-2</v>
      </c>
      <c r="M33" s="33">
        <f t="shared" ca="1" si="6"/>
        <v>1.202593007192263</v>
      </c>
      <c r="N33">
        <f ca="1">Sheet2!A32</f>
        <v>-1.0493933449476096E-2</v>
      </c>
      <c r="O33">
        <f ca="1">Sheet2!B32</f>
        <v>-1.0493933449476096E-2</v>
      </c>
      <c r="P33">
        <f t="shared" ca="1" si="7"/>
        <v>0.98956093577110316</v>
      </c>
    </row>
    <row r="34" spans="1:16" ht="13.9" customHeight="1" x14ac:dyDescent="0.35">
      <c r="B34" s="6"/>
      <c r="E34" s="9"/>
      <c r="F34" s="7"/>
      <c r="G34" s="7"/>
      <c r="H34" s="8"/>
      <c r="I34" s="7"/>
      <c r="J34" s="7"/>
      <c r="K34" s="7"/>
      <c r="L34" s="7"/>
      <c r="M34" s="7"/>
    </row>
    <row r="35" spans="1:16" ht="13.9" customHeight="1" thickBot="1" x14ac:dyDescent="0.4">
      <c r="E35" s="9" t="s">
        <v>49</v>
      </c>
      <c r="F35" s="7">
        <f ca="1">STDEV(F3:F33)</f>
        <v>7.1427189127710594E-3</v>
      </c>
      <c r="G35" s="7">
        <f t="shared" ref="G35:P35" ca="1" si="9">STDEV(G3:G33)</f>
        <v>3.7211943327401735E-2</v>
      </c>
      <c r="H35" s="7">
        <f t="shared" ca="1" si="9"/>
        <v>0.81835785026695851</v>
      </c>
      <c r="I35" s="7">
        <f t="shared" si="9"/>
        <v>0</v>
      </c>
      <c r="J35" s="7"/>
      <c r="K35" s="7">
        <f t="shared" ca="1" si="9"/>
        <v>8.1835785026695869E-3</v>
      </c>
      <c r="L35" s="7">
        <f t="shared" ca="1" si="9"/>
        <v>2.4731455612635057E-2</v>
      </c>
      <c r="M35" s="7">
        <f t="shared" ca="1" si="9"/>
        <v>1.1939726011352225</v>
      </c>
      <c r="N35" s="7">
        <f t="shared" ca="1" si="9"/>
        <v>8.23339562941185E-3</v>
      </c>
      <c r="O35" s="7">
        <f t="shared" ca="1" si="9"/>
        <v>8.23339562941185E-3</v>
      </c>
      <c r="P35" s="7">
        <f t="shared" ca="1" si="9"/>
        <v>8.2438185375450293E-3</v>
      </c>
    </row>
    <row r="36" spans="1:16" ht="13.9" customHeight="1" x14ac:dyDescent="0.35">
      <c r="E36" s="9"/>
      <c r="F36" s="44" t="s">
        <v>4</v>
      </c>
      <c r="G36" s="44" t="s">
        <v>9</v>
      </c>
      <c r="H36" s="44" t="s">
        <v>5</v>
      </c>
      <c r="I36" s="44" t="s">
        <v>6</v>
      </c>
      <c r="J36" s="44"/>
      <c r="K36" s="44" t="s">
        <v>14</v>
      </c>
      <c r="L36" s="45" t="s">
        <v>15</v>
      </c>
      <c r="M36" s="46" t="s">
        <v>48</v>
      </c>
      <c r="N36" t="s">
        <v>43</v>
      </c>
      <c r="O36" t="s">
        <v>44</v>
      </c>
      <c r="P36" t="s">
        <v>45</v>
      </c>
    </row>
    <row r="37" spans="1:16" ht="13.9" customHeight="1" x14ac:dyDescent="0.35">
      <c r="E37" s="9"/>
      <c r="F37" s="7"/>
      <c r="G37" s="7"/>
      <c r="H37" s="8"/>
      <c r="I37" s="7"/>
      <c r="J37" s="7"/>
      <c r="K37" s="7"/>
      <c r="L37" s="7"/>
      <c r="M37" s="7"/>
    </row>
    <row r="38" spans="1:16" ht="13.9" customHeight="1" x14ac:dyDescent="0.4">
      <c r="D38" s="3"/>
      <c r="E38" s="9"/>
      <c r="F38" s="7"/>
      <c r="G38" s="7"/>
      <c r="H38" s="8"/>
      <c r="I38" s="7"/>
      <c r="J38" s="7"/>
      <c r="K38" s="7"/>
      <c r="L38" s="7"/>
      <c r="M38" s="7"/>
    </row>
    <row r="39" spans="1:16" ht="13.9" customHeight="1" x14ac:dyDescent="0.35">
      <c r="D39" s="5"/>
      <c r="E39" s="9"/>
      <c r="F39" s="7"/>
      <c r="G39" s="7"/>
      <c r="H39" s="8"/>
      <c r="I39" s="7"/>
      <c r="J39" s="7"/>
      <c r="K39" s="7"/>
      <c r="L39" s="7"/>
      <c r="M39" s="7"/>
    </row>
    <row r="40" spans="1:16" ht="13.9" customHeight="1" x14ac:dyDescent="0.35">
      <c r="D40" s="5"/>
      <c r="E40" s="9"/>
      <c r="F40" s="7"/>
      <c r="G40" s="7"/>
      <c r="H40" s="8"/>
      <c r="I40" s="7"/>
      <c r="J40" s="7"/>
      <c r="K40" s="7"/>
      <c r="L40" s="7"/>
      <c r="M40" s="7"/>
    </row>
    <row r="41" spans="1:16" ht="13.9" customHeight="1" x14ac:dyDescent="0.35">
      <c r="E41" s="9"/>
      <c r="F41" s="7"/>
      <c r="G41" s="7"/>
      <c r="H41" s="8"/>
      <c r="I41" s="7"/>
      <c r="J41" s="7"/>
      <c r="K41" s="7"/>
      <c r="L41" s="7"/>
      <c r="M41" s="7"/>
    </row>
    <row r="42" spans="1:16" x14ac:dyDescent="0.35">
      <c r="E42" s="9"/>
      <c r="F42" s="7"/>
      <c r="G42" s="7"/>
      <c r="H42" s="8"/>
      <c r="I42" s="7"/>
      <c r="J42" s="7"/>
      <c r="K42" s="7"/>
      <c r="L42" s="7"/>
      <c r="M42" s="7"/>
    </row>
    <row r="43" spans="1:16" x14ac:dyDescent="0.35">
      <c r="E43" s="9"/>
      <c r="F43" s="7"/>
      <c r="G43" s="7"/>
      <c r="H43" s="8"/>
      <c r="I43" s="7"/>
      <c r="J43" s="7"/>
      <c r="K43" s="7"/>
      <c r="L43" s="7"/>
      <c r="M43" s="7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E6:E33 F3 F4:F33 B24:C29 B32:B33 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>
      <selection activeCell="C3" sqref="C3"/>
    </sheetView>
  </sheetViews>
  <sheetFormatPr defaultColWidth="10.86328125" defaultRowHeight="12.75" x14ac:dyDescent="0.35"/>
  <sheetData>
    <row r="1" spans="1:6" x14ac:dyDescent="0.35">
      <c r="A1" t="s">
        <v>43</v>
      </c>
      <c r="B1" t="s">
        <v>44</v>
      </c>
      <c r="C1" t="s">
        <v>45</v>
      </c>
      <c r="E1" t="s">
        <v>46</v>
      </c>
      <c r="F1">
        <v>0.99</v>
      </c>
    </row>
    <row r="2" spans="1:6" x14ac:dyDescent="0.35">
      <c r="A2">
        <v>0</v>
      </c>
      <c r="B2">
        <v>0</v>
      </c>
      <c r="C2">
        <v>1</v>
      </c>
      <c r="E2" t="s">
        <v>47</v>
      </c>
      <c r="F2">
        <v>0.01</v>
      </c>
    </row>
    <row r="3" spans="1:6" x14ac:dyDescent="0.35">
      <c r="A3">
        <f t="shared" ref="A3:A33" ca="1" si="0">NORMINV(RAND(), 0,$F$2)</f>
        <v>4.1696111233533269E-4</v>
      </c>
      <c r="B3">
        <f ca="1">$D$1*B2 + A3</f>
        <v>4.1696111233533269E-4</v>
      </c>
      <c r="C3">
        <f ca="1">EXP(B3)</f>
        <v>1.000417048052703</v>
      </c>
    </row>
    <row r="4" spans="1:6" x14ac:dyDescent="0.35">
      <c r="A4">
        <f t="shared" ca="1" si="0"/>
        <v>8.3991062457074959E-3</v>
      </c>
      <c r="B4">
        <f t="shared" ref="B4:B33" ca="1" si="1">$D$1*B3 + A4</f>
        <v>8.3991062457074959E-3</v>
      </c>
      <c r="C4">
        <f t="shared" ref="C4:C33" ca="1" si="2">EXP(B4)</f>
        <v>1.0084344776987495</v>
      </c>
    </row>
    <row r="5" spans="1:6" x14ac:dyDescent="0.35">
      <c r="A5">
        <f t="shared" ca="1" si="0"/>
        <v>2.8272606006332275E-3</v>
      </c>
      <c r="B5">
        <f t="shared" ca="1" si="1"/>
        <v>2.8272606006332275E-3</v>
      </c>
      <c r="C5">
        <f t="shared" ca="1" si="2"/>
        <v>1.002831261071121</v>
      </c>
    </row>
    <row r="6" spans="1:6" x14ac:dyDescent="0.35">
      <c r="A6">
        <f t="shared" ca="1" si="0"/>
        <v>7.7269270321854875E-3</v>
      </c>
      <c r="B6">
        <f t="shared" ca="1" si="1"/>
        <v>7.7269270321854875E-3</v>
      </c>
      <c r="C6">
        <f t="shared" ca="1" si="2"/>
        <v>1.0077568567715063</v>
      </c>
    </row>
    <row r="7" spans="1:6" x14ac:dyDescent="0.35">
      <c r="A7">
        <f t="shared" ca="1" si="0"/>
        <v>1.5363816829667208E-3</v>
      </c>
      <c r="B7">
        <f t="shared" ca="1" si="1"/>
        <v>1.5363816829667208E-3</v>
      </c>
      <c r="C7">
        <f t="shared" ca="1" si="2"/>
        <v>1.0015375625219669</v>
      </c>
    </row>
    <row r="8" spans="1:6" x14ac:dyDescent="0.35">
      <c r="A8">
        <f t="shared" ca="1" si="0"/>
        <v>1.6867671880190459E-2</v>
      </c>
      <c r="B8">
        <f t="shared" ca="1" si="1"/>
        <v>1.6867671880190459E-2</v>
      </c>
      <c r="C8">
        <f t="shared" ca="1" si="2"/>
        <v>1.0170107343022508</v>
      </c>
    </row>
    <row r="9" spans="1:6" x14ac:dyDescent="0.35">
      <c r="A9">
        <f t="shared" ca="1" si="0"/>
        <v>-1.0950475642883957E-2</v>
      </c>
      <c r="B9">
        <f t="shared" ca="1" si="1"/>
        <v>-1.0950475642883957E-2</v>
      </c>
      <c r="C9">
        <f t="shared" ca="1" si="2"/>
        <v>0.98910926256275933</v>
      </c>
    </row>
    <row r="10" spans="1:6" x14ac:dyDescent="0.35">
      <c r="A10">
        <f t="shared" ca="1" si="0"/>
        <v>2.1085133684880979E-3</v>
      </c>
      <c r="B10">
        <f t="shared" ca="1" si="1"/>
        <v>2.1085133684880979E-3</v>
      </c>
      <c r="C10">
        <f t="shared" ca="1" si="2"/>
        <v>1.0021107378459728</v>
      </c>
    </row>
    <row r="11" spans="1:6" x14ac:dyDescent="0.35">
      <c r="A11">
        <f t="shared" ca="1" si="0"/>
        <v>-1.3488523496943631E-3</v>
      </c>
      <c r="B11">
        <f t="shared" ca="1" si="1"/>
        <v>-1.3488523496943631E-3</v>
      </c>
      <c r="C11">
        <f t="shared" ca="1" si="2"/>
        <v>0.99865205694275661</v>
      </c>
    </row>
    <row r="12" spans="1:6" x14ac:dyDescent="0.35">
      <c r="A12">
        <f t="shared" ca="1" si="0"/>
        <v>4.0055943842590485E-3</v>
      </c>
      <c r="B12">
        <f t="shared" ca="1" si="1"/>
        <v>4.0055943842590485E-3</v>
      </c>
      <c r="C12">
        <f t="shared" ca="1" si="2"/>
        <v>1.0040136274996641</v>
      </c>
    </row>
    <row r="13" spans="1:6" x14ac:dyDescent="0.35">
      <c r="A13">
        <f t="shared" ca="1" si="0"/>
        <v>1.4267654204196524E-2</v>
      </c>
      <c r="B13">
        <f t="shared" ca="1" si="1"/>
        <v>1.4267654204196524E-2</v>
      </c>
      <c r="C13">
        <f t="shared" ca="1" si="2"/>
        <v>1.0143699229821221</v>
      </c>
    </row>
    <row r="14" spans="1:6" x14ac:dyDescent="0.35">
      <c r="A14">
        <f t="shared" ca="1" si="0"/>
        <v>-6.7520702102413042E-3</v>
      </c>
      <c r="B14">
        <f t="shared" ca="1" si="1"/>
        <v>-6.7520702102413042E-3</v>
      </c>
      <c r="C14">
        <f t="shared" ca="1" si="2"/>
        <v>0.9932706737973187</v>
      </c>
    </row>
    <row r="15" spans="1:6" x14ac:dyDescent="0.35">
      <c r="A15">
        <f t="shared" ca="1" si="0"/>
        <v>-8.5844299644929154E-3</v>
      </c>
      <c r="B15">
        <f t="shared" ca="1" si="1"/>
        <v>-8.5844299644929154E-3</v>
      </c>
      <c r="C15">
        <f t="shared" ca="1" si="2"/>
        <v>0.99145231104570553</v>
      </c>
    </row>
    <row r="16" spans="1:6" x14ac:dyDescent="0.35">
      <c r="A16">
        <f t="shared" ca="1" si="0"/>
        <v>-1.7526410963449388E-3</v>
      </c>
      <c r="B16">
        <f t="shared" ca="1" si="1"/>
        <v>-1.7526410963449388E-3</v>
      </c>
      <c r="C16">
        <f t="shared" ca="1" si="2"/>
        <v>0.99824889388217497</v>
      </c>
    </row>
    <row r="17" spans="1:3" x14ac:dyDescent="0.35">
      <c r="A17">
        <f t="shared" ca="1" si="0"/>
        <v>-4.9888160084486687E-4</v>
      </c>
      <c r="B17">
        <f t="shared" ca="1" si="1"/>
        <v>-4.9888160084486687E-4</v>
      </c>
      <c r="C17">
        <f t="shared" ca="1" si="2"/>
        <v>0.99950124281988972</v>
      </c>
    </row>
    <row r="18" spans="1:3" x14ac:dyDescent="0.35">
      <c r="A18">
        <f t="shared" ca="1" si="0"/>
        <v>7.7798897615642345E-4</v>
      </c>
      <c r="B18">
        <f t="shared" ca="1" si="1"/>
        <v>7.7798897615642345E-4</v>
      </c>
      <c r="C18">
        <f t="shared" ca="1" si="2"/>
        <v>1.000778291688077</v>
      </c>
    </row>
    <row r="19" spans="1:3" x14ac:dyDescent="0.35">
      <c r="A19">
        <f t="shared" ca="1" si="0"/>
        <v>2.8707822725195075E-3</v>
      </c>
      <c r="B19">
        <f t="shared" ca="1" si="1"/>
        <v>2.8707822725195075E-3</v>
      </c>
      <c r="C19">
        <f t="shared" ca="1" si="2"/>
        <v>1.0028749069139857</v>
      </c>
    </row>
    <row r="20" spans="1:3" x14ac:dyDescent="0.35">
      <c r="A20">
        <f t="shared" ca="1" si="0"/>
        <v>-8.0591945285642154E-3</v>
      </c>
      <c r="B20">
        <f t="shared" ca="1" si="1"/>
        <v>-8.0591945285642154E-3</v>
      </c>
      <c r="C20">
        <f t="shared" ca="1" si="2"/>
        <v>0.99197319371354298</v>
      </c>
    </row>
    <row r="21" spans="1:3" x14ac:dyDescent="0.35">
      <c r="A21">
        <f t="shared" ca="1" si="0"/>
        <v>3.9515197944957458E-3</v>
      </c>
      <c r="B21">
        <f t="shared" ca="1" si="1"/>
        <v>3.9515197944957458E-3</v>
      </c>
      <c r="C21">
        <f t="shared" ca="1" si="2"/>
        <v>1.0039593373425124</v>
      </c>
    </row>
    <row r="22" spans="1:3" x14ac:dyDescent="0.35">
      <c r="A22">
        <f t="shared" ca="1" si="0"/>
        <v>1.3459852541748418E-2</v>
      </c>
      <c r="B22">
        <f t="shared" ca="1" si="1"/>
        <v>1.3459852541748418E-2</v>
      </c>
      <c r="C22">
        <f t="shared" ca="1" si="2"/>
        <v>1.013550844143164</v>
      </c>
    </row>
    <row r="23" spans="1:3" x14ac:dyDescent="0.35">
      <c r="A23">
        <f t="shared" ca="1" si="0"/>
        <v>9.4166439736406912E-3</v>
      </c>
      <c r="B23">
        <f t="shared" ca="1" si="1"/>
        <v>9.4166439736406912E-3</v>
      </c>
      <c r="C23">
        <f t="shared" ca="1" si="2"/>
        <v>1.0094611200610442</v>
      </c>
    </row>
    <row r="24" spans="1:3" x14ac:dyDescent="0.35">
      <c r="A24">
        <f t="shared" ca="1" si="0"/>
        <v>-3.9245883944263081E-3</v>
      </c>
      <c r="B24">
        <f t="shared" ca="1" si="1"/>
        <v>-3.9245883944263081E-3</v>
      </c>
      <c r="C24">
        <f t="shared" ca="1" si="2"/>
        <v>0.99608310273780731</v>
      </c>
    </row>
    <row r="25" spans="1:3" x14ac:dyDescent="0.35">
      <c r="A25">
        <f t="shared" ca="1" si="0"/>
        <v>-9.3461783836987743E-3</v>
      </c>
      <c r="B25">
        <f t="shared" ca="1" si="1"/>
        <v>-9.3461783836987743E-3</v>
      </c>
      <c r="C25">
        <f t="shared" ca="1" si="2"/>
        <v>0.99069736139240661</v>
      </c>
    </row>
    <row r="26" spans="1:3" x14ac:dyDescent="0.35">
      <c r="A26">
        <f t="shared" ca="1" si="0"/>
        <v>-1.076027186205117E-2</v>
      </c>
      <c r="B26">
        <f t="shared" ca="1" si="1"/>
        <v>-1.076027186205117E-2</v>
      </c>
      <c r="C26">
        <f t="shared" ca="1" si="2"/>
        <v>0.98929741277702932</v>
      </c>
    </row>
    <row r="27" spans="1:3" x14ac:dyDescent="0.35">
      <c r="A27">
        <f t="shared" ca="1" si="0"/>
        <v>9.3915101236318101E-3</v>
      </c>
      <c r="B27">
        <f t="shared" ca="1" si="1"/>
        <v>9.3915101236318101E-3</v>
      </c>
      <c r="C27">
        <f t="shared" ca="1" si="2"/>
        <v>1.0094357487355037</v>
      </c>
    </row>
    <row r="28" spans="1:3" x14ac:dyDescent="0.35">
      <c r="A28">
        <f t="shared" ca="1" si="0"/>
        <v>1.0755569545077746E-2</v>
      </c>
      <c r="B28">
        <f t="shared" ca="1" si="1"/>
        <v>1.0755569545077746E-2</v>
      </c>
      <c r="C28">
        <f t="shared" ca="1" si="2"/>
        <v>1.0108136186134595</v>
      </c>
    </row>
    <row r="29" spans="1:3" x14ac:dyDescent="0.35">
      <c r="A29">
        <f t="shared" ca="1" si="0"/>
        <v>1.1045260285504163E-2</v>
      </c>
      <c r="B29">
        <f t="shared" ca="1" si="1"/>
        <v>1.1045260285504163E-2</v>
      </c>
      <c r="C29">
        <f t="shared" ca="1" si="2"/>
        <v>1.0111064843772708</v>
      </c>
    </row>
    <row r="30" spans="1:3" x14ac:dyDescent="0.35">
      <c r="A30">
        <f t="shared" ca="1" si="0"/>
        <v>1.8945101944456331E-3</v>
      </c>
      <c r="B30">
        <f t="shared" ca="1" si="1"/>
        <v>1.8945101944456331E-3</v>
      </c>
      <c r="C30">
        <f t="shared" ca="1" si="2"/>
        <v>1.0018963059127073</v>
      </c>
    </row>
    <row r="31" spans="1:3" x14ac:dyDescent="0.35">
      <c r="A31">
        <f t="shared" ca="1" si="0"/>
        <v>-1.2857389179340165E-2</v>
      </c>
      <c r="B31">
        <f t="shared" ca="1" si="1"/>
        <v>-1.2857389179340165E-2</v>
      </c>
      <c r="C31">
        <f t="shared" ca="1" si="2"/>
        <v>0.98722491393690293</v>
      </c>
    </row>
    <row r="32" spans="1:3" x14ac:dyDescent="0.35">
      <c r="A32">
        <f t="shared" ca="1" si="0"/>
        <v>-1.0493933449476096E-2</v>
      </c>
      <c r="B32">
        <f t="shared" ca="1" si="1"/>
        <v>-1.0493933449476096E-2</v>
      </c>
      <c r="C32">
        <f t="shared" ca="1" si="2"/>
        <v>0.98956093577110316</v>
      </c>
    </row>
    <row r="33" spans="1:3" x14ac:dyDescent="0.35">
      <c r="A33">
        <f t="shared" ca="1" si="0"/>
        <v>-8.9021025327705415E-3</v>
      </c>
      <c r="B33">
        <f t="shared" ca="1" si="1"/>
        <v>-8.9021025327705415E-3</v>
      </c>
      <c r="C33">
        <f t="shared" ca="1" si="2"/>
        <v>0.99113740386506555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632812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Sheet1</vt:lpstr>
      <vt:lpstr>Sheet2</vt:lpstr>
      <vt:lpstr>Hoja3</vt:lpstr>
      <vt:lpstr>Beta0_0</vt:lpstr>
      <vt:lpstr>Beta0_1</vt:lpstr>
      <vt:lpstr>Beta1</vt:lpstr>
      <vt:lpstr>Beta2</vt:lpstr>
      <vt:lpstr>iext_0</vt:lpstr>
      <vt:lpstr>iext_1</vt:lpstr>
      <vt:lpstr>iext0</vt:lpstr>
      <vt:lpstr>iext1</vt:lpstr>
      <vt:lpstr>Lambda1</vt:lpstr>
      <vt:lpstr>Lambda2</vt:lpstr>
      <vt:lpstr>m_0</vt:lpstr>
      <vt:lpstr>m_1</vt:lpstr>
      <vt:lpstr>Mi</vt:lpstr>
      <vt:lpstr>money0</vt:lpstr>
      <vt:lpstr>money1</vt:lpstr>
      <vt:lpstr>pbar_0</vt:lpstr>
      <vt:lpstr>pbar_1</vt:lpstr>
      <vt:lpstr>pbar0</vt:lpstr>
      <vt:lpstr>pbar1</vt:lpstr>
      <vt:lpstr>pext_0</vt:lpstr>
      <vt:lpstr>pext_1</vt:lpstr>
      <vt:lpstr>pext0</vt:lpstr>
      <vt:lpstr>pext1</vt:lpstr>
      <vt:lpstr>Psi</vt:lpstr>
      <vt:lpstr>sbar_0</vt:lpstr>
      <vt:lpstr>sbar_1</vt:lpstr>
      <vt:lpstr>sbar0</vt:lpstr>
      <vt:lpstr>sbar1</vt:lpstr>
      <vt:lpstr>Theta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2025-10-06T20:00:53Z</dcterms:modified>
</cp:coreProperties>
</file>