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Saint\Dropbox\ComputMacro\EXCEL-ICM\"/>
    </mc:Choice>
  </mc:AlternateContent>
  <xr:revisionPtr revIDLastSave="0" documentId="13_ncr:1_{81FDE5A1-0628-4ED0-97C3-32B7DEAED4C0}" xr6:coauthVersionLast="47" xr6:coauthVersionMax="47" xr10:uidLastSave="{00000000-0000-0000-0000-000000000000}"/>
  <bookViews>
    <workbookView xWindow="-98" yWindow="-98" windowWidth="19396" windowHeight="11475" xr2:uid="{00000000-000D-0000-FFFF-FFFF00000000}"/>
  </bookViews>
  <sheets>
    <sheet name="Hoja1" sheetId="1" r:id="rId1"/>
    <sheet name="Hoja2" sheetId="2" r:id="rId2"/>
    <sheet name="Hoja3" sheetId="3" r:id="rId3"/>
  </sheets>
  <definedNames>
    <definedName name="A_0">Hoja1!$K$39</definedName>
    <definedName name="A_1">Hoja1!$K$42</definedName>
    <definedName name="B_0">Hoja1!$L$39</definedName>
    <definedName name="B_1">Hoja1!$L$42</definedName>
    <definedName name="Beta">Hoja1!$B$4</definedName>
    <definedName name="Cbar">Hoja1!$B$18</definedName>
    <definedName name="Ctilde">Hoja1!$B$30</definedName>
    <definedName name="Gamma">Hoja1!$B$6</definedName>
    <definedName name="Gbar">Hoja1!$B$28</definedName>
    <definedName name="lambda0">Hoja1!$B$17</definedName>
    <definedName name="lambda1">Hoja1!$B$32</definedName>
    <definedName name="Lbar">Hoja1!$B$16</definedName>
    <definedName name="omega">Hoja1!$B$26</definedName>
    <definedName name="Phi">Hoja1!$B$7</definedName>
    <definedName name="R_0">Hoja1!$B$10</definedName>
    <definedName name="R_N">Hoja1!$B$11</definedName>
    <definedName name="Rbar">Hoja1!$B$10</definedName>
    <definedName name="rho">Hoja1!$B$25</definedName>
    <definedName name="Sigma">Hoja1!$B$5</definedName>
    <definedName name="solver_adj" localSheetId="0" hidden="1">Hoja1!$E$4:$E$33</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definedName>
    <definedName name="solver_lhs1" localSheetId="0" hidden="1">Hoja1!$E$3:$E$33</definedName>
    <definedName name="solver_lhs2" localSheetId="0" hidden="1">Hoja1!$F$3:$F$33</definedName>
    <definedName name="solver_lhs3" localSheetId="0" hidden="1">Hoja1!$F$3:$F$33</definedName>
    <definedName name="solver_lhs4" localSheetId="0" hidden="1">Hoja1!$H$33</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4</definedName>
    <definedName name="solver_nwt" localSheetId="0" hidden="1">1</definedName>
    <definedName name="solver_opt" localSheetId="0" hidden="1">Hoja1!$J$16</definedName>
    <definedName name="solver_pre" localSheetId="0" hidden="1">0.000001</definedName>
    <definedName name="solver_rbv" localSheetId="0" hidden="1">1</definedName>
    <definedName name="solver_rel1" localSheetId="0" hidden="1">3</definedName>
    <definedName name="solver_rel2" localSheetId="0" hidden="1">1</definedName>
    <definedName name="solver_rel3" localSheetId="0" hidden="1">3</definedName>
    <definedName name="solver_rel4" localSheetId="0" hidden="1">2</definedName>
    <definedName name="solver_rhs1" localSheetId="0" hidden="1">0.1</definedName>
    <definedName name="solver_rhs2" localSheetId="0" hidden="1">0.6</definedName>
    <definedName name="solver_rhs3" localSheetId="0" hidden="1">0.01</definedName>
    <definedName name="solver_rhs4" localSheetId="0" hidden="1">0</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100</definedName>
    <definedName name="solver_tol" localSheetId="0" hidden="1">0.05</definedName>
    <definedName name="solver_typ" localSheetId="0" hidden="1">1</definedName>
    <definedName name="solver_val" localSheetId="0" hidden="1">0</definedName>
    <definedName name="solver_ver" localSheetId="0" hidden="1">3</definedName>
    <definedName name="tau_c">Hoja1!$B$13</definedName>
    <definedName name="tau_ret">Hoja1!$B$14</definedName>
    <definedName name="tau_w">Hoja1!$B$12</definedName>
    <definedName name="W_1">Hoja1!$B$20</definedName>
    <definedName name="W0">Hoja1!$A$15</definedName>
    <definedName name="Wage">Hoja1!$A$15</definedName>
    <definedName name="Wbar">Hoja1!$B$15</definedName>
    <definedName name="xi">Hoja1!$B$24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5" i="1" l="1"/>
  <c r="E4" i="1" l="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L10" i="1"/>
  <c r="B25" i="1"/>
  <c r="S34" i="1"/>
  <c r="S35" i="1"/>
  <c r="S36" i="1"/>
  <c r="S37" i="1"/>
  <c r="S38" i="1"/>
  <c r="S39" i="1"/>
  <c r="S40" i="1"/>
  <c r="S41" i="1"/>
  <c r="S42" i="1"/>
  <c r="S43" i="1"/>
  <c r="S44" i="1"/>
  <c r="S45" i="1"/>
  <c r="S46" i="1"/>
  <c r="B26" i="1"/>
  <c r="B16" i="1"/>
  <c r="B11" i="1"/>
  <c r="L9" i="1" l="1"/>
  <c r="K21" i="1"/>
  <c r="K31" i="1"/>
  <c r="K29" i="1"/>
  <c r="L5" i="1"/>
  <c r="K27" i="1"/>
  <c r="K25" i="1"/>
  <c r="K22" i="1"/>
  <c r="K11" i="1"/>
  <c r="K9" i="1"/>
  <c r="K18" i="1"/>
  <c r="L16" i="1"/>
  <c r="K32" i="1"/>
  <c r="L29" i="1"/>
  <c r="L6" i="1"/>
  <c r="B18" i="1"/>
  <c r="K23" i="1"/>
  <c r="L19" i="1"/>
  <c r="L18" i="1"/>
  <c r="K8" i="1"/>
  <c r="K17" i="1"/>
  <c r="L15" i="1"/>
  <c r="L31" i="1"/>
  <c r="L8" i="1"/>
  <c r="K30" i="1"/>
  <c r="K28" i="1"/>
  <c r="L26" i="1"/>
  <c r="K26" i="1"/>
  <c r="L23" i="1"/>
  <c r="L22" i="1"/>
  <c r="L20" i="1"/>
  <c r="K20" i="1"/>
  <c r="K7" i="1"/>
  <c r="K16" i="1"/>
  <c r="L14" i="1"/>
  <c r="K33" i="1"/>
  <c r="L30" i="1"/>
  <c r="L7" i="1"/>
  <c r="L28" i="1"/>
  <c r="L27" i="1"/>
  <c r="L4" i="1"/>
  <c r="L25" i="1"/>
  <c r="L24" i="1"/>
  <c r="K24" i="1"/>
  <c r="L21" i="1"/>
  <c r="K12" i="1"/>
  <c r="K10" i="1"/>
  <c r="K19" i="1"/>
  <c r="L17" i="1"/>
  <c r="K6" i="1"/>
  <c r="K15" i="1"/>
  <c r="L13" i="1"/>
  <c r="K5" i="1"/>
  <c r="K14" i="1"/>
  <c r="L12" i="1"/>
  <c r="K4" i="1"/>
  <c r="L33" i="1"/>
  <c r="L11" i="1"/>
  <c r="K13" i="1"/>
  <c r="L32" i="1"/>
  <c r="D4" i="1"/>
  <c r="B22" i="1" l="1"/>
  <c r="B17" i="1"/>
  <c r="B6" i="1" s="1"/>
  <c r="E3" i="1"/>
  <c r="B28" i="1"/>
  <c r="D5" i="1"/>
  <c r="Q5" i="1" s="1"/>
  <c r="Q4" i="1"/>
  <c r="D6" i="1"/>
  <c r="Q6" i="1" s="1"/>
  <c r="E36" i="1" l="1"/>
  <c r="L3" i="1"/>
  <c r="Q3" i="1"/>
  <c r="K3" i="1"/>
  <c r="D7" i="1"/>
  <c r="Q7" i="1" s="1"/>
  <c r="D8" i="1" l="1"/>
  <c r="Q8" i="1" l="1"/>
  <c r="D9" i="1"/>
  <c r="Q9" i="1" l="1"/>
  <c r="D10" i="1"/>
  <c r="Q10" i="1" l="1"/>
  <c r="D11" i="1"/>
  <c r="Q11" i="1" l="1"/>
  <c r="D12" i="1"/>
  <c r="Q12" i="1" l="1"/>
  <c r="D13" i="1"/>
  <c r="Q13" i="1" l="1"/>
  <c r="D14" i="1"/>
  <c r="Q14" i="1" l="1"/>
  <c r="D15" i="1"/>
  <c r="Q15" i="1" l="1"/>
  <c r="D16" i="1"/>
  <c r="Q16" i="1" l="1"/>
  <c r="D17" i="1"/>
  <c r="Q17" i="1" l="1"/>
  <c r="D18" i="1"/>
  <c r="Q18" i="1" l="1"/>
  <c r="D19" i="1"/>
  <c r="Q19" i="1" l="1"/>
  <c r="D20" i="1"/>
  <c r="Q20" i="1" l="1"/>
  <c r="D21" i="1"/>
  <c r="Q21" i="1" l="1"/>
  <c r="D22" i="1"/>
  <c r="Q22" i="1" l="1"/>
  <c r="D23" i="1"/>
  <c r="Q23" i="1" l="1"/>
  <c r="D24" i="1"/>
  <c r="Q24" i="1" l="1"/>
  <c r="D25" i="1"/>
  <c r="Q25" i="1" l="1"/>
  <c r="D26" i="1"/>
  <c r="Q26" i="1" l="1"/>
  <c r="D27" i="1"/>
  <c r="Q27" i="1" l="1"/>
  <c r="D28" i="1"/>
  <c r="Q28" i="1" l="1"/>
  <c r="D29" i="1"/>
  <c r="Q29" i="1" l="1"/>
  <c r="D30" i="1"/>
  <c r="Q30" i="1" l="1"/>
  <c r="D31" i="1"/>
  <c r="Q31" i="1" l="1"/>
  <c r="D32" i="1"/>
  <c r="Q32" i="1" l="1"/>
  <c r="D33" i="1"/>
  <c r="Q33" i="1" l="1"/>
  <c r="Q35" i="1" s="1"/>
  <c r="F26" i="1" l="1"/>
  <c r="R26" i="1" s="1"/>
  <c r="F8" i="1"/>
  <c r="R8" i="1" s="1"/>
  <c r="F31" i="1"/>
  <c r="G31" i="1" s="1"/>
  <c r="F7" i="1"/>
  <c r="I7" i="1" s="1"/>
  <c r="F18" i="1"/>
  <c r="G18" i="1" s="1"/>
  <c r="F20" i="1"/>
  <c r="R20" i="1" s="1"/>
  <c r="F21" i="1"/>
  <c r="I21" i="1" s="1"/>
  <c r="F19" i="1"/>
  <c r="R19" i="1" s="1"/>
  <c r="F15" i="1"/>
  <c r="R15" i="1" s="1"/>
  <c r="F17" i="1"/>
  <c r="I17" i="1" s="1"/>
  <c r="F14" i="1"/>
  <c r="R14" i="1" s="1"/>
  <c r="F30" i="1"/>
  <c r="I30" i="1" s="1"/>
  <c r="F12" i="1"/>
  <c r="G12" i="1" s="1"/>
  <c r="J12" i="1" s="1"/>
  <c r="W12" i="1" s="1"/>
  <c r="F25" i="1"/>
  <c r="I25" i="1" s="1"/>
  <c r="F24" i="1"/>
  <c r="I24" i="1" s="1"/>
  <c r="F13" i="1"/>
  <c r="I13" i="1" s="1"/>
  <c r="F33" i="1"/>
  <c r="R33" i="1" s="1"/>
  <c r="F16" i="1"/>
  <c r="R16" i="1" s="1"/>
  <c r="F32" i="1"/>
  <c r="I32" i="1" s="1"/>
  <c r="F11" i="1"/>
  <c r="G11" i="1" s="1"/>
  <c r="L48" i="1"/>
  <c r="F27" i="1"/>
  <c r="I27" i="1" s="1"/>
  <c r="F4" i="1"/>
  <c r="F23" i="1"/>
  <c r="I23" i="1" s="1"/>
  <c r="F29" i="1"/>
  <c r="R29" i="1" s="1"/>
  <c r="F22" i="1"/>
  <c r="I22" i="1" s="1"/>
  <c r="F28" i="1"/>
  <c r="I28" i="1" s="1"/>
  <c r="F6" i="1"/>
  <c r="R6" i="1" s="1"/>
  <c r="F9" i="1"/>
  <c r="R9" i="1" s="1"/>
  <c r="F10" i="1"/>
  <c r="I10" i="1" s="1"/>
  <c r="F3" i="1"/>
  <c r="G3" i="1" s="1"/>
  <c r="F5" i="1"/>
  <c r="G5" i="1" s="1"/>
  <c r="M3" i="1" l="1"/>
  <c r="H3" i="1"/>
  <c r="N3" i="1" s="1"/>
  <c r="J3" i="1"/>
  <c r="I26" i="1"/>
  <c r="G8" i="1"/>
  <c r="J8" i="1" s="1"/>
  <c r="W8" i="1" s="1"/>
  <c r="I8" i="1"/>
  <c r="G29" i="1"/>
  <c r="G24" i="1"/>
  <c r="J24" i="1" s="1"/>
  <c r="W24" i="1" s="1"/>
  <c r="G9" i="1"/>
  <c r="J9" i="1" s="1"/>
  <c r="W9" i="1" s="1"/>
  <c r="G22" i="1"/>
  <c r="I5" i="1"/>
  <c r="I9" i="1"/>
  <c r="R13" i="1"/>
  <c r="I29" i="1"/>
  <c r="I14" i="1"/>
  <c r="R25" i="1"/>
  <c r="G23" i="1"/>
  <c r="J23" i="1" s="1"/>
  <c r="W23" i="1" s="1"/>
  <c r="R5" i="1"/>
  <c r="F36" i="1"/>
  <c r="G15" i="1"/>
  <c r="G13" i="1"/>
  <c r="M13" i="1" s="1"/>
  <c r="J5" i="1"/>
  <c r="W5" i="1" s="1"/>
  <c r="M5" i="1"/>
  <c r="R4" i="1"/>
  <c r="R18" i="1"/>
  <c r="G27" i="1"/>
  <c r="G33" i="1"/>
  <c r="G30" i="1"/>
  <c r="J30" i="1" s="1"/>
  <c r="W30" i="1" s="1"/>
  <c r="I18" i="1"/>
  <c r="G28" i="1"/>
  <c r="R7" i="1"/>
  <c r="I20" i="1"/>
  <c r="G21" i="1"/>
  <c r="R17" i="1"/>
  <c r="R31" i="1"/>
  <c r="G17" i="1"/>
  <c r="R10" i="1"/>
  <c r="R27" i="1"/>
  <c r="R24" i="1"/>
  <c r="I12" i="1"/>
  <c r="I19" i="1"/>
  <c r="G25" i="1"/>
  <c r="R28" i="1"/>
  <c r="G26" i="1"/>
  <c r="G10" i="1"/>
  <c r="R12" i="1"/>
  <c r="R30" i="1"/>
  <c r="G4" i="1"/>
  <c r="I16" i="1"/>
  <c r="I33" i="1"/>
  <c r="G14" i="1"/>
  <c r="R32" i="1"/>
  <c r="G20" i="1"/>
  <c r="J18" i="1"/>
  <c r="W18" i="1" s="1"/>
  <c r="M18" i="1"/>
  <c r="M11" i="1"/>
  <c r="J11" i="1"/>
  <c r="W11" i="1" s="1"/>
  <c r="O3" i="1"/>
  <c r="M31" i="1"/>
  <c r="J31" i="1"/>
  <c r="W31" i="1" s="1"/>
  <c r="G7" i="1"/>
  <c r="R22" i="1"/>
  <c r="G16" i="1"/>
  <c r="R21" i="1"/>
  <c r="I31" i="1"/>
  <c r="R23" i="1"/>
  <c r="I15" i="1"/>
  <c r="I6" i="1"/>
  <c r="R3" i="1"/>
  <c r="G6" i="1"/>
  <c r="G19" i="1"/>
  <c r="G32" i="1"/>
  <c r="M12" i="1"/>
  <c r="R11" i="1"/>
  <c r="I11" i="1"/>
  <c r="M4" i="1" l="1"/>
  <c r="J4" i="1"/>
  <c r="W4" i="1" s="1"/>
  <c r="M8" i="1"/>
  <c r="M24" i="1"/>
  <c r="M9" i="1"/>
  <c r="J13" i="1"/>
  <c r="W13" i="1" s="1"/>
  <c r="J29" i="1"/>
  <c r="W29" i="1" s="1"/>
  <c r="M29" i="1"/>
  <c r="M23" i="1"/>
  <c r="M22" i="1"/>
  <c r="J22" i="1"/>
  <c r="W22" i="1" s="1"/>
  <c r="J15" i="1"/>
  <c r="W15" i="1" s="1"/>
  <c r="M15" i="1"/>
  <c r="M25" i="1"/>
  <c r="J25" i="1"/>
  <c r="W25" i="1" s="1"/>
  <c r="J17" i="1"/>
  <c r="W17" i="1" s="1"/>
  <c r="M17" i="1"/>
  <c r="J21" i="1"/>
  <c r="W21" i="1" s="1"/>
  <c r="M21" i="1"/>
  <c r="J14" i="1"/>
  <c r="W14" i="1" s="1"/>
  <c r="M14" i="1"/>
  <c r="J20" i="1"/>
  <c r="W20" i="1" s="1"/>
  <c r="M20" i="1"/>
  <c r="J28" i="1"/>
  <c r="W28" i="1" s="1"/>
  <c r="M28" i="1"/>
  <c r="M27" i="1"/>
  <c r="J27" i="1"/>
  <c r="W27" i="1" s="1"/>
  <c r="M10" i="1"/>
  <c r="J10" i="1"/>
  <c r="W10" i="1" s="1"/>
  <c r="J33" i="1"/>
  <c r="W33" i="1" s="1"/>
  <c r="M33" i="1"/>
  <c r="M30" i="1"/>
  <c r="J26" i="1"/>
  <c r="W26" i="1" s="1"/>
  <c r="M26" i="1"/>
  <c r="H4" i="1"/>
  <c r="M32" i="1"/>
  <c r="J32" i="1"/>
  <c r="W32" i="1" s="1"/>
  <c r="J16" i="1"/>
  <c r="W16" i="1" s="1"/>
  <c r="M16" i="1"/>
  <c r="R35" i="1"/>
  <c r="M19" i="1"/>
  <c r="J19" i="1"/>
  <c r="W19" i="1" s="1"/>
  <c r="M7" i="1"/>
  <c r="J7" i="1"/>
  <c r="W7" i="1" s="1"/>
  <c r="S3" i="1"/>
  <c r="V4" i="1" s="1"/>
  <c r="P3" i="1"/>
  <c r="M6" i="1"/>
  <c r="J6" i="1"/>
  <c r="W6" i="1" s="1"/>
  <c r="G36" i="1"/>
  <c r="T5" i="1" l="1"/>
  <c r="U4" i="1"/>
  <c r="N4" i="1"/>
  <c r="O4" i="1" s="1"/>
  <c r="H5" i="1"/>
  <c r="V3" i="1"/>
  <c r="I4" i="1"/>
  <c r="T4" i="1" l="1"/>
  <c r="I3" i="1"/>
  <c r="U3" i="1"/>
  <c r="B30" i="1"/>
  <c r="B32" i="1" s="1" a="1"/>
  <c r="B32" i="1" s="1"/>
  <c r="N5" i="1"/>
  <c r="O5" i="1" s="1"/>
  <c r="H6" i="1"/>
  <c r="S4" i="1"/>
  <c r="V5" i="1" s="1"/>
  <c r="P4" i="1"/>
  <c r="T3" i="1"/>
  <c r="I34" i="1"/>
  <c r="I36" i="1" s="1"/>
  <c r="U5" i="1" l="1"/>
  <c r="T6" i="1"/>
  <c r="N6" i="1"/>
  <c r="O6" i="1" s="1"/>
  <c r="H7" i="1"/>
  <c r="S5" i="1"/>
  <c r="V6" i="1" s="1"/>
  <c r="P5" i="1"/>
  <c r="U6" i="1" l="1"/>
  <c r="T7" i="1"/>
  <c r="N7" i="1"/>
  <c r="O7" i="1" s="1"/>
  <c r="H8" i="1"/>
  <c r="P6" i="1"/>
  <c r="S6" i="1"/>
  <c r="V7" i="1" s="1"/>
  <c r="U7" i="1" l="1"/>
  <c r="T8" i="1"/>
  <c r="H9" i="1"/>
  <c r="N8" i="1"/>
  <c r="O8" i="1" s="1"/>
  <c r="P7" i="1"/>
  <c r="S7" i="1"/>
  <c r="V8" i="1" s="1"/>
  <c r="S8" i="1" l="1"/>
  <c r="V9" i="1" s="1"/>
  <c r="P8" i="1"/>
  <c r="U8" i="1"/>
  <c r="T9" i="1"/>
  <c r="H10" i="1"/>
  <c r="N9" i="1"/>
  <c r="O9" i="1" s="1"/>
  <c r="S9" i="1" l="1"/>
  <c r="V10" i="1" s="1"/>
  <c r="P9" i="1"/>
  <c r="N10" i="1"/>
  <c r="O10" i="1" s="1"/>
  <c r="H11" i="1"/>
  <c r="U9" i="1"/>
  <c r="T10" i="1"/>
  <c r="S10" i="1" l="1"/>
  <c r="V11" i="1" s="1"/>
  <c r="P10" i="1"/>
  <c r="N11" i="1"/>
  <c r="O11" i="1" s="1"/>
  <c r="H12" i="1"/>
  <c r="U10" i="1"/>
  <c r="T11" i="1"/>
  <c r="P11" i="1" l="1"/>
  <c r="S11" i="1"/>
  <c r="V12" i="1" s="1"/>
  <c r="H13" i="1"/>
  <c r="N12" i="1"/>
  <c r="O12" i="1" s="1"/>
  <c r="U11" i="1"/>
  <c r="T12" i="1"/>
  <c r="S12" i="1" l="1"/>
  <c r="V13" i="1" s="1"/>
  <c r="P12" i="1"/>
  <c r="U12" i="1"/>
  <c r="T13" i="1"/>
  <c r="H14" i="1"/>
  <c r="N13" i="1"/>
  <c r="O13" i="1" s="1"/>
  <c r="H15" i="1" l="1"/>
  <c r="N14" i="1"/>
  <c r="O14" i="1" s="1"/>
  <c r="S13" i="1"/>
  <c r="V14" i="1" s="1"/>
  <c r="P13" i="1"/>
  <c r="U13" i="1"/>
  <c r="T14" i="1"/>
  <c r="U14" i="1" l="1"/>
  <c r="T15" i="1"/>
  <c r="S14" i="1"/>
  <c r="V15" i="1" s="1"/>
  <c r="P14" i="1"/>
  <c r="H16" i="1"/>
  <c r="N15" i="1"/>
  <c r="O15" i="1" s="1"/>
  <c r="H17" i="1" l="1"/>
  <c r="N16" i="1"/>
  <c r="O16" i="1" s="1"/>
  <c r="S15" i="1"/>
  <c r="V16" i="1" s="1"/>
  <c r="P15" i="1"/>
  <c r="U15" i="1"/>
  <c r="T16" i="1"/>
  <c r="S16" i="1" l="1"/>
  <c r="V17" i="1" s="1"/>
  <c r="P16" i="1"/>
  <c r="U16" i="1"/>
  <c r="T17" i="1"/>
  <c r="H18" i="1"/>
  <c r="N17" i="1"/>
  <c r="O17" i="1" s="1"/>
  <c r="N18" i="1" l="1"/>
  <c r="O18" i="1" s="1"/>
  <c r="H19" i="1"/>
  <c r="S17" i="1"/>
  <c r="V18" i="1" s="1"/>
  <c r="P17" i="1"/>
  <c r="U17" i="1"/>
  <c r="T18" i="1"/>
  <c r="H20" i="1" l="1"/>
  <c r="N19" i="1"/>
  <c r="O19" i="1" s="1"/>
  <c r="T19" i="1"/>
  <c r="U18" i="1"/>
  <c r="S18" i="1"/>
  <c r="V19" i="1" s="1"/>
  <c r="P18" i="1"/>
  <c r="T20" i="1" l="1"/>
  <c r="U19" i="1"/>
  <c r="N20" i="1"/>
  <c r="O20" i="1" s="1"/>
  <c r="H21" i="1"/>
  <c r="P19" i="1"/>
  <c r="S19" i="1"/>
  <c r="V20" i="1" s="1"/>
  <c r="N21" i="1" l="1"/>
  <c r="O21" i="1" s="1"/>
  <c r="H22" i="1"/>
  <c r="T21" i="1"/>
  <c r="U20" i="1"/>
  <c r="P20" i="1"/>
  <c r="S20" i="1"/>
  <c r="V21" i="1" s="1"/>
  <c r="N22" i="1" l="1"/>
  <c r="O22" i="1" s="1"/>
  <c r="H23" i="1"/>
  <c r="T22" i="1"/>
  <c r="U21" i="1"/>
  <c r="S21" i="1"/>
  <c r="V22" i="1" s="1"/>
  <c r="P21" i="1"/>
  <c r="U22" i="1" l="1"/>
  <c r="T23" i="1"/>
  <c r="H24" i="1"/>
  <c r="N23" i="1"/>
  <c r="O23" i="1" s="1"/>
  <c r="S22" i="1"/>
  <c r="V23" i="1" s="1"/>
  <c r="P22" i="1"/>
  <c r="N24" i="1" l="1"/>
  <c r="O24" i="1" s="1"/>
  <c r="H25" i="1"/>
  <c r="U23" i="1"/>
  <c r="T24" i="1"/>
  <c r="S23" i="1"/>
  <c r="V24" i="1" s="1"/>
  <c r="P23" i="1"/>
  <c r="T25" i="1" l="1"/>
  <c r="U24" i="1"/>
  <c r="N25" i="1"/>
  <c r="O25" i="1" s="1"/>
  <c r="H26" i="1"/>
  <c r="P24" i="1"/>
  <c r="S24" i="1"/>
  <c r="V25" i="1" s="1"/>
  <c r="N26" i="1" l="1"/>
  <c r="O26" i="1" s="1"/>
  <c r="H27" i="1"/>
  <c r="T26" i="1"/>
  <c r="U25" i="1"/>
  <c r="P25" i="1"/>
  <c r="S25" i="1"/>
  <c r="V26" i="1" s="1"/>
  <c r="T27" i="1" l="1"/>
  <c r="U26" i="1"/>
  <c r="N27" i="1"/>
  <c r="O27" i="1" s="1"/>
  <c r="H28" i="1"/>
  <c r="P26" i="1"/>
  <c r="S26" i="1"/>
  <c r="V27" i="1" s="1"/>
  <c r="N28" i="1" l="1"/>
  <c r="O28" i="1" s="1"/>
  <c r="H29" i="1"/>
  <c r="U27" i="1"/>
  <c r="T28" i="1"/>
  <c r="S27" i="1"/>
  <c r="V28" i="1" s="1"/>
  <c r="P27" i="1"/>
  <c r="U28" i="1" l="1"/>
  <c r="T29" i="1"/>
  <c r="N29" i="1"/>
  <c r="O29" i="1" s="1"/>
  <c r="H30" i="1"/>
  <c r="S28" i="1"/>
  <c r="V29" i="1" s="1"/>
  <c r="P28" i="1"/>
  <c r="N30" i="1" l="1"/>
  <c r="O30" i="1" s="1"/>
  <c r="H31" i="1"/>
  <c r="U29" i="1"/>
  <c r="T30" i="1"/>
  <c r="P29" i="1"/>
  <c r="S29" i="1"/>
  <c r="V30" i="1" s="1"/>
  <c r="H32" i="1" l="1"/>
  <c r="N31" i="1"/>
  <c r="O31" i="1" s="1"/>
  <c r="U30" i="1"/>
  <c r="T31" i="1"/>
  <c r="P30" i="1"/>
  <c r="S30" i="1"/>
  <c r="V31" i="1" s="1"/>
  <c r="S31" i="1" l="1"/>
  <c r="V32" i="1" s="1"/>
  <c r="P31" i="1"/>
  <c r="U31" i="1"/>
  <c r="T32" i="1"/>
  <c r="N32" i="1"/>
  <c r="O32" i="1" s="1"/>
  <c r="H33" i="1"/>
  <c r="S32" i="1" l="1"/>
  <c r="V33" i="1" s="1"/>
  <c r="U33" i="1" s="1"/>
  <c r="P32" i="1"/>
  <c r="N33" i="1"/>
  <c r="O33" i="1" s="1"/>
  <c r="H36" i="1"/>
  <c r="T33" i="1"/>
  <c r="U32" i="1"/>
  <c r="P33" i="1" l="1"/>
  <c r="J36" i="1" s="1"/>
  <c r="S33" i="1"/>
  <c r="U3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<sst xmlns="http://schemas.openxmlformats.org/spreadsheetml/2006/main" count="87" uniqueCount="67">
  <si>
    <t xml:space="preserve"> </t>
  </si>
  <si>
    <t>Beta</t>
  </si>
  <si>
    <t>Gamma</t>
  </si>
  <si>
    <t>Sigma</t>
  </si>
  <si>
    <t>Phi</t>
  </si>
  <si>
    <t>Parameters</t>
  </si>
  <si>
    <t>Exogenous variables</t>
  </si>
  <si>
    <t>Interest rate</t>
  </si>
  <si>
    <t>Period</t>
  </si>
  <si>
    <t>Labor</t>
  </si>
  <si>
    <t>Income</t>
  </si>
  <si>
    <t>Saving</t>
  </si>
  <si>
    <t>Utility</t>
  </si>
  <si>
    <t>Consumption</t>
  </si>
  <si>
    <t>Sum</t>
  </si>
  <si>
    <t>Sav</t>
  </si>
  <si>
    <t>Income tax rate</t>
  </si>
  <si>
    <t>Consumption tax rate</t>
  </si>
  <si>
    <t>Interest rate tax</t>
  </si>
  <si>
    <t>No taxes</t>
  </si>
  <si>
    <t>Labor tax</t>
  </si>
  <si>
    <t>High Interest Rate</t>
  </si>
  <si>
    <t xml:space="preserve">Low Interest Rate </t>
  </si>
  <si>
    <t>Welfare</t>
  </si>
  <si>
    <t>Wage</t>
  </si>
  <si>
    <t>Assets</t>
  </si>
  <si>
    <t>Natural Rate</t>
  </si>
  <si>
    <t>lambda0</t>
  </si>
  <si>
    <t>Lbar</t>
  </si>
  <si>
    <t>Cbar</t>
  </si>
  <si>
    <t>Lambda</t>
  </si>
  <si>
    <t>EXERCISE 5.3: Consumption-leisure decision with taxes</t>
  </si>
  <si>
    <t>Wage1</t>
  </si>
  <si>
    <t>Rev from C</t>
  </si>
  <si>
    <t>Rev from W</t>
  </si>
  <si>
    <t>Rev from B</t>
  </si>
  <si>
    <t>Total Rev</t>
  </si>
  <si>
    <t>This is an exercise for solving and simulating a model for interet rate or base wage changes, under no taxes and alternative income and consumption tax regimes.  We will leave out the tax rates on the interest receipts.</t>
  </si>
  <si>
    <t xml:space="preserve">The way to compare the effects of the tax regimes is to look at the welfare measure,  the some of column I, the discounted utilities. </t>
  </si>
  <si>
    <t xml:space="preserve">One specific exercises:  compare the consumption tax, the income tax and a mixed indome tax under revenue neutral regimes.  In other words, given the starting values, the tax rates on consumption or wage income or both are calibrated to generate the same steady state revenue.  Then do some wage changes or interest rate changes under the alternative tax regimes and compare the welfare effects.  </t>
  </si>
  <si>
    <t xml:space="preserve">Notes on Exercise. </t>
  </si>
  <si>
    <t xml:space="preserve">The parameters are all specified, except for gamma, the coefficient of the ditulity of labor.  Given that we want ot set labor at .33 and have the Frisch coefficient preset, this means that the Gamma has to adjust for the first-order condition for labor. </t>
  </si>
  <si>
    <t>Once you change a parameter, you need to go to the solver to find the optimal consumption and labor supply path subject to the no-Ponzi game condition.</t>
  </si>
  <si>
    <t>Revenue neutral tax regimes.</t>
  </si>
  <si>
    <t>Since the steady states for c, income are the same in zero taxes:</t>
  </si>
  <si>
    <t>1.  try setting tau_c = .2  tau_w = 0,  look at revenue and welfare</t>
  </si>
  <si>
    <t>2   try setting tau_c = 0, tau_w = .2, look at revenue and welfare</t>
  </si>
  <si>
    <t xml:space="preserve">2.  try setting tau_w = tau_c = .1, look at revenue and welfare. </t>
  </si>
  <si>
    <t>Given that we have to have taxes, which regime is better in terms of average welfare and welfare?</t>
  </si>
  <si>
    <t>Dis Rev</t>
  </si>
  <si>
    <t>Discounted Revenue</t>
  </si>
  <si>
    <t>Both</t>
  </si>
  <si>
    <t>A</t>
  </si>
  <si>
    <t>B</t>
  </si>
  <si>
    <t>A_i</t>
  </si>
  <si>
    <t>B_i</t>
  </si>
  <si>
    <t>CEC factor</t>
  </si>
  <si>
    <t>xi</t>
  </si>
  <si>
    <t>rho</t>
  </si>
  <si>
    <t>omega</t>
  </si>
  <si>
    <t>Gbar</t>
  </si>
  <si>
    <t xml:space="preserve">Ctilde </t>
  </si>
  <si>
    <t>G</t>
  </si>
  <si>
    <t>Ctilde</t>
  </si>
  <si>
    <t>Lambda1</t>
  </si>
  <si>
    <t>Utility1</t>
  </si>
  <si>
    <t>lambda1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</si>
</sst>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0"/>
      <name val="Arial"/>
      <family val="2"/>
    </font>
    <font>
      <b/>
      <sz val="11"/>
      <name val="Times New Roman"/>
      <family val="1"/>
    </font>
    <font>
      <sz val="11"/>
      <name val="Times New Roman"/>
      <family val="1"/>
    </font>
    <font>
      <b/>
      <i/>
      <sz val="11"/>
      <color theme="0"/>
      <name val="Times New Roman"/>
      <family val="1"/>
    </font>
    <font>
      <sz val="11"/>
      <color theme="0"/>
      <name val="Times New Roman"/>
      <family val="1"/>
    </font>
    <font>
      <b/>
      <sz val="11"/>
      <color theme="0"/>
      <name val="Times New Roman"/>
      <family val="1"/>
    </font>
  </fonts>
  <fills count="5">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1" tint="0.34998626667073579"/>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s>
  <cellStyleXfs count="1">
    <xf numFmtId="0" fontId="0" fillId="0" borderId="0"/>
  </cellStyleXfs>
  <cellXfs count="23">
    <xf numFmtId="0" fontId="0" fillId="0" borderId="0" xfId="0"/>
    <xf numFmtId="0" fontId="2" fillId="0" borderId="0" xfId="0" applyFont="1"/>
    <xf numFmtId="0" fontId="1" fillId="0" borderId="0" xfId="0" applyFont="1"/>
    <xf numFmtId="0" fontId="1" fillId="0" borderId="0" xfId="0" applyFont="1" applyAlignment="1">
      <alignment horizontal="center"/>
    </xf>
    <xf numFmtId="164" fontId="2" fillId="0" borderId="0" xfId="0" applyNumberFormat="1" applyFont="1"/>
    <xf numFmtId="2" fontId="2" fillId="0" borderId="0" xfId="0" applyNumberFormat="1" applyFont="1"/>
    <xf numFmtId="0" fontId="1" fillId="2"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2" fillId="3" borderId="5" xfId="0" applyFont="1" applyFill="1" applyBorder="1"/>
    <xf numFmtId="0" fontId="3" fillId="4" borderId="6" xfId="0" applyFont="1" applyFill="1" applyBorder="1"/>
    <xf numFmtId="0" fontId="4" fillId="4" borderId="7" xfId="0" applyFont="1" applyFill="1" applyBorder="1"/>
    <xf numFmtId="0" fontId="2" fillId="3" borderId="2" xfId="0" applyFont="1" applyFill="1" applyBorder="1" applyAlignment="1">
      <alignment horizontal="center"/>
    </xf>
    <xf numFmtId="2" fontId="2" fillId="3" borderId="0" xfId="0" applyNumberFormat="1" applyFont="1" applyFill="1"/>
    <xf numFmtId="2" fontId="2" fillId="3" borderId="3" xfId="0" applyNumberFormat="1" applyFont="1" applyFill="1" applyBorder="1"/>
    <xf numFmtId="0" fontId="5" fillId="4" borderId="6" xfId="0" applyFont="1" applyFill="1" applyBorder="1" applyAlignment="1">
      <alignment horizontal="center"/>
    </xf>
    <xf numFmtId="0" fontId="5" fillId="4" borderId="8" xfId="0" applyFont="1" applyFill="1" applyBorder="1" applyAlignment="1">
      <alignment horizontal="right"/>
    </xf>
    <xf numFmtId="0" fontId="5" fillId="4" borderId="7" xfId="0" applyFont="1" applyFill="1" applyBorder="1" applyAlignment="1">
      <alignment horizontal="right"/>
    </xf>
    <xf numFmtId="0" fontId="1" fillId="3" borderId="4" xfId="0" applyFont="1" applyFill="1" applyBorder="1" applyAlignment="1">
      <alignment horizontal="center"/>
    </xf>
    <xf numFmtId="2" fontId="1" fillId="3" borderId="9" xfId="0" applyNumberFormat="1" applyFont="1" applyFill="1" applyBorder="1"/>
    <xf numFmtId="2" fontId="1" fillId="3" borderId="5" xfId="0" applyNumberFormat="1" applyFont="1" applyFill="1" applyBorder="1"/>
    <xf numFmtId="165" fontId="2" fillId="0" borderId="0" xfId="0" applyNumberFormat="1"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3B3B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48"/>
  <sheetViews>
    <sheetView tabSelected="1" topLeftCell="M12" workbookViewId="0">
      <selection activeCell="P36" sqref="P36"/>
    </sheetView>
  </sheetViews>
  <sheetFormatPr defaultColWidth="11.59765625" defaultRowHeight="13.9" x14ac:dyDescent="0.4"/>
  <cols>
    <col min="1" max="1" width="42.59765625" style="1" customWidth="1"/>
    <col min="2" max="2" width="6.73046875" style="1" customWidth="1"/>
    <col min="3" max="3" width="4.265625" style="1" customWidth="1"/>
    <col min="4" max="4" width="9.1328125" style="1" customWidth="1"/>
    <col min="5" max="5" width="12.265625" style="1" customWidth="1"/>
    <col min="6" max="6" width="8.1328125" style="1" customWidth="1"/>
    <col min="7" max="7" width="7.86328125" style="1" customWidth="1"/>
    <col min="8" max="8" width="9.1328125" style="1" customWidth="1"/>
    <col min="9" max="9" width="8.59765625" style="1" customWidth="1"/>
    <col min="10" max="10" width="22.265625" style="1" customWidth="1"/>
    <col min="11" max="16384" width="11.59765625" style="1"/>
  </cols>
  <sheetData>
    <row r="1" spans="1:64" ht="14.25" thickBot="1" x14ac:dyDescent="0.45">
      <c r="A1" s="6" t="s">
        <v>31</v>
      </c>
      <c r="L1" s="1" t="s">
        <v>33</v>
      </c>
      <c r="M1" s="1" t="s">
        <v>34</v>
      </c>
      <c r="N1" s="1" t="s">
        <v>35</v>
      </c>
      <c r="O1" s="1" t="s">
        <v>36</v>
      </c>
      <c r="P1" s="1" t="s">
        <v>49</v>
      </c>
      <c r="Q1" s="1" t="s">
        <v>52</v>
      </c>
      <c r="R1" s="1" t="s">
        <v>53</v>
      </c>
      <c r="S1" s="1" t="s">
        <v>62</v>
      </c>
      <c r="T1" s="1" t="s">
        <v>64</v>
      </c>
      <c r="U1" s="1" t="s">
        <v>65</v>
      </c>
      <c r="V1" s="1" t="s">
        <v>63</v>
      </c>
      <c r="X1" s="1" t="s">
        <v>40</v>
      </c>
      <c r="BI1" s="2"/>
    </row>
    <row r="2" spans="1:64" ht="14.25" thickBot="1" x14ac:dyDescent="0.45">
      <c r="A2" s="1" t="s">
        <v>0</v>
      </c>
      <c r="D2" s="16" t="s">
        <v>8</v>
      </c>
      <c r="E2" s="17" t="s">
        <v>13</v>
      </c>
      <c r="F2" s="17" t="s">
        <v>9</v>
      </c>
      <c r="G2" s="17" t="s">
        <v>10</v>
      </c>
      <c r="H2" s="17" t="s">
        <v>25</v>
      </c>
      <c r="I2" s="18" t="s">
        <v>12</v>
      </c>
      <c r="J2" s="1" t="s">
        <v>15</v>
      </c>
      <c r="K2" s="1" t="s">
        <v>30</v>
      </c>
      <c r="S2" s="1" t="s">
        <v>62</v>
      </c>
      <c r="X2" s="1" t="s">
        <v>37</v>
      </c>
      <c r="BI2" s="3"/>
      <c r="BJ2" s="3"/>
      <c r="BK2" s="3"/>
    </row>
    <row r="3" spans="1:64" x14ac:dyDescent="0.4">
      <c r="A3" s="11" t="s">
        <v>5</v>
      </c>
      <c r="B3" s="12"/>
      <c r="D3" s="13">
        <v>0</v>
      </c>
      <c r="E3" s="14">
        <f>Cbar</f>
        <v>5.2799999999999994</v>
      </c>
      <c r="F3" s="14">
        <f>(Wbar*(1-tau_w) * K3/Gamma)^Phi</f>
        <v>0.33333333333333331</v>
      </c>
      <c r="G3" s="14">
        <f t="shared" ref="G3:G33" si="0">Wbar*(1-tau_w)*F3</f>
        <v>6.5999999999999988</v>
      </c>
      <c r="H3" s="14">
        <f>G3-E3*(1+tau_c)</f>
        <v>0</v>
      </c>
      <c r="I3" s="15">
        <f>Beta^V3*((E3^(1-Sigma)-1)/(1-Sigma)-Gamma*((F3^(1+(1/Phi)))/(1+(1/Phi))))</f>
        <v>0.84934617140167823</v>
      </c>
      <c r="J3" s="22">
        <f t="shared" ref="J3:J33" si="1">G3-E3*(1+tau_c)</f>
        <v>0</v>
      </c>
      <c r="K3" s="1">
        <f t="shared" ref="K3:K33" si="2" xml:space="preserve"> E3^(-Sigma)/(1+tau_c)</f>
        <v>6.5938506043824924E-2</v>
      </c>
      <c r="L3" s="1">
        <f t="shared" ref="L3:L33" si="3">tau_c*E3</f>
        <v>1.3199999999999998</v>
      </c>
      <c r="M3" s="1">
        <f t="shared" ref="M3:M33" si="4">tau_w*G3</f>
        <v>2.2439999999999998</v>
      </c>
      <c r="N3" s="1">
        <f t="shared" ref="N3:N33" si="5">IF(H3&gt;0,tau_ret*R_0* H3,0)</f>
        <v>0</v>
      </c>
      <c r="O3" s="1">
        <f>L3+M3+N3</f>
        <v>3.5639999999999996</v>
      </c>
      <c r="P3" s="1">
        <f t="shared" ref="P3:P33" si="6">Beta^D3 * O3</f>
        <v>3.5639999999999996</v>
      </c>
      <c r="Q3" s="1">
        <f t="shared" ref="Q3:Q33" si="7">Beta^D3*E3^(1-Sigma)</f>
        <v>0.4351941398892446</v>
      </c>
      <c r="R3" s="1">
        <f t="shared" ref="R3:R33" si="8">Beta^D3*F3^(1+1/Phi)/(1+1/Phi)</f>
        <v>1.2345679012345678E-2</v>
      </c>
      <c r="S3" s="1">
        <f>O3</f>
        <v>3.5639999999999996</v>
      </c>
      <c r="T3" s="1">
        <f t="shared" ref="T3" si="9">(1-omega) * E3^(rho-1)*V3^(1-rho-Sigma)</f>
        <v>6.5938506043824938E-2</v>
      </c>
      <c r="U3" s="1">
        <f t="shared" ref="U3:U33" si="10">Beta^D3*((V3^(1-Sigma)-1)/(1-Sigma)-Gamma*((F3^(1+(1/Phi)))/(1+(1/Phi))))</f>
        <v>0.94674408749288441</v>
      </c>
      <c r="V3" s="1">
        <f t="shared" ref="V3" si="11">((1-omega)*E3^rho+omega*S3^rho)^(1/rho)</f>
        <v>4.8495943514730984</v>
      </c>
    </row>
    <row r="4" spans="1:64" x14ac:dyDescent="0.4">
      <c r="A4" s="7" t="s">
        <v>1</v>
      </c>
      <c r="B4" s="8">
        <v>0.97</v>
      </c>
      <c r="D4" s="13">
        <f>D3+1</f>
        <v>1</v>
      </c>
      <c r="E4" s="14">
        <f>Cbar</f>
        <v>5.2799999999999994</v>
      </c>
      <c r="F4" s="14">
        <f t="shared" ref="F4:F33" si="12">(W_1*(1-tau_w) * K4/Gamma)^Phi</f>
        <v>0.33333333333333331</v>
      </c>
      <c r="G4" s="14">
        <f t="shared" si="0"/>
        <v>6.5999999999999988</v>
      </c>
      <c r="H4" s="14">
        <f t="shared" ref="H4:H33" si="13">IF(H3&gt;0, 1+R_0*(1-tau_ret), 1+R_0)*H3 + G4 - E4*(1+tau_c)</f>
        <v>0</v>
      </c>
      <c r="I4" s="15">
        <f>Beta^V4*((E4^(1-Sigma)-1)/(1-Sigma)-Gamma*((F4^(1+(1/Phi)))/(1+(1/Phi))))</f>
        <v>0.84934617140167823</v>
      </c>
      <c r="J4" s="22">
        <f>G4-E4*(1+tau_c)</f>
        <v>0</v>
      </c>
      <c r="K4" s="1">
        <f t="shared" si="2"/>
        <v>6.5938506043824924E-2</v>
      </c>
      <c r="L4" s="1">
        <f t="shared" si="3"/>
        <v>1.3199999999999998</v>
      </c>
      <c r="M4" s="1">
        <f t="shared" si="4"/>
        <v>2.2439999999999998</v>
      </c>
      <c r="N4" s="1">
        <f t="shared" si="5"/>
        <v>0</v>
      </c>
      <c r="O4" s="1">
        <f t="shared" ref="O4:O33" si="14">L4+M4+N4</f>
        <v>3.5639999999999996</v>
      </c>
      <c r="P4" s="1">
        <f t="shared" si="6"/>
        <v>3.4570799999999995</v>
      </c>
      <c r="Q4" s="1">
        <f t="shared" si="7"/>
        <v>0.42213831569256727</v>
      </c>
      <c r="R4" s="1">
        <f t="shared" si="8"/>
        <v>1.1975308641975308E-2</v>
      </c>
      <c r="S4" s="1">
        <f t="shared" ref="S4:S46" si="15">O4</f>
        <v>3.5639999999999996</v>
      </c>
      <c r="T4" s="1">
        <f t="shared" ref="T4:T33" si="16">(1-omega) * E4^(rho-1)*V3^(1-rho-Sigma)</f>
        <v>6.5938506043824938E-2</v>
      </c>
      <c r="U4" s="1">
        <f t="shared" si="10"/>
        <v>0.91834176486809782</v>
      </c>
      <c r="V4" s="1">
        <f t="shared" ref="V4:V33" si="17">((1-omega)*E4^rho+omega*S3^rho)^(1/rho)</f>
        <v>4.8495943514730984</v>
      </c>
      <c r="W4" s="1">
        <f>J4/G4</f>
        <v>0</v>
      </c>
    </row>
    <row r="5" spans="1:64" x14ac:dyDescent="0.4">
      <c r="A5" s="7" t="s">
        <v>3</v>
      </c>
      <c r="B5" s="8">
        <v>1.5</v>
      </c>
      <c r="D5" s="13">
        <f t="shared" ref="D5:D33" si="18">D4+1</f>
        <v>2</v>
      </c>
      <c r="E5" s="14">
        <f>Cbar</f>
        <v>5.2799999999999994</v>
      </c>
      <c r="F5" s="14">
        <f t="shared" si="12"/>
        <v>0.33333333333333331</v>
      </c>
      <c r="G5" s="14">
        <f t="shared" si="0"/>
        <v>6.5999999999999988</v>
      </c>
      <c r="H5" s="14">
        <f t="shared" si="13"/>
        <v>0</v>
      </c>
      <c r="I5" s="15">
        <f t="shared" ref="I5:I33" si="19">Beta^D5*((E5^(1-Sigma)-1)/(1-Sigma)-Gamma*((F5^(1+(1/Phi)))/(1+(1/Phi))))</f>
        <v>0.92636027881582284</v>
      </c>
      <c r="J5" s="22">
        <f t="shared" si="1"/>
        <v>0</v>
      </c>
      <c r="K5" s="1">
        <f t="shared" si="2"/>
        <v>6.5938506043824924E-2</v>
      </c>
      <c r="L5" s="1">
        <f t="shared" si="3"/>
        <v>1.3199999999999998</v>
      </c>
      <c r="M5" s="1">
        <f t="shared" si="4"/>
        <v>2.2439999999999998</v>
      </c>
      <c r="N5" s="1">
        <f t="shared" si="5"/>
        <v>0</v>
      </c>
      <c r="O5" s="1">
        <f t="shared" si="14"/>
        <v>3.5639999999999996</v>
      </c>
      <c r="P5" s="1">
        <f t="shared" si="6"/>
        <v>3.3533675999999994</v>
      </c>
      <c r="Q5" s="1">
        <f t="shared" si="7"/>
        <v>0.40947416622179023</v>
      </c>
      <c r="R5" s="1">
        <f t="shared" si="8"/>
        <v>1.1616049382716048E-2</v>
      </c>
      <c r="S5" s="1">
        <f t="shared" si="15"/>
        <v>3.5639999999999996</v>
      </c>
      <c r="T5" s="1">
        <f t="shared" si="16"/>
        <v>6.5938506043824938E-2</v>
      </c>
      <c r="U5" s="1">
        <f t="shared" si="10"/>
        <v>0.89079151192205486</v>
      </c>
      <c r="V5" s="1">
        <f t="shared" si="17"/>
        <v>4.8495943514730984</v>
      </c>
      <c r="W5" s="1">
        <f t="shared" ref="W5:W33" si="20">J5/G5</f>
        <v>0</v>
      </c>
    </row>
    <row r="6" spans="1:64" x14ac:dyDescent="0.4">
      <c r="A6" s="7" t="s">
        <v>2</v>
      </c>
      <c r="B6" s="8">
        <f>(Wbar * (1-tau_w) *lambda0)/(Lbar^(1/Phi))</f>
        <v>11.750241777009601</v>
      </c>
      <c r="D6" s="13">
        <f t="shared" si="18"/>
        <v>3</v>
      </c>
      <c r="E6" s="14">
        <f>Cbar</f>
        <v>5.2799999999999994</v>
      </c>
      <c r="F6" s="14">
        <f t="shared" si="12"/>
        <v>0.33333333333333331</v>
      </c>
      <c r="G6" s="14">
        <f t="shared" si="0"/>
        <v>6.5999999999999988</v>
      </c>
      <c r="H6" s="14">
        <f t="shared" si="13"/>
        <v>0</v>
      </c>
      <c r="I6" s="15">
        <f t="shared" si="19"/>
        <v>0.89856947045134805</v>
      </c>
      <c r="J6" s="22">
        <f t="shared" si="1"/>
        <v>0</v>
      </c>
      <c r="K6" s="1">
        <f t="shared" si="2"/>
        <v>6.5938506043824924E-2</v>
      </c>
      <c r="L6" s="1">
        <f t="shared" si="3"/>
        <v>1.3199999999999998</v>
      </c>
      <c r="M6" s="1">
        <f t="shared" si="4"/>
        <v>2.2439999999999998</v>
      </c>
      <c r="N6" s="1">
        <f t="shared" si="5"/>
        <v>0</v>
      </c>
      <c r="O6" s="1">
        <f t="shared" si="14"/>
        <v>3.5639999999999996</v>
      </c>
      <c r="P6" s="1">
        <f t="shared" si="6"/>
        <v>3.2527665719999996</v>
      </c>
      <c r="Q6" s="1">
        <f t="shared" si="7"/>
        <v>0.39718994123513651</v>
      </c>
      <c r="R6" s="1">
        <f t="shared" si="8"/>
        <v>1.1267567901234567E-2</v>
      </c>
      <c r="S6" s="1">
        <f t="shared" si="15"/>
        <v>3.5639999999999996</v>
      </c>
      <c r="T6" s="1">
        <f t="shared" si="16"/>
        <v>6.5938506043824938E-2</v>
      </c>
      <c r="U6" s="1">
        <f t="shared" si="10"/>
        <v>0.86406776656439321</v>
      </c>
      <c r="V6" s="1">
        <f t="shared" si="17"/>
        <v>4.8495943514730984</v>
      </c>
      <c r="W6" s="1">
        <f t="shared" si="20"/>
        <v>0</v>
      </c>
      <c r="X6" s="1" t="s">
        <v>38</v>
      </c>
    </row>
    <row r="7" spans="1:64" ht="14.25" thickBot="1" x14ac:dyDescent="0.45">
      <c r="A7" s="9" t="s">
        <v>4</v>
      </c>
      <c r="B7" s="10">
        <v>0.5</v>
      </c>
      <c r="D7" s="13">
        <f t="shared" si="18"/>
        <v>4</v>
      </c>
      <c r="E7" s="14">
        <f>Cbar</f>
        <v>5.2799999999999994</v>
      </c>
      <c r="F7" s="14">
        <f t="shared" si="12"/>
        <v>0.33333333333333331</v>
      </c>
      <c r="G7" s="14">
        <f t="shared" si="0"/>
        <v>6.5999999999999988</v>
      </c>
      <c r="H7" s="14">
        <f t="shared" si="13"/>
        <v>0</v>
      </c>
      <c r="I7" s="15">
        <f t="shared" si="19"/>
        <v>0.87161238633780758</v>
      </c>
      <c r="J7" s="22">
        <f t="shared" si="1"/>
        <v>0</v>
      </c>
      <c r="K7" s="1">
        <f t="shared" si="2"/>
        <v>6.5938506043824924E-2</v>
      </c>
      <c r="L7" s="1">
        <f t="shared" si="3"/>
        <v>1.3199999999999998</v>
      </c>
      <c r="M7" s="1">
        <f t="shared" si="4"/>
        <v>2.2439999999999998</v>
      </c>
      <c r="N7" s="1">
        <f t="shared" si="5"/>
        <v>0</v>
      </c>
      <c r="O7" s="1">
        <f t="shared" si="14"/>
        <v>3.5639999999999996</v>
      </c>
      <c r="P7" s="1">
        <f t="shared" si="6"/>
        <v>3.1551835748399992</v>
      </c>
      <c r="Q7" s="1">
        <f t="shared" si="7"/>
        <v>0.38527424299808244</v>
      </c>
      <c r="R7" s="1">
        <f t="shared" si="8"/>
        <v>1.0929540864197529E-2</v>
      </c>
      <c r="S7" s="1">
        <f t="shared" si="15"/>
        <v>3.5639999999999996</v>
      </c>
      <c r="T7" s="1">
        <f t="shared" si="16"/>
        <v>6.5938506043824938E-2</v>
      </c>
      <c r="U7" s="1">
        <f t="shared" si="10"/>
        <v>0.83814573356746147</v>
      </c>
      <c r="V7" s="1">
        <f t="shared" si="17"/>
        <v>4.8495943514730984</v>
      </c>
      <c r="W7" s="1">
        <f t="shared" si="20"/>
        <v>0</v>
      </c>
    </row>
    <row r="8" spans="1:64" ht="14.25" thickBot="1" x14ac:dyDescent="0.45">
      <c r="D8" s="13">
        <f t="shared" si="18"/>
        <v>5</v>
      </c>
      <c r="E8" s="14">
        <f>Cbar</f>
        <v>5.2799999999999994</v>
      </c>
      <c r="F8" s="14">
        <f t="shared" si="12"/>
        <v>0.33333333333333331</v>
      </c>
      <c r="G8" s="14">
        <f t="shared" si="0"/>
        <v>6.5999999999999988</v>
      </c>
      <c r="H8" s="14">
        <f t="shared" si="13"/>
        <v>0</v>
      </c>
      <c r="I8" s="15">
        <f t="shared" si="19"/>
        <v>0.84546401474767341</v>
      </c>
      <c r="J8" s="22">
        <f t="shared" si="1"/>
        <v>0</v>
      </c>
      <c r="K8" s="1">
        <f t="shared" si="2"/>
        <v>6.5938506043824924E-2</v>
      </c>
      <c r="L8" s="1">
        <f t="shared" si="3"/>
        <v>1.3199999999999998</v>
      </c>
      <c r="M8" s="1">
        <f t="shared" si="4"/>
        <v>2.2439999999999998</v>
      </c>
      <c r="N8" s="1">
        <f t="shared" si="5"/>
        <v>0</v>
      </c>
      <c r="O8" s="1">
        <f t="shared" si="14"/>
        <v>3.5639999999999996</v>
      </c>
      <c r="P8" s="1">
        <f t="shared" si="6"/>
        <v>3.0605280675947992</v>
      </c>
      <c r="Q8" s="1">
        <f t="shared" si="7"/>
        <v>0.37371601570813995</v>
      </c>
      <c r="R8" s="1">
        <f t="shared" si="8"/>
        <v>1.0601654638271604E-2</v>
      </c>
      <c r="S8" s="1">
        <f t="shared" si="15"/>
        <v>3.5639999999999996</v>
      </c>
      <c r="T8" s="1">
        <f t="shared" si="16"/>
        <v>6.5938506043824938E-2</v>
      </c>
      <c r="U8" s="1">
        <f t="shared" si="10"/>
        <v>0.81300136156043756</v>
      </c>
      <c r="V8" s="1">
        <f t="shared" si="17"/>
        <v>4.8495943514730984</v>
      </c>
      <c r="W8" s="1">
        <f t="shared" si="20"/>
        <v>0</v>
      </c>
      <c r="BL8" s="4"/>
    </row>
    <row r="9" spans="1:64" x14ac:dyDescent="0.4">
      <c r="A9" s="11" t="s">
        <v>6</v>
      </c>
      <c r="B9" s="12"/>
      <c r="D9" s="13">
        <f t="shared" si="18"/>
        <v>6</v>
      </c>
      <c r="E9" s="14">
        <f>Cbar</f>
        <v>5.2799999999999994</v>
      </c>
      <c r="F9" s="14">
        <f t="shared" si="12"/>
        <v>0.33333333333333331</v>
      </c>
      <c r="G9" s="14">
        <f t="shared" si="0"/>
        <v>6.5999999999999988</v>
      </c>
      <c r="H9" s="14">
        <f t="shared" si="13"/>
        <v>0</v>
      </c>
      <c r="I9" s="15">
        <f t="shared" si="19"/>
        <v>0.82010009430524322</v>
      </c>
      <c r="J9" s="22">
        <f t="shared" si="1"/>
        <v>0</v>
      </c>
      <c r="K9" s="1">
        <f t="shared" si="2"/>
        <v>6.5938506043824924E-2</v>
      </c>
      <c r="L9" s="1">
        <f t="shared" si="3"/>
        <v>1.3199999999999998</v>
      </c>
      <c r="M9" s="1">
        <f t="shared" si="4"/>
        <v>2.2439999999999998</v>
      </c>
      <c r="N9" s="1">
        <f t="shared" si="5"/>
        <v>0</v>
      </c>
      <c r="O9" s="1">
        <f t="shared" si="14"/>
        <v>3.5639999999999996</v>
      </c>
      <c r="P9" s="1">
        <f t="shared" si="6"/>
        <v>2.9687122255669554</v>
      </c>
      <c r="Q9" s="1">
        <f t="shared" si="7"/>
        <v>0.36250453523689574</v>
      </c>
      <c r="R9" s="1">
        <f t="shared" si="8"/>
        <v>1.0283604999123454E-2</v>
      </c>
      <c r="S9" s="1">
        <f t="shared" si="15"/>
        <v>3.5639999999999996</v>
      </c>
      <c r="T9" s="1">
        <f t="shared" si="16"/>
        <v>6.5938506043824938E-2</v>
      </c>
      <c r="U9" s="1">
        <f t="shared" si="10"/>
        <v>0.7886113207136245</v>
      </c>
      <c r="V9" s="1">
        <f t="shared" si="17"/>
        <v>4.8495943514730984</v>
      </c>
      <c r="W9" s="1">
        <f t="shared" si="20"/>
        <v>0</v>
      </c>
    </row>
    <row r="10" spans="1:64" ht="14.25" thickBot="1" x14ac:dyDescent="0.45">
      <c r="A10" s="9" t="s">
        <v>7</v>
      </c>
      <c r="B10" s="10">
        <v>0.04</v>
      </c>
      <c r="D10" s="13">
        <f t="shared" si="18"/>
        <v>7</v>
      </c>
      <c r="E10" s="14">
        <f>Cbar</f>
        <v>5.2799999999999994</v>
      </c>
      <c r="F10" s="14">
        <f t="shared" si="12"/>
        <v>0.33333333333333331</v>
      </c>
      <c r="G10" s="14">
        <f t="shared" si="0"/>
        <v>6.5999999999999988</v>
      </c>
      <c r="H10" s="14">
        <f t="shared" si="13"/>
        <v>0</v>
      </c>
      <c r="I10" s="15">
        <f t="shared" si="19"/>
        <v>0.79549709147608594</v>
      </c>
      <c r="J10" s="22">
        <f t="shared" si="1"/>
        <v>0</v>
      </c>
      <c r="K10" s="1">
        <f t="shared" si="2"/>
        <v>6.5938506043824924E-2</v>
      </c>
      <c r="L10" s="1">
        <f t="shared" si="3"/>
        <v>1.3199999999999998</v>
      </c>
      <c r="M10" s="1">
        <f t="shared" si="4"/>
        <v>2.2439999999999998</v>
      </c>
      <c r="N10" s="1">
        <f t="shared" si="5"/>
        <v>0</v>
      </c>
      <c r="O10" s="1">
        <f t="shared" si="14"/>
        <v>3.5639999999999996</v>
      </c>
      <c r="P10" s="1">
        <f t="shared" si="6"/>
        <v>2.8796508587999465</v>
      </c>
      <c r="Q10" s="1">
        <f t="shared" si="7"/>
        <v>0.35162939917978886</v>
      </c>
      <c r="R10" s="1">
        <f t="shared" si="8"/>
        <v>9.9750968491497515E-3</v>
      </c>
      <c r="S10" s="1">
        <f t="shared" si="15"/>
        <v>3.5639999999999996</v>
      </c>
      <c r="T10" s="1">
        <f t="shared" si="16"/>
        <v>6.5938506043824938E-2</v>
      </c>
      <c r="U10" s="1">
        <f t="shared" si="10"/>
        <v>0.76495298109221566</v>
      </c>
      <c r="V10" s="1">
        <f t="shared" si="17"/>
        <v>4.8495943514730984</v>
      </c>
      <c r="W10" s="1">
        <f t="shared" si="20"/>
        <v>0</v>
      </c>
      <c r="X10" s="1" t="s">
        <v>39</v>
      </c>
    </row>
    <row r="11" spans="1:64" x14ac:dyDescent="0.4">
      <c r="A11" s="1" t="s">
        <v>26</v>
      </c>
      <c r="B11" s="1">
        <f>1/Beta - 1</f>
        <v>3.0927835051546504E-2</v>
      </c>
      <c r="D11" s="13">
        <f t="shared" si="18"/>
        <v>8</v>
      </c>
      <c r="E11" s="14">
        <f>Cbar</f>
        <v>5.2799999999999994</v>
      </c>
      <c r="F11" s="14">
        <f t="shared" si="12"/>
        <v>0.33333333333333331</v>
      </c>
      <c r="G11" s="14">
        <f t="shared" si="0"/>
        <v>6.5999999999999988</v>
      </c>
      <c r="H11" s="14">
        <f t="shared" si="13"/>
        <v>0</v>
      </c>
      <c r="I11" s="15">
        <f t="shared" si="19"/>
        <v>0.77163217873180334</v>
      </c>
      <c r="J11" s="22">
        <f t="shared" si="1"/>
        <v>0</v>
      </c>
      <c r="K11" s="1">
        <f t="shared" si="2"/>
        <v>6.5938506043824924E-2</v>
      </c>
      <c r="L11" s="1">
        <f t="shared" si="3"/>
        <v>1.3199999999999998</v>
      </c>
      <c r="M11" s="1">
        <f t="shared" si="4"/>
        <v>2.2439999999999998</v>
      </c>
      <c r="N11" s="1">
        <f t="shared" si="5"/>
        <v>0</v>
      </c>
      <c r="O11" s="1">
        <f t="shared" si="14"/>
        <v>3.5639999999999996</v>
      </c>
      <c r="P11" s="1">
        <f t="shared" si="6"/>
        <v>2.7932613330359484</v>
      </c>
      <c r="Q11" s="1">
        <f t="shared" si="7"/>
        <v>0.34108051720439519</v>
      </c>
      <c r="R11" s="1">
        <f t="shared" si="8"/>
        <v>9.6758439436752594E-3</v>
      </c>
      <c r="S11" s="1">
        <f t="shared" si="15"/>
        <v>3.5639999999999996</v>
      </c>
      <c r="T11" s="1">
        <f t="shared" si="16"/>
        <v>6.5938506043824938E-2</v>
      </c>
      <c r="U11" s="1">
        <f t="shared" si="10"/>
        <v>0.7420043916594492</v>
      </c>
      <c r="V11" s="1">
        <f t="shared" si="17"/>
        <v>4.8495943514730984</v>
      </c>
      <c r="W11" s="1">
        <f t="shared" si="20"/>
        <v>0</v>
      </c>
    </row>
    <row r="12" spans="1:64" x14ac:dyDescent="0.4">
      <c r="A12" s="1" t="s">
        <v>16</v>
      </c>
      <c r="B12" s="1">
        <v>0.34</v>
      </c>
      <c r="C12" s="1" t="s">
        <v>0</v>
      </c>
      <c r="D12" s="13">
        <f t="shared" si="18"/>
        <v>9</v>
      </c>
      <c r="E12" s="14">
        <f>Cbar</f>
        <v>5.2799999999999994</v>
      </c>
      <c r="F12" s="14">
        <f t="shared" si="12"/>
        <v>0.33333333333333331</v>
      </c>
      <c r="G12" s="14">
        <f t="shared" si="0"/>
        <v>6.5999999999999988</v>
      </c>
      <c r="H12" s="14">
        <f t="shared" si="13"/>
        <v>0</v>
      </c>
      <c r="I12" s="15">
        <f t="shared" si="19"/>
        <v>0.74848321336984913</v>
      </c>
      <c r="J12" s="22">
        <f t="shared" si="1"/>
        <v>0</v>
      </c>
      <c r="K12" s="1">
        <f t="shared" si="2"/>
        <v>6.5938506043824924E-2</v>
      </c>
      <c r="L12" s="1">
        <f t="shared" si="3"/>
        <v>1.3199999999999998</v>
      </c>
      <c r="M12" s="1">
        <f t="shared" si="4"/>
        <v>2.2439999999999998</v>
      </c>
      <c r="N12" s="1">
        <f t="shared" si="5"/>
        <v>0</v>
      </c>
      <c r="O12" s="1">
        <f t="shared" si="14"/>
        <v>3.5639999999999996</v>
      </c>
      <c r="P12" s="1">
        <f t="shared" si="6"/>
        <v>2.7094634930448698</v>
      </c>
      <c r="Q12" s="1">
        <f t="shared" si="7"/>
        <v>0.33084810168826334</v>
      </c>
      <c r="R12" s="1">
        <f t="shared" si="8"/>
        <v>9.3855686253650015E-3</v>
      </c>
      <c r="S12" s="1">
        <f t="shared" si="15"/>
        <v>3.5639999999999996</v>
      </c>
      <c r="T12" s="1">
        <f t="shared" si="16"/>
        <v>6.5938506043824938E-2</v>
      </c>
      <c r="U12" s="1">
        <f t="shared" si="10"/>
        <v>0.71974425990966573</v>
      </c>
      <c r="V12" s="1">
        <f t="shared" si="17"/>
        <v>4.8495943514730984</v>
      </c>
      <c r="W12" s="1">
        <f t="shared" si="20"/>
        <v>0</v>
      </c>
    </row>
    <row r="13" spans="1:64" x14ac:dyDescent="0.4">
      <c r="A13" s="1" t="s">
        <v>17</v>
      </c>
      <c r="B13" s="1">
        <v>0.25</v>
      </c>
      <c r="D13" s="13">
        <f t="shared" si="18"/>
        <v>10</v>
      </c>
      <c r="E13" s="14">
        <f>Cbar</f>
        <v>5.2799999999999994</v>
      </c>
      <c r="F13" s="14">
        <f t="shared" si="12"/>
        <v>0.33333333333333331</v>
      </c>
      <c r="G13" s="14">
        <f t="shared" si="0"/>
        <v>6.5999999999999988</v>
      </c>
      <c r="H13" s="14">
        <f t="shared" si="13"/>
        <v>0</v>
      </c>
      <c r="I13" s="15">
        <f t="shared" si="19"/>
        <v>0.72602871696875371</v>
      </c>
      <c r="J13" s="22">
        <f t="shared" si="1"/>
        <v>0</v>
      </c>
      <c r="K13" s="1">
        <f t="shared" si="2"/>
        <v>6.5938506043824924E-2</v>
      </c>
      <c r="L13" s="1">
        <f t="shared" si="3"/>
        <v>1.3199999999999998</v>
      </c>
      <c r="M13" s="1">
        <f t="shared" si="4"/>
        <v>2.2439999999999998</v>
      </c>
      <c r="N13" s="1">
        <f t="shared" si="5"/>
        <v>0</v>
      </c>
      <c r="O13" s="1">
        <f t="shared" si="14"/>
        <v>3.5639999999999996</v>
      </c>
      <c r="P13" s="1">
        <f t="shared" si="6"/>
        <v>2.6281795882535239</v>
      </c>
      <c r="Q13" s="1">
        <f t="shared" si="7"/>
        <v>0.32092265863761543</v>
      </c>
      <c r="R13" s="1">
        <f t="shared" si="8"/>
        <v>9.1040015666040506E-3</v>
      </c>
      <c r="S13" s="1">
        <f t="shared" si="15"/>
        <v>3.5639999999999996</v>
      </c>
      <c r="T13" s="1">
        <f t="shared" si="16"/>
        <v>6.5938506043824938E-2</v>
      </c>
      <c r="U13" s="1">
        <f t="shared" si="10"/>
        <v>0.69815193211237581</v>
      </c>
      <c r="V13" s="1">
        <f t="shared" si="17"/>
        <v>4.8495943514730984</v>
      </c>
      <c r="W13" s="1">
        <f t="shared" si="20"/>
        <v>0</v>
      </c>
      <c r="X13" s="1" t="s">
        <v>41</v>
      </c>
    </row>
    <row r="14" spans="1:64" x14ac:dyDescent="0.4">
      <c r="A14" s="1" t="s">
        <v>18</v>
      </c>
      <c r="B14" s="1">
        <v>0</v>
      </c>
      <c r="D14" s="13">
        <f t="shared" si="18"/>
        <v>11</v>
      </c>
      <c r="E14" s="14">
        <f>Cbar</f>
        <v>5.2799999999999994</v>
      </c>
      <c r="F14" s="14">
        <f t="shared" si="12"/>
        <v>0.33333333333333331</v>
      </c>
      <c r="G14" s="14">
        <f t="shared" si="0"/>
        <v>6.5999999999999988</v>
      </c>
      <c r="H14" s="14">
        <f t="shared" si="13"/>
        <v>0</v>
      </c>
      <c r="I14" s="15">
        <f t="shared" si="19"/>
        <v>0.70424785545969115</v>
      </c>
      <c r="J14" s="22">
        <f t="shared" si="1"/>
        <v>0</v>
      </c>
      <c r="K14" s="1">
        <f t="shared" si="2"/>
        <v>6.5938506043824924E-2</v>
      </c>
      <c r="L14" s="1">
        <f t="shared" si="3"/>
        <v>1.3199999999999998</v>
      </c>
      <c r="M14" s="1">
        <f t="shared" si="4"/>
        <v>2.2439999999999998</v>
      </c>
      <c r="N14" s="1">
        <f t="shared" si="5"/>
        <v>0</v>
      </c>
      <c r="O14" s="1">
        <f t="shared" si="14"/>
        <v>3.5639999999999996</v>
      </c>
      <c r="P14" s="1">
        <f t="shared" si="6"/>
        <v>2.5493342006059181</v>
      </c>
      <c r="Q14" s="1">
        <f t="shared" si="7"/>
        <v>0.31129497887848695</v>
      </c>
      <c r="R14" s="1">
        <f t="shared" si="8"/>
        <v>8.83088151960593E-3</v>
      </c>
      <c r="S14" s="1">
        <f t="shared" si="15"/>
        <v>3.5639999999999996</v>
      </c>
      <c r="T14" s="1">
        <f t="shared" si="16"/>
        <v>6.5938506043824938E-2</v>
      </c>
      <c r="U14" s="1">
        <f t="shared" si="10"/>
        <v>0.67720737414900445</v>
      </c>
      <c r="V14" s="1">
        <f t="shared" si="17"/>
        <v>4.8495943514730984</v>
      </c>
      <c r="W14" s="1">
        <f t="shared" si="20"/>
        <v>0</v>
      </c>
    </row>
    <row r="15" spans="1:64" x14ac:dyDescent="0.4">
      <c r="A15" s="1" t="s">
        <v>24</v>
      </c>
      <c r="B15" s="1">
        <v>30</v>
      </c>
      <c r="C15" s="2" t="s">
        <v>0</v>
      </c>
      <c r="D15" s="13">
        <f t="shared" si="18"/>
        <v>12</v>
      </c>
      <c r="E15" s="14">
        <f>Cbar</f>
        <v>5.2799999999999994</v>
      </c>
      <c r="F15" s="14">
        <f t="shared" si="12"/>
        <v>0.33333333333333331</v>
      </c>
      <c r="G15" s="14">
        <f t="shared" si="0"/>
        <v>6.5999999999999988</v>
      </c>
      <c r="H15" s="14">
        <f t="shared" si="13"/>
        <v>0</v>
      </c>
      <c r="I15" s="15">
        <f t="shared" si="19"/>
        <v>0.68312041979590032</v>
      </c>
      <c r="J15" s="22">
        <f t="shared" si="1"/>
        <v>0</v>
      </c>
      <c r="K15" s="1">
        <f t="shared" si="2"/>
        <v>6.5938506043824924E-2</v>
      </c>
      <c r="L15" s="1">
        <f t="shared" si="3"/>
        <v>1.3199999999999998</v>
      </c>
      <c r="M15" s="1">
        <f t="shared" si="4"/>
        <v>2.2439999999999998</v>
      </c>
      <c r="N15" s="1">
        <f t="shared" si="5"/>
        <v>0</v>
      </c>
      <c r="O15" s="1">
        <f t="shared" si="14"/>
        <v>3.5639999999999996</v>
      </c>
      <c r="P15" s="1">
        <f t="shared" si="6"/>
        <v>2.4728541745877402</v>
      </c>
      <c r="Q15" s="1">
        <f t="shared" si="7"/>
        <v>0.3019561295121323</v>
      </c>
      <c r="R15" s="1">
        <f t="shared" si="8"/>
        <v>8.5659550740177504E-3</v>
      </c>
      <c r="S15" s="1">
        <f t="shared" si="15"/>
        <v>3.5639999999999996</v>
      </c>
      <c r="T15" s="1">
        <f t="shared" si="16"/>
        <v>6.5938506043824938E-2</v>
      </c>
      <c r="U15" s="1">
        <f t="shared" si="10"/>
        <v>0.65689115292453426</v>
      </c>
      <c r="V15" s="1">
        <f t="shared" si="17"/>
        <v>4.8495943514730984</v>
      </c>
      <c r="W15" s="1">
        <f t="shared" si="20"/>
        <v>0</v>
      </c>
    </row>
    <row r="16" spans="1:64" x14ac:dyDescent="0.4">
      <c r="A16" s="1" t="s">
        <v>28</v>
      </c>
      <c r="B16" s="1">
        <f>1/3</f>
        <v>0.33333333333333331</v>
      </c>
      <c r="C16" s="2" t="s">
        <v>0</v>
      </c>
      <c r="D16" s="13">
        <f t="shared" si="18"/>
        <v>13</v>
      </c>
      <c r="E16" s="14">
        <f>Cbar</f>
        <v>5.2799999999999994</v>
      </c>
      <c r="F16" s="14">
        <f t="shared" si="12"/>
        <v>0.33333333333333331</v>
      </c>
      <c r="G16" s="14">
        <f t="shared" si="0"/>
        <v>6.5999999999999988</v>
      </c>
      <c r="H16" s="14">
        <f t="shared" si="13"/>
        <v>0</v>
      </c>
      <c r="I16" s="15">
        <f t="shared" si="19"/>
        <v>0.66262680720202327</v>
      </c>
      <c r="J16" s="22">
        <f t="shared" si="1"/>
        <v>0</v>
      </c>
      <c r="K16" s="1">
        <f t="shared" si="2"/>
        <v>6.5938506043824924E-2</v>
      </c>
      <c r="L16" s="1">
        <f t="shared" si="3"/>
        <v>1.3199999999999998</v>
      </c>
      <c r="M16" s="1">
        <f t="shared" si="4"/>
        <v>2.2439999999999998</v>
      </c>
      <c r="N16" s="1">
        <f t="shared" si="5"/>
        <v>0</v>
      </c>
      <c r="O16" s="1">
        <f t="shared" si="14"/>
        <v>3.5639999999999996</v>
      </c>
      <c r="P16" s="1">
        <f t="shared" si="6"/>
        <v>2.3986685493501079</v>
      </c>
      <c r="Q16" s="1">
        <f t="shared" si="7"/>
        <v>0.29289744562676834</v>
      </c>
      <c r="R16" s="1">
        <f t="shared" si="8"/>
        <v>8.3089764217972178E-3</v>
      </c>
      <c r="S16" s="1">
        <f t="shared" si="15"/>
        <v>3.5639999999999996</v>
      </c>
      <c r="T16" s="1">
        <f t="shared" si="16"/>
        <v>6.5938506043824938E-2</v>
      </c>
      <c r="U16" s="1">
        <f t="shared" si="10"/>
        <v>0.63718441833679829</v>
      </c>
      <c r="V16" s="1">
        <f t="shared" si="17"/>
        <v>4.8495943514730984</v>
      </c>
      <c r="W16" s="1">
        <f t="shared" si="20"/>
        <v>0</v>
      </c>
    </row>
    <row r="17" spans="1:24" x14ac:dyDescent="0.4">
      <c r="A17" s="5" t="s">
        <v>27</v>
      </c>
      <c r="B17" s="1">
        <f>Cbar^(-Sigma)/(1+tau_c)</f>
        <v>6.5938506043824924E-2</v>
      </c>
      <c r="C17" s="2"/>
      <c r="D17" s="13">
        <f t="shared" si="18"/>
        <v>14</v>
      </c>
      <c r="E17" s="14">
        <f>Cbar</f>
        <v>5.2799999999999994</v>
      </c>
      <c r="F17" s="14">
        <f t="shared" si="12"/>
        <v>0.33333333333333331</v>
      </c>
      <c r="G17" s="14">
        <f t="shared" si="0"/>
        <v>6.5999999999999988</v>
      </c>
      <c r="H17" s="14">
        <f t="shared" si="13"/>
        <v>0</v>
      </c>
      <c r="I17" s="15">
        <f t="shared" si="19"/>
        <v>0.64274800298596257</v>
      </c>
      <c r="J17" s="22">
        <f t="shared" si="1"/>
        <v>0</v>
      </c>
      <c r="K17" s="1">
        <f t="shared" si="2"/>
        <v>6.5938506043824924E-2</v>
      </c>
      <c r="L17" s="1">
        <f t="shared" si="3"/>
        <v>1.3199999999999998</v>
      </c>
      <c r="M17" s="1">
        <f t="shared" si="4"/>
        <v>2.2439999999999998</v>
      </c>
      <c r="N17" s="1">
        <f t="shared" si="5"/>
        <v>0</v>
      </c>
      <c r="O17" s="1">
        <f t="shared" si="14"/>
        <v>3.5639999999999996</v>
      </c>
      <c r="P17" s="1">
        <f t="shared" si="6"/>
        <v>2.3267084928696047</v>
      </c>
      <c r="Q17" s="1">
        <f t="shared" si="7"/>
        <v>0.28411052225796529</v>
      </c>
      <c r="R17" s="1">
        <f t="shared" si="8"/>
        <v>8.0597071291433012E-3</v>
      </c>
      <c r="S17" s="1">
        <f t="shared" si="15"/>
        <v>3.5639999999999996</v>
      </c>
      <c r="T17" s="1">
        <f t="shared" si="16"/>
        <v>6.5938506043824938E-2</v>
      </c>
      <c r="U17" s="1">
        <f t="shared" si="10"/>
        <v>0.61806888578669428</v>
      </c>
      <c r="V17" s="1">
        <f t="shared" si="17"/>
        <v>4.8495943514730984</v>
      </c>
      <c r="W17" s="1">
        <f t="shared" si="20"/>
        <v>0</v>
      </c>
    </row>
    <row r="18" spans="1:24" x14ac:dyDescent="0.4">
      <c r="A18" s="1" t="s">
        <v>29</v>
      </c>
      <c r="B18" s="1">
        <f>Lbar * Wbar * (1-tau_w)/(1+tau_c)</f>
        <v>5.2799999999999994</v>
      </c>
      <c r="C18" s="2"/>
      <c r="D18" s="13">
        <f t="shared" si="18"/>
        <v>15</v>
      </c>
      <c r="E18" s="14">
        <f>Cbar</f>
        <v>5.2799999999999994</v>
      </c>
      <c r="F18" s="14">
        <f t="shared" si="12"/>
        <v>0.33333333333333331</v>
      </c>
      <c r="G18" s="14">
        <f t="shared" si="0"/>
        <v>6.5999999999999988</v>
      </c>
      <c r="H18" s="14">
        <f t="shared" si="13"/>
        <v>0</v>
      </c>
      <c r="I18" s="15">
        <f t="shared" si="19"/>
        <v>0.62346556289638366</v>
      </c>
      <c r="J18" s="22">
        <f t="shared" si="1"/>
        <v>0</v>
      </c>
      <c r="K18" s="1">
        <f t="shared" si="2"/>
        <v>6.5938506043824924E-2</v>
      </c>
      <c r="L18" s="1">
        <f t="shared" si="3"/>
        <v>1.3199999999999998</v>
      </c>
      <c r="M18" s="1">
        <f t="shared" si="4"/>
        <v>2.2439999999999998</v>
      </c>
      <c r="N18" s="1">
        <f t="shared" si="5"/>
        <v>0</v>
      </c>
      <c r="O18" s="1">
        <f t="shared" si="14"/>
        <v>3.5639999999999996</v>
      </c>
      <c r="P18" s="1">
        <f t="shared" si="6"/>
        <v>2.2569072380835165</v>
      </c>
      <c r="Q18" s="1">
        <f t="shared" si="7"/>
        <v>0.27558720659022634</v>
      </c>
      <c r="R18" s="1">
        <f t="shared" si="8"/>
        <v>7.8179159152690029E-3</v>
      </c>
      <c r="S18" s="1">
        <f t="shared" si="15"/>
        <v>3.5639999999999996</v>
      </c>
      <c r="T18" s="1">
        <f t="shared" si="16"/>
        <v>6.5938506043824938E-2</v>
      </c>
      <c r="U18" s="1">
        <f t="shared" si="10"/>
        <v>0.59952681921309348</v>
      </c>
      <c r="V18" s="1">
        <f t="shared" si="17"/>
        <v>4.8495943514730984</v>
      </c>
      <c r="W18" s="1">
        <f t="shared" si="20"/>
        <v>0</v>
      </c>
      <c r="X18" s="1" t="s">
        <v>42</v>
      </c>
    </row>
    <row r="19" spans="1:24" x14ac:dyDescent="0.4">
      <c r="A19" s="1" t="s">
        <v>0</v>
      </c>
      <c r="C19" s="2"/>
      <c r="D19" s="13">
        <f t="shared" si="18"/>
        <v>16</v>
      </c>
      <c r="E19" s="14">
        <f>Cbar</f>
        <v>5.2799999999999994</v>
      </c>
      <c r="F19" s="14">
        <f t="shared" si="12"/>
        <v>0.33333333333333331</v>
      </c>
      <c r="G19" s="14">
        <f t="shared" si="0"/>
        <v>6.5999999999999988</v>
      </c>
      <c r="H19" s="14">
        <f t="shared" si="13"/>
        <v>0</v>
      </c>
      <c r="I19" s="15">
        <f t="shared" si="19"/>
        <v>0.6047615960094922</v>
      </c>
      <c r="J19" s="22">
        <f t="shared" si="1"/>
        <v>0</v>
      </c>
      <c r="K19" s="1">
        <f t="shared" si="2"/>
        <v>6.5938506043824924E-2</v>
      </c>
      <c r="L19" s="1">
        <f t="shared" si="3"/>
        <v>1.3199999999999998</v>
      </c>
      <c r="M19" s="1">
        <f t="shared" si="4"/>
        <v>2.2439999999999998</v>
      </c>
      <c r="N19" s="1">
        <f t="shared" si="5"/>
        <v>0</v>
      </c>
      <c r="O19" s="1">
        <f t="shared" si="14"/>
        <v>3.5639999999999996</v>
      </c>
      <c r="P19" s="1">
        <f t="shared" si="6"/>
        <v>2.1892000209410112</v>
      </c>
      <c r="Q19" s="1">
        <f t="shared" si="7"/>
        <v>0.26731959039251957</v>
      </c>
      <c r="R19" s="1">
        <f t="shared" si="8"/>
        <v>7.5833784378109325E-3</v>
      </c>
      <c r="S19" s="1">
        <f t="shared" si="15"/>
        <v>3.5639999999999996</v>
      </c>
      <c r="T19" s="1">
        <f t="shared" si="16"/>
        <v>6.5938506043824938E-2</v>
      </c>
      <c r="U19" s="1">
        <f t="shared" si="10"/>
        <v>0.58154101463670071</v>
      </c>
      <c r="V19" s="1">
        <f t="shared" si="17"/>
        <v>4.8495943514730984</v>
      </c>
      <c r="W19" s="1">
        <f t="shared" si="20"/>
        <v>0</v>
      </c>
    </row>
    <row r="20" spans="1:24" x14ac:dyDescent="0.4">
      <c r="A20" s="1" t="s">
        <v>32</v>
      </c>
      <c r="B20" s="1">
        <v>30</v>
      </c>
      <c r="C20" s="2"/>
      <c r="D20" s="13">
        <f t="shared" si="18"/>
        <v>17</v>
      </c>
      <c r="E20" s="14">
        <f>Cbar</f>
        <v>5.2799999999999994</v>
      </c>
      <c r="F20" s="14">
        <f t="shared" si="12"/>
        <v>0.33333333333333331</v>
      </c>
      <c r="G20" s="14">
        <f t="shared" si="0"/>
        <v>6.5999999999999988</v>
      </c>
      <c r="H20" s="14">
        <f t="shared" si="13"/>
        <v>0</v>
      </c>
      <c r="I20" s="15">
        <f t="shared" si="19"/>
        <v>0.58661874812920745</v>
      </c>
      <c r="J20" s="22">
        <f t="shared" si="1"/>
        <v>0</v>
      </c>
      <c r="K20" s="1">
        <f t="shared" si="2"/>
        <v>6.5938506043824924E-2</v>
      </c>
      <c r="L20" s="1">
        <f t="shared" si="3"/>
        <v>1.3199999999999998</v>
      </c>
      <c r="M20" s="1">
        <f t="shared" si="4"/>
        <v>2.2439999999999998</v>
      </c>
      <c r="N20" s="1">
        <f t="shared" si="5"/>
        <v>0</v>
      </c>
      <c r="O20" s="1">
        <f t="shared" si="14"/>
        <v>3.5639999999999996</v>
      </c>
      <c r="P20" s="1">
        <f t="shared" si="6"/>
        <v>2.123524020312781</v>
      </c>
      <c r="Q20" s="1">
        <f t="shared" si="7"/>
        <v>0.25930000268074399</v>
      </c>
      <c r="R20" s="1">
        <f t="shared" si="8"/>
        <v>7.3558770846766037E-3</v>
      </c>
      <c r="S20" s="1">
        <f t="shared" si="15"/>
        <v>3.5639999999999996</v>
      </c>
      <c r="T20" s="1">
        <f t="shared" si="16"/>
        <v>6.5938506043824938E-2</v>
      </c>
      <c r="U20" s="1">
        <f t="shared" si="10"/>
        <v>0.56409478419759962</v>
      </c>
      <c r="V20" s="1">
        <f t="shared" si="17"/>
        <v>4.8495943514730984</v>
      </c>
      <c r="W20" s="1">
        <f t="shared" si="20"/>
        <v>0</v>
      </c>
    </row>
    <row r="21" spans="1:24" x14ac:dyDescent="0.4">
      <c r="C21" s="2"/>
      <c r="D21" s="13">
        <f t="shared" si="18"/>
        <v>18</v>
      </c>
      <c r="E21" s="14">
        <f>Cbar</f>
        <v>5.2799999999999994</v>
      </c>
      <c r="F21" s="14">
        <f t="shared" si="12"/>
        <v>0.33333333333333331</v>
      </c>
      <c r="G21" s="14">
        <f t="shared" si="0"/>
        <v>6.5999999999999988</v>
      </c>
      <c r="H21" s="14">
        <f t="shared" si="13"/>
        <v>0</v>
      </c>
      <c r="I21" s="15">
        <f t="shared" si="19"/>
        <v>0.56902018568533119</v>
      </c>
      <c r="J21" s="22">
        <f t="shared" si="1"/>
        <v>0</v>
      </c>
      <c r="K21" s="1">
        <f t="shared" si="2"/>
        <v>6.5938506043824924E-2</v>
      </c>
      <c r="L21" s="1">
        <f t="shared" si="3"/>
        <v>1.3199999999999998</v>
      </c>
      <c r="M21" s="1">
        <f t="shared" si="4"/>
        <v>2.2439999999999998</v>
      </c>
      <c r="N21" s="1">
        <f t="shared" si="5"/>
        <v>0</v>
      </c>
      <c r="O21" s="1">
        <f t="shared" si="14"/>
        <v>3.5639999999999996</v>
      </c>
      <c r="P21" s="1">
        <f t="shared" si="6"/>
        <v>2.0598182997033976</v>
      </c>
      <c r="Q21" s="1">
        <f t="shared" si="7"/>
        <v>0.25152100260032167</v>
      </c>
      <c r="R21" s="1">
        <f t="shared" si="8"/>
        <v>7.1352007721363067E-3</v>
      </c>
      <c r="S21" s="1">
        <f t="shared" si="15"/>
        <v>3.5639999999999996</v>
      </c>
      <c r="T21" s="1">
        <f t="shared" si="16"/>
        <v>6.5938506043824938E-2</v>
      </c>
      <c r="U21" s="1">
        <f t="shared" si="10"/>
        <v>0.54717194067167163</v>
      </c>
      <c r="V21" s="1">
        <f t="shared" si="17"/>
        <v>4.8495943514730984</v>
      </c>
      <c r="W21" s="1">
        <f t="shared" si="20"/>
        <v>0</v>
      </c>
    </row>
    <row r="22" spans="1:24" x14ac:dyDescent="0.4">
      <c r="A22" s="1" t="s">
        <v>60</v>
      </c>
      <c r="B22" s="1">
        <f>tau_w*Lbar *Wbar + tau_c * Cbar</f>
        <v>4.7200000000000006</v>
      </c>
      <c r="C22" s="2"/>
      <c r="D22" s="13">
        <f t="shared" si="18"/>
        <v>19</v>
      </c>
      <c r="E22" s="14">
        <f>Cbar</f>
        <v>5.2799999999999994</v>
      </c>
      <c r="F22" s="14">
        <f t="shared" si="12"/>
        <v>0.33333333333333331</v>
      </c>
      <c r="G22" s="14">
        <f t="shared" si="0"/>
        <v>6.5999999999999988</v>
      </c>
      <c r="H22" s="14">
        <f t="shared" si="13"/>
        <v>0</v>
      </c>
      <c r="I22" s="15">
        <f t="shared" si="19"/>
        <v>0.55194958011477124</v>
      </c>
      <c r="J22" s="22">
        <f t="shared" si="1"/>
        <v>0</v>
      </c>
      <c r="K22" s="1">
        <f t="shared" si="2"/>
        <v>6.5938506043824924E-2</v>
      </c>
      <c r="L22" s="1">
        <f t="shared" si="3"/>
        <v>1.3199999999999998</v>
      </c>
      <c r="M22" s="1">
        <f t="shared" si="4"/>
        <v>2.2439999999999998</v>
      </c>
      <c r="N22" s="1">
        <f t="shared" si="5"/>
        <v>0</v>
      </c>
      <c r="O22" s="1">
        <f t="shared" si="14"/>
        <v>3.5639999999999996</v>
      </c>
      <c r="P22" s="1">
        <f t="shared" si="6"/>
        <v>1.9980237507122953</v>
      </c>
      <c r="Q22" s="1">
        <f t="shared" si="7"/>
        <v>0.243975372522312</v>
      </c>
      <c r="R22" s="1">
        <f t="shared" si="8"/>
        <v>6.9211447489722173E-3</v>
      </c>
      <c r="S22" s="1">
        <f t="shared" si="15"/>
        <v>3.5639999999999996</v>
      </c>
      <c r="T22" s="1">
        <f t="shared" si="16"/>
        <v>6.5938506043824938E-2</v>
      </c>
      <c r="U22" s="1">
        <f t="shared" si="10"/>
        <v>0.53075678245152147</v>
      </c>
      <c r="V22" s="1">
        <f t="shared" si="17"/>
        <v>4.8495943514730984</v>
      </c>
      <c r="W22" s="1">
        <f t="shared" si="20"/>
        <v>0</v>
      </c>
      <c r="X22" s="1" t="s">
        <v>43</v>
      </c>
    </row>
    <row r="23" spans="1:24" x14ac:dyDescent="0.4">
      <c r="C23" s="2"/>
      <c r="D23" s="13">
        <f t="shared" si="18"/>
        <v>20</v>
      </c>
      <c r="E23" s="14">
        <f>Cbar</f>
        <v>5.2799999999999994</v>
      </c>
      <c r="F23" s="14">
        <f t="shared" si="12"/>
        <v>0.33333333333333331</v>
      </c>
      <c r="G23" s="14">
        <f t="shared" si="0"/>
        <v>6.5999999999999988</v>
      </c>
      <c r="H23" s="14">
        <f t="shared" si="13"/>
        <v>0</v>
      </c>
      <c r="I23" s="15">
        <f t="shared" si="19"/>
        <v>0.53539109271132812</v>
      </c>
      <c r="J23" s="22">
        <f t="shared" si="1"/>
        <v>0</v>
      </c>
      <c r="K23" s="1">
        <f t="shared" si="2"/>
        <v>6.5938506043824924E-2</v>
      </c>
      <c r="L23" s="1">
        <f t="shared" si="3"/>
        <v>1.3199999999999998</v>
      </c>
      <c r="M23" s="1">
        <f t="shared" si="4"/>
        <v>2.2439999999999998</v>
      </c>
      <c r="N23" s="1">
        <f t="shared" si="5"/>
        <v>0</v>
      </c>
      <c r="O23" s="1">
        <f t="shared" si="14"/>
        <v>3.5639999999999996</v>
      </c>
      <c r="P23" s="1">
        <f t="shared" si="6"/>
        <v>1.9380830381909264</v>
      </c>
      <c r="Q23" s="1">
        <f t="shared" si="7"/>
        <v>0.23665611134664263</v>
      </c>
      <c r="R23" s="1">
        <f t="shared" si="8"/>
        <v>6.7135104065030498E-3</v>
      </c>
      <c r="S23" s="1">
        <f t="shared" si="15"/>
        <v>3.5639999999999996</v>
      </c>
      <c r="T23" s="1">
        <f t="shared" si="16"/>
        <v>6.5938506043824938E-2</v>
      </c>
      <c r="U23" s="1">
        <f t="shared" si="10"/>
        <v>0.51483407897797584</v>
      </c>
      <c r="V23" s="1">
        <f t="shared" si="17"/>
        <v>4.8495943514730984</v>
      </c>
      <c r="W23" s="1">
        <f t="shared" si="20"/>
        <v>0</v>
      </c>
    </row>
    <row r="24" spans="1:24" x14ac:dyDescent="0.4">
      <c r="A24" s="1" t="s">
        <v>57</v>
      </c>
      <c r="B24" s="1">
        <v>3</v>
      </c>
      <c r="C24" s="2"/>
      <c r="D24" s="13">
        <f t="shared" si="18"/>
        <v>21</v>
      </c>
      <c r="E24" s="14">
        <f>Cbar</f>
        <v>5.2799999999999994</v>
      </c>
      <c r="F24" s="14">
        <f t="shared" si="12"/>
        <v>0.33333333333333331</v>
      </c>
      <c r="G24" s="14">
        <f t="shared" si="0"/>
        <v>6.5999999999999988</v>
      </c>
      <c r="H24" s="14">
        <f t="shared" si="13"/>
        <v>0</v>
      </c>
      <c r="I24" s="15">
        <f t="shared" si="19"/>
        <v>0.5193293599299883</v>
      </c>
      <c r="J24" s="22">
        <f t="shared" si="1"/>
        <v>0</v>
      </c>
      <c r="K24" s="1">
        <f t="shared" si="2"/>
        <v>6.5938506043824924E-2</v>
      </c>
      <c r="L24" s="1">
        <f t="shared" si="3"/>
        <v>1.3199999999999998</v>
      </c>
      <c r="M24" s="1">
        <f t="shared" si="4"/>
        <v>2.2439999999999998</v>
      </c>
      <c r="N24" s="1">
        <f t="shared" si="5"/>
        <v>0</v>
      </c>
      <c r="O24" s="1">
        <f t="shared" si="14"/>
        <v>3.5639999999999996</v>
      </c>
      <c r="P24" s="1">
        <f t="shared" si="6"/>
        <v>1.8799405470451986</v>
      </c>
      <c r="Q24" s="1">
        <f t="shared" si="7"/>
        <v>0.22955642800624335</v>
      </c>
      <c r="R24" s="1">
        <f t="shared" si="8"/>
        <v>6.5121050943079588E-3</v>
      </c>
      <c r="S24" s="1">
        <f t="shared" si="15"/>
        <v>3.5639999999999996</v>
      </c>
      <c r="T24" s="1">
        <f t="shared" si="16"/>
        <v>6.5938506043824938E-2</v>
      </c>
      <c r="U24" s="1">
        <f t="shared" si="10"/>
        <v>0.49938905660863658</v>
      </c>
      <c r="V24" s="1">
        <f t="shared" si="17"/>
        <v>4.8495943514730984</v>
      </c>
      <c r="W24" s="1">
        <f t="shared" si="20"/>
        <v>0</v>
      </c>
      <c r="X24" s="1" t="s">
        <v>44</v>
      </c>
    </row>
    <row r="25" spans="1:24" x14ac:dyDescent="0.4">
      <c r="A25" s="1" t="s">
        <v>58</v>
      </c>
      <c r="B25" s="1">
        <f>-0.5</f>
        <v>-0.5</v>
      </c>
      <c r="C25" s="2"/>
      <c r="D25" s="13">
        <f t="shared" si="18"/>
        <v>22</v>
      </c>
      <c r="E25" s="14">
        <f>Cbar</f>
        <v>5.2799999999999994</v>
      </c>
      <c r="F25" s="14">
        <f t="shared" si="12"/>
        <v>0.33333333333333331</v>
      </c>
      <c r="G25" s="14">
        <f t="shared" si="0"/>
        <v>6.5999999999999988</v>
      </c>
      <c r="H25" s="14">
        <f t="shared" si="13"/>
        <v>0</v>
      </c>
      <c r="I25" s="15">
        <f t="shared" si="19"/>
        <v>0.50374947913208856</v>
      </c>
      <c r="J25" s="22">
        <f t="shared" si="1"/>
        <v>0</v>
      </c>
      <c r="K25" s="1">
        <f t="shared" si="2"/>
        <v>6.5938506043824924E-2</v>
      </c>
      <c r="L25" s="1">
        <f t="shared" si="3"/>
        <v>1.3199999999999998</v>
      </c>
      <c r="M25" s="1">
        <f t="shared" si="4"/>
        <v>2.2439999999999998</v>
      </c>
      <c r="N25" s="1">
        <f t="shared" si="5"/>
        <v>0</v>
      </c>
      <c r="O25" s="1">
        <f t="shared" si="14"/>
        <v>3.5639999999999996</v>
      </c>
      <c r="P25" s="1">
        <f t="shared" si="6"/>
        <v>1.8235423306338427</v>
      </c>
      <c r="Q25" s="1">
        <f t="shared" si="7"/>
        <v>0.22266973516605604</v>
      </c>
      <c r="R25" s="1">
        <f t="shared" si="8"/>
        <v>6.3167419414787195E-3</v>
      </c>
      <c r="S25" s="1">
        <f t="shared" si="15"/>
        <v>3.5639999999999996</v>
      </c>
      <c r="T25" s="1">
        <f t="shared" si="16"/>
        <v>6.5938506043824938E-2</v>
      </c>
      <c r="U25" s="1">
        <f t="shared" si="10"/>
        <v>0.48440738491037749</v>
      </c>
      <c r="V25" s="1">
        <f t="shared" si="17"/>
        <v>4.8495943514730984</v>
      </c>
      <c r="W25" s="1">
        <f t="shared" si="20"/>
        <v>0</v>
      </c>
    </row>
    <row r="26" spans="1:24" x14ac:dyDescent="0.4">
      <c r="A26" s="1" t="s">
        <v>59</v>
      </c>
      <c r="B26" s="1">
        <f xml:space="preserve"> 0.2</f>
        <v>0.2</v>
      </c>
      <c r="C26" s="2"/>
      <c r="D26" s="13">
        <f t="shared" si="18"/>
        <v>23</v>
      </c>
      <c r="E26" s="14">
        <f>Cbar</f>
        <v>5.2799999999999994</v>
      </c>
      <c r="F26" s="14">
        <f t="shared" si="12"/>
        <v>0.33333333333333331</v>
      </c>
      <c r="G26" s="14">
        <f t="shared" si="0"/>
        <v>6.5999999999999988</v>
      </c>
      <c r="H26" s="14">
        <f t="shared" si="13"/>
        <v>0</v>
      </c>
      <c r="I26" s="15">
        <f t="shared" si="19"/>
        <v>0.48863699475812594</v>
      </c>
      <c r="J26" s="22">
        <f t="shared" si="1"/>
        <v>0</v>
      </c>
      <c r="K26" s="1">
        <f t="shared" si="2"/>
        <v>6.5938506043824924E-2</v>
      </c>
      <c r="L26" s="1">
        <f t="shared" si="3"/>
        <v>1.3199999999999998</v>
      </c>
      <c r="M26" s="1">
        <f t="shared" si="4"/>
        <v>2.2439999999999998</v>
      </c>
      <c r="N26" s="1">
        <f t="shared" si="5"/>
        <v>0</v>
      </c>
      <c r="O26" s="1">
        <f t="shared" si="14"/>
        <v>3.5639999999999996</v>
      </c>
      <c r="P26" s="1">
        <f t="shared" si="6"/>
        <v>1.7688360607148272</v>
      </c>
      <c r="Q26" s="1">
        <f t="shared" si="7"/>
        <v>0.21598964311107435</v>
      </c>
      <c r="R26" s="1">
        <f t="shared" si="8"/>
        <v>6.1272396832343576E-3</v>
      </c>
      <c r="S26" s="1">
        <f t="shared" si="15"/>
        <v>3.5639999999999996</v>
      </c>
      <c r="T26" s="1">
        <f t="shared" si="16"/>
        <v>6.5938506043824938E-2</v>
      </c>
      <c r="U26" s="1">
        <f t="shared" si="10"/>
        <v>0.46987516336306612</v>
      </c>
      <c r="V26" s="1">
        <f t="shared" si="17"/>
        <v>4.8495943514730984</v>
      </c>
      <c r="W26" s="1">
        <f t="shared" si="20"/>
        <v>0</v>
      </c>
      <c r="X26" s="1" t="s">
        <v>45</v>
      </c>
    </row>
    <row r="27" spans="1:24" x14ac:dyDescent="0.4">
      <c r="C27" s="2"/>
      <c r="D27" s="13">
        <f t="shared" si="18"/>
        <v>24</v>
      </c>
      <c r="E27" s="14">
        <f>Cbar</f>
        <v>5.2799999999999994</v>
      </c>
      <c r="F27" s="14">
        <f t="shared" si="12"/>
        <v>0.33333333333333331</v>
      </c>
      <c r="G27" s="14">
        <f t="shared" si="0"/>
        <v>6.5999999999999988</v>
      </c>
      <c r="H27" s="14">
        <f t="shared" si="13"/>
        <v>0</v>
      </c>
      <c r="I27" s="15">
        <f t="shared" si="19"/>
        <v>0.47397788491538217</v>
      </c>
      <c r="J27" s="22">
        <f t="shared" si="1"/>
        <v>0</v>
      </c>
      <c r="K27" s="1">
        <f t="shared" si="2"/>
        <v>6.5938506043824924E-2</v>
      </c>
      <c r="L27" s="1">
        <f t="shared" si="3"/>
        <v>1.3199999999999998</v>
      </c>
      <c r="M27" s="1">
        <f t="shared" si="4"/>
        <v>2.2439999999999998</v>
      </c>
      <c r="N27" s="1">
        <f t="shared" si="5"/>
        <v>0</v>
      </c>
      <c r="O27" s="1">
        <f t="shared" si="14"/>
        <v>3.5639999999999996</v>
      </c>
      <c r="P27" s="1">
        <f t="shared" si="6"/>
        <v>1.7157709788933826</v>
      </c>
      <c r="Q27" s="1">
        <f t="shared" si="7"/>
        <v>0.20950995381774212</v>
      </c>
      <c r="R27" s="1">
        <f t="shared" si="8"/>
        <v>5.9434224927373269E-3</v>
      </c>
      <c r="S27" s="1">
        <f t="shared" si="15"/>
        <v>3.5639999999999996</v>
      </c>
      <c r="T27" s="1">
        <f t="shared" si="16"/>
        <v>6.5938506043824938E-2</v>
      </c>
      <c r="U27" s="1">
        <f t="shared" si="10"/>
        <v>0.45577890846217411</v>
      </c>
      <c r="V27" s="1">
        <f t="shared" si="17"/>
        <v>4.8495943514730984</v>
      </c>
      <c r="W27" s="1">
        <f t="shared" si="20"/>
        <v>0</v>
      </c>
      <c r="X27" s="1" t="s">
        <v>46</v>
      </c>
    </row>
    <row r="28" spans="1:24" x14ac:dyDescent="0.4">
      <c r="A28" s="1" t="s">
        <v>60</v>
      </c>
      <c r="B28" s="1">
        <f xml:space="preserve"> tau_w * Wbar * Lbar + tau_c * Cbar</f>
        <v>4.7200000000000006</v>
      </c>
      <c r="C28" s="2"/>
      <c r="D28" s="13">
        <f t="shared" si="18"/>
        <v>25</v>
      </c>
      <c r="E28" s="14">
        <f>Cbar</f>
        <v>5.2799999999999994</v>
      </c>
      <c r="F28" s="14">
        <f t="shared" si="12"/>
        <v>0.33333333333333331</v>
      </c>
      <c r="G28" s="14">
        <f t="shared" si="0"/>
        <v>6.5999999999999988</v>
      </c>
      <c r="H28" s="14">
        <f t="shared" si="13"/>
        <v>0</v>
      </c>
      <c r="I28" s="15">
        <f t="shared" si="19"/>
        <v>0.45975854836792063</v>
      </c>
      <c r="J28" s="22">
        <f t="shared" si="1"/>
        <v>0</v>
      </c>
      <c r="K28" s="1">
        <f t="shared" si="2"/>
        <v>6.5938506043824924E-2</v>
      </c>
      <c r="L28" s="1">
        <f t="shared" si="3"/>
        <v>1.3199999999999998</v>
      </c>
      <c r="M28" s="1">
        <f t="shared" si="4"/>
        <v>2.2439999999999998</v>
      </c>
      <c r="N28" s="1">
        <f t="shared" si="5"/>
        <v>0</v>
      </c>
      <c r="O28" s="1">
        <f t="shared" si="14"/>
        <v>3.5639999999999996</v>
      </c>
      <c r="P28" s="1">
        <f t="shared" si="6"/>
        <v>1.6642978495265808</v>
      </c>
      <c r="Q28" s="1">
        <f t="shared" si="7"/>
        <v>0.20322465520320984</v>
      </c>
      <c r="R28" s="1">
        <f t="shared" si="8"/>
        <v>5.765119817955207E-3</v>
      </c>
      <c r="S28" s="1">
        <f t="shared" si="15"/>
        <v>3.5639999999999996</v>
      </c>
      <c r="T28" s="1">
        <f t="shared" si="16"/>
        <v>6.5938506043824938E-2</v>
      </c>
      <c r="U28" s="1">
        <f t="shared" si="10"/>
        <v>0.44210554120830886</v>
      </c>
      <c r="V28" s="1">
        <f t="shared" si="17"/>
        <v>4.8495943514730984</v>
      </c>
      <c r="W28" s="1">
        <f t="shared" si="20"/>
        <v>0</v>
      </c>
      <c r="X28" s="1" t="s">
        <v>47</v>
      </c>
    </row>
    <row r="29" spans="1:24" x14ac:dyDescent="0.4">
      <c r="C29" s="2"/>
      <c r="D29" s="13">
        <f t="shared" si="18"/>
        <v>26</v>
      </c>
      <c r="E29" s="14">
        <f>Cbar</f>
        <v>5.2799999999999994</v>
      </c>
      <c r="F29" s="14">
        <f t="shared" si="12"/>
        <v>0.33333333333333331</v>
      </c>
      <c r="G29" s="14">
        <f t="shared" si="0"/>
        <v>6.5999999999999988</v>
      </c>
      <c r="H29" s="14">
        <f t="shared" si="13"/>
        <v>0</v>
      </c>
      <c r="I29" s="15">
        <f t="shared" si="19"/>
        <v>0.44596579191688313</v>
      </c>
      <c r="J29" s="22">
        <f t="shared" si="1"/>
        <v>0</v>
      </c>
      <c r="K29" s="1">
        <f t="shared" si="2"/>
        <v>6.5938506043824924E-2</v>
      </c>
      <c r="L29" s="1">
        <f t="shared" si="3"/>
        <v>1.3199999999999998</v>
      </c>
      <c r="M29" s="1">
        <f t="shared" si="4"/>
        <v>2.2439999999999998</v>
      </c>
      <c r="N29" s="1">
        <f t="shared" si="5"/>
        <v>0</v>
      </c>
      <c r="O29" s="1">
        <f t="shared" si="14"/>
        <v>3.5639999999999996</v>
      </c>
      <c r="P29" s="1">
        <f t="shared" si="6"/>
        <v>1.6143689140407838</v>
      </c>
      <c r="Q29" s="1">
        <f t="shared" si="7"/>
        <v>0.19712791554711359</v>
      </c>
      <c r="R29" s="1">
        <f t="shared" si="8"/>
        <v>5.5921662234165517E-3</v>
      </c>
      <c r="S29" s="1">
        <f t="shared" si="15"/>
        <v>3.5639999999999996</v>
      </c>
      <c r="T29" s="1">
        <f t="shared" si="16"/>
        <v>6.5938506043824938E-2</v>
      </c>
      <c r="U29" s="1">
        <f t="shared" si="10"/>
        <v>0.42884237497205968</v>
      </c>
      <c r="V29" s="1">
        <f t="shared" si="17"/>
        <v>4.8495943514730984</v>
      </c>
      <c r="W29" s="1">
        <f t="shared" si="20"/>
        <v>0</v>
      </c>
    </row>
    <row r="30" spans="1:24" x14ac:dyDescent="0.4">
      <c r="A30" s="1" t="s">
        <v>61</v>
      </c>
      <c r="B30" s="1">
        <f>V3</f>
        <v>4.8495943514730984</v>
      </c>
      <c r="C30" s="2"/>
      <c r="D30" s="13">
        <f t="shared" si="18"/>
        <v>27</v>
      </c>
      <c r="E30" s="14">
        <f>Cbar</f>
        <v>5.2799999999999994</v>
      </c>
      <c r="F30" s="14">
        <f t="shared" si="12"/>
        <v>0.33333333333333331</v>
      </c>
      <c r="G30" s="14">
        <f t="shared" si="0"/>
        <v>6.5999999999999988</v>
      </c>
      <c r="H30" s="14">
        <f t="shared" si="13"/>
        <v>0</v>
      </c>
      <c r="I30" s="15">
        <f t="shared" si="19"/>
        <v>0.43258681815937655</v>
      </c>
      <c r="J30" s="22">
        <f t="shared" si="1"/>
        <v>0</v>
      </c>
      <c r="K30" s="1">
        <f t="shared" si="2"/>
        <v>6.5938506043824924E-2</v>
      </c>
      <c r="L30" s="1">
        <f t="shared" si="3"/>
        <v>1.3199999999999998</v>
      </c>
      <c r="M30" s="1">
        <f t="shared" si="4"/>
        <v>2.2439999999999998</v>
      </c>
      <c r="N30" s="1">
        <f t="shared" si="5"/>
        <v>0</v>
      </c>
      <c r="O30" s="1">
        <f t="shared" si="14"/>
        <v>3.5639999999999996</v>
      </c>
      <c r="P30" s="1">
        <f t="shared" si="6"/>
        <v>1.5659378466195601</v>
      </c>
      <c r="Q30" s="1">
        <f t="shared" si="7"/>
        <v>0.19121407808070015</v>
      </c>
      <c r="R30" s="1">
        <f t="shared" si="8"/>
        <v>5.4244012367140543E-3</v>
      </c>
      <c r="S30" s="1">
        <f t="shared" si="15"/>
        <v>3.5639999999999996</v>
      </c>
      <c r="T30" s="1">
        <f t="shared" si="16"/>
        <v>6.5938506043824938E-2</v>
      </c>
      <c r="U30" s="1">
        <f t="shared" si="10"/>
        <v>0.41597710372289787</v>
      </c>
      <c r="V30" s="1">
        <f t="shared" si="17"/>
        <v>4.8495943514730984</v>
      </c>
      <c r="W30" s="1">
        <f t="shared" si="20"/>
        <v>0</v>
      </c>
      <c r="X30" s="1" t="s">
        <v>48</v>
      </c>
    </row>
    <row r="31" spans="1:24" x14ac:dyDescent="0.4">
      <c r="C31" s="2"/>
      <c r="D31" s="13">
        <f t="shared" si="18"/>
        <v>28</v>
      </c>
      <c r="E31" s="14">
        <f>Cbar</f>
        <v>5.2799999999999994</v>
      </c>
      <c r="F31" s="14">
        <f t="shared" si="12"/>
        <v>0.33333333333333331</v>
      </c>
      <c r="G31" s="14">
        <f t="shared" si="0"/>
        <v>6.5999999999999988</v>
      </c>
      <c r="H31" s="14">
        <f t="shared" si="13"/>
        <v>0</v>
      </c>
      <c r="I31" s="15">
        <f t="shared" si="19"/>
        <v>0.41960921361459524</v>
      </c>
      <c r="J31" s="22">
        <f t="shared" si="1"/>
        <v>0</v>
      </c>
      <c r="K31" s="1">
        <f t="shared" si="2"/>
        <v>6.5938506043824924E-2</v>
      </c>
      <c r="L31" s="1">
        <f t="shared" si="3"/>
        <v>1.3199999999999998</v>
      </c>
      <c r="M31" s="1">
        <f t="shared" si="4"/>
        <v>2.2439999999999998</v>
      </c>
      <c r="N31" s="1">
        <f t="shared" si="5"/>
        <v>0</v>
      </c>
      <c r="O31" s="1">
        <f t="shared" si="14"/>
        <v>3.5639999999999996</v>
      </c>
      <c r="P31" s="1">
        <f t="shared" si="6"/>
        <v>1.5189597112209732</v>
      </c>
      <c r="Q31" s="1">
        <f t="shared" si="7"/>
        <v>0.18547765573827912</v>
      </c>
      <c r="R31" s="1">
        <f t="shared" si="8"/>
        <v>5.261669199612632E-3</v>
      </c>
      <c r="S31" s="1">
        <f t="shared" si="15"/>
        <v>3.5639999999999996</v>
      </c>
      <c r="T31" s="1">
        <f t="shared" si="16"/>
        <v>6.5938506043824938E-2</v>
      </c>
      <c r="U31" s="1">
        <f t="shared" si="10"/>
        <v>0.40349779061121088</v>
      </c>
      <c r="V31" s="1">
        <f t="shared" si="17"/>
        <v>4.8495943514730984</v>
      </c>
      <c r="W31" s="1">
        <f t="shared" si="20"/>
        <v>0</v>
      </c>
    </row>
    <row r="32" spans="1:24" x14ac:dyDescent="0.4">
      <c r="A32" s="1" t="s">
        <v>66</v>
      </c>
      <c r="B32" s="1" cm="1">
        <f t="array" ref="B32">(1-omega) * Cbar^(1-rho)*Ctilde^(1-rho-Sigma)</f>
        <v>9.7060130475906554</v>
      </c>
      <c r="D32" s="13">
        <f t="shared" si="18"/>
        <v>29</v>
      </c>
      <c r="E32" s="14">
        <f>Cbar</f>
        <v>5.2799999999999994</v>
      </c>
      <c r="F32" s="14">
        <f t="shared" si="12"/>
        <v>0.33333333333333331</v>
      </c>
      <c r="G32" s="14">
        <f t="shared" si="0"/>
        <v>6.5999999999999988</v>
      </c>
      <c r="H32" s="14">
        <f t="shared" si="13"/>
        <v>0</v>
      </c>
      <c r="I32" s="15">
        <f t="shared" si="19"/>
        <v>0.4070209372061574</v>
      </c>
      <c r="J32" s="22">
        <f t="shared" si="1"/>
        <v>0</v>
      </c>
      <c r="K32" s="1">
        <f t="shared" si="2"/>
        <v>6.5938506043824924E-2</v>
      </c>
      <c r="L32" s="1">
        <f t="shared" si="3"/>
        <v>1.3199999999999998</v>
      </c>
      <c r="M32" s="1">
        <f t="shared" si="4"/>
        <v>2.2439999999999998</v>
      </c>
      <c r="N32" s="1">
        <f t="shared" si="5"/>
        <v>0</v>
      </c>
      <c r="O32" s="1">
        <f t="shared" si="14"/>
        <v>3.5639999999999996</v>
      </c>
      <c r="P32" s="1">
        <f t="shared" si="6"/>
        <v>1.473390919884344</v>
      </c>
      <c r="Q32" s="1">
        <f t="shared" si="7"/>
        <v>0.17991332606613078</v>
      </c>
      <c r="R32" s="1">
        <f t="shared" si="8"/>
        <v>5.103819123624254E-3</v>
      </c>
      <c r="S32" s="1">
        <f t="shared" si="15"/>
        <v>3.5639999999999996</v>
      </c>
      <c r="T32" s="1">
        <f t="shared" si="16"/>
        <v>6.5938506043824938E-2</v>
      </c>
      <c r="U32" s="1">
        <f t="shared" si="10"/>
        <v>0.39139285689287456</v>
      </c>
      <c r="V32" s="1">
        <f t="shared" si="17"/>
        <v>4.8495943514730984</v>
      </c>
      <c r="W32" s="1">
        <f t="shared" si="20"/>
        <v>0</v>
      </c>
    </row>
    <row r="33" spans="1:23" x14ac:dyDescent="0.4">
      <c r="D33" s="13">
        <f t="shared" si="18"/>
        <v>30</v>
      </c>
      <c r="E33" s="14">
        <f>Cbar</f>
        <v>5.2799999999999994</v>
      </c>
      <c r="F33" s="14">
        <f t="shared" si="12"/>
        <v>0.33333333333333331</v>
      </c>
      <c r="G33" s="14">
        <f t="shared" si="0"/>
        <v>6.5999999999999988</v>
      </c>
      <c r="H33" s="14">
        <f t="shared" si="13"/>
        <v>0</v>
      </c>
      <c r="I33" s="15">
        <f t="shared" si="19"/>
        <v>0.39481030908997261</v>
      </c>
      <c r="J33" s="22">
        <f t="shared" si="1"/>
        <v>0</v>
      </c>
      <c r="K33" s="1">
        <f t="shared" si="2"/>
        <v>6.5938506043824924E-2</v>
      </c>
      <c r="L33" s="1">
        <f t="shared" si="3"/>
        <v>1.3199999999999998</v>
      </c>
      <c r="M33" s="1">
        <f t="shared" si="4"/>
        <v>2.2439999999999998</v>
      </c>
      <c r="N33" s="1">
        <f t="shared" si="5"/>
        <v>0</v>
      </c>
      <c r="O33" s="1">
        <f t="shared" si="14"/>
        <v>3.5639999999999996</v>
      </c>
      <c r="P33" s="1">
        <f t="shared" si="6"/>
        <v>1.4291891922878135</v>
      </c>
      <c r="Q33" s="1">
        <f t="shared" si="7"/>
        <v>0.17451592628414683</v>
      </c>
      <c r="R33" s="1">
        <f t="shared" si="8"/>
        <v>4.9507045499155257E-3</v>
      </c>
      <c r="S33" s="1">
        <f t="shared" si="15"/>
        <v>3.5639999999999996</v>
      </c>
      <c r="T33" s="1">
        <f t="shared" si="16"/>
        <v>6.5938506043824938E-2</v>
      </c>
      <c r="U33" s="1">
        <f t="shared" si="10"/>
        <v>0.37965107118608832</v>
      </c>
      <c r="V33" s="1">
        <f t="shared" si="17"/>
        <v>4.8495943514730984</v>
      </c>
      <c r="W33" s="1">
        <f t="shared" si="20"/>
        <v>0</v>
      </c>
    </row>
    <row r="34" spans="1:23" ht="14.25" thickBot="1" x14ac:dyDescent="0.45">
      <c r="D34" s="19" t="s">
        <v>14</v>
      </c>
      <c r="E34" s="14">
        <f>Cbar</f>
        <v>5.2799999999999994</v>
      </c>
      <c r="F34" s="20"/>
      <c r="G34" s="20" t="s">
        <v>0</v>
      </c>
      <c r="H34" s="20" t="s">
        <v>0</v>
      </c>
      <c r="I34" s="21">
        <f>SUM(I3:I33)</f>
        <v>19.811834976088324</v>
      </c>
      <c r="S34" s="1">
        <f t="shared" si="15"/>
        <v>0</v>
      </c>
      <c r="U34" s="1">
        <f>SUM(U3:U33)</f>
        <v>19.282751614745955</v>
      </c>
    </row>
    <row r="35" spans="1:23" x14ac:dyDescent="0.4">
      <c r="P35" s="1">
        <f>SUM(P3:P33)</f>
        <v>72.589549449360618</v>
      </c>
      <c r="Q35" s="1">
        <f>SUM(Q3:Q33)</f>
        <v>8.8637897131207346</v>
      </c>
      <c r="R35" s="1">
        <f>SUM(R3:R33)</f>
        <v>0.25144985329758718</v>
      </c>
      <c r="S35" s="1">
        <f t="shared" si="15"/>
        <v>0</v>
      </c>
    </row>
    <row r="36" spans="1:23" x14ac:dyDescent="0.4">
      <c r="B36" s="1" t="s">
        <v>13</v>
      </c>
      <c r="E36" s="1">
        <f>STDEV(E3:E33)</f>
        <v>9.0286004935891309E-16</v>
      </c>
      <c r="F36" s="1">
        <f>STDEV(F3:F33)</f>
        <v>5.6428753084932068E-17</v>
      </c>
      <c r="G36" s="1">
        <f>STDEV(G3:G33)</f>
        <v>2.7085801480767393E-15</v>
      </c>
      <c r="H36" s="5">
        <f t="shared" ref="H36" si="21">AVERAGE(H3:H33)</f>
        <v>0</v>
      </c>
      <c r="I36" s="5">
        <f>I34</f>
        <v>19.811834976088324</v>
      </c>
      <c r="J36" s="1">
        <f>SUM(P3:P33)</f>
        <v>72.589549449360618</v>
      </c>
      <c r="K36" s="1" t="s">
        <v>52</v>
      </c>
      <c r="L36" s="1" t="s">
        <v>53</v>
      </c>
      <c r="Q36" s="1" t="s">
        <v>54</v>
      </c>
      <c r="R36" s="1" t="s">
        <v>55</v>
      </c>
      <c r="S36" s="1">
        <f t="shared" si="15"/>
        <v>0</v>
      </c>
    </row>
    <row r="37" spans="1:23" ht="14.25" thickBot="1" x14ac:dyDescent="0.45">
      <c r="D37" s="1" t="s">
        <v>0</v>
      </c>
      <c r="S37" s="1">
        <f t="shared" si="15"/>
        <v>0</v>
      </c>
    </row>
    <row r="38" spans="1:23" x14ac:dyDescent="0.4">
      <c r="D38" s="1" t="s">
        <v>0</v>
      </c>
      <c r="E38" s="17" t="s">
        <v>13</v>
      </c>
      <c r="F38" s="17" t="s">
        <v>9</v>
      </c>
      <c r="G38" s="17" t="s">
        <v>10</v>
      </c>
      <c r="H38" s="17" t="s">
        <v>11</v>
      </c>
      <c r="I38" s="1" t="s">
        <v>23</v>
      </c>
      <c r="J38" s="1" t="s">
        <v>50</v>
      </c>
      <c r="Q38" s="1">
        <v>8.1656239707680793</v>
      </c>
      <c r="R38" s="1">
        <v>0.31775569907268991</v>
      </c>
      <c r="S38" s="1">
        <f t="shared" si="15"/>
        <v>0</v>
      </c>
    </row>
    <row r="39" spans="1:23" x14ac:dyDescent="0.4">
      <c r="B39" s="1" t="s">
        <v>19</v>
      </c>
      <c r="E39" s="1">
        <v>0.51506911601641614</v>
      </c>
      <c r="F39" s="1">
        <v>1.2503568392083074E-2</v>
      </c>
      <c r="G39" s="1">
        <v>0.37510705176249221</v>
      </c>
      <c r="H39" s="5">
        <v>7.1287265898584762</v>
      </c>
      <c r="I39" s="5">
        <v>25.725850672988784</v>
      </c>
      <c r="J39" s="1">
        <v>0</v>
      </c>
      <c r="K39" s="1">
        <v>8.1656239707680793</v>
      </c>
      <c r="L39" s="1">
        <v>0.31775569907268991</v>
      </c>
      <c r="S39" s="1">
        <f t="shared" si="15"/>
        <v>0</v>
      </c>
    </row>
    <row r="40" spans="1:23" x14ac:dyDescent="0.4">
      <c r="A40" s="1" t="s">
        <v>21</v>
      </c>
      <c r="B40" s="1" t="s">
        <v>20</v>
      </c>
      <c r="S40" s="1">
        <f t="shared" si="15"/>
        <v>0</v>
      </c>
    </row>
    <row r="41" spans="1:23" x14ac:dyDescent="0.4">
      <c r="B41" s="1" t="s">
        <v>13</v>
      </c>
      <c r="S41" s="1">
        <f t="shared" si="15"/>
        <v>0</v>
      </c>
    </row>
    <row r="42" spans="1:23" x14ac:dyDescent="0.4">
      <c r="B42" s="1" t="s">
        <v>51</v>
      </c>
      <c r="E42" s="1">
        <v>0.42202149360801389</v>
      </c>
      <c r="F42" s="1">
        <v>1.2515382480333393E-2</v>
      </c>
      <c r="G42" s="1">
        <v>0.33791532696900162</v>
      </c>
      <c r="H42" s="1">
        <v>6.4205839222844023</v>
      </c>
      <c r="I42" s="1">
        <v>24.141774947904171</v>
      </c>
      <c r="J42" s="1">
        <v>35.035899761759545</v>
      </c>
      <c r="K42" s="1">
        <v>8.5140907196594657</v>
      </c>
      <c r="L42" s="1">
        <v>0.31777350481290562</v>
      </c>
      <c r="Q42" s="1">
        <v>8.5140907196594657</v>
      </c>
      <c r="R42" s="1">
        <v>0.31777350481290562</v>
      </c>
      <c r="S42" s="1">
        <f t="shared" si="15"/>
        <v>0</v>
      </c>
    </row>
    <row r="43" spans="1:23" x14ac:dyDescent="0.4">
      <c r="O43" s="1">
        <v>35.035900529128931</v>
      </c>
      <c r="S43" s="1">
        <f t="shared" si="15"/>
        <v>35.035900529128931</v>
      </c>
    </row>
    <row r="44" spans="1:23" x14ac:dyDescent="0.4">
      <c r="B44" s="1" t="s">
        <v>19</v>
      </c>
      <c r="S44" s="1">
        <f t="shared" si="15"/>
        <v>0</v>
      </c>
    </row>
    <row r="45" spans="1:23" x14ac:dyDescent="0.4">
      <c r="A45" s="1" t="s">
        <v>22</v>
      </c>
      <c r="B45" s="1" t="s">
        <v>20</v>
      </c>
      <c r="S45" s="1">
        <f t="shared" si="15"/>
        <v>0</v>
      </c>
    </row>
    <row r="46" spans="1:23" x14ac:dyDescent="0.4">
      <c r="B46" s="1" t="s">
        <v>13</v>
      </c>
      <c r="S46" s="1">
        <f t="shared" si="15"/>
        <v>0</v>
      </c>
    </row>
    <row r="48" spans="1:23" x14ac:dyDescent="0.4">
      <c r="J48" s="1" t="s">
        <v>56</v>
      </c>
      <c r="L48" s="1">
        <f>(((A_0-(1-Sigma)*Gamma*(B_0-B_1))/A_1)^(1/(1-Sigma))-1)</f>
        <v>8.7198691671626083E-2</v>
      </c>
    </row>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3984375" defaultRowHeight="12.75" x14ac:dyDescent="0.35"/>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3984375" defaultRowHeight="12.75" x14ac:dyDescent="0.35"/>
  <sheetData/>
  <phoneticPr fontId="0" type="noConversion"/>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vt:i4>
      </vt:variant>
    </vt:vector>
  </HeadingPairs>
  <TitlesOfParts>
    <vt:vector size="30" baseType="lpstr">
      <vt:lpstr>Hoja1</vt:lpstr>
      <vt:lpstr>Hoja2</vt:lpstr>
      <vt:lpstr>Hoja3</vt:lpstr>
      <vt:lpstr>A_0</vt:lpstr>
      <vt:lpstr>A_1</vt:lpstr>
      <vt:lpstr>B_0</vt:lpstr>
      <vt:lpstr>B_1</vt:lpstr>
      <vt:lpstr>Beta</vt:lpstr>
      <vt:lpstr>Cbar</vt:lpstr>
      <vt:lpstr>Ctilde</vt:lpstr>
      <vt:lpstr>Gamma</vt:lpstr>
      <vt:lpstr>Gbar</vt:lpstr>
      <vt:lpstr>lambda0</vt:lpstr>
      <vt:lpstr>lambda1</vt:lpstr>
      <vt:lpstr>Lbar</vt:lpstr>
      <vt:lpstr>omega</vt:lpstr>
      <vt:lpstr>Phi</vt:lpstr>
      <vt:lpstr>R_0</vt:lpstr>
      <vt:lpstr>R_N</vt:lpstr>
      <vt:lpstr>Rbar</vt:lpstr>
      <vt:lpstr>rho</vt:lpstr>
      <vt:lpstr>Sigma</vt:lpstr>
      <vt:lpstr>tau_c</vt:lpstr>
      <vt:lpstr>tau_ret</vt:lpstr>
      <vt:lpstr>tau_w</vt:lpstr>
      <vt:lpstr>W_1</vt:lpstr>
      <vt:lpstr>W0</vt:lpstr>
      <vt:lpstr>Wage</vt:lpstr>
      <vt:lpstr>Wbar</vt:lpstr>
      <vt:lpstr>xi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JoseLuis</dc:creator>
  <cp:lastModifiedBy>Paul McNelis</cp:lastModifiedBy>
  <dcterms:created xsi:type="dcterms:W3CDTF">2009-07-04T07:41:09Z</dcterms:created>
  <dcterms:modified xsi:type="dcterms:W3CDTF">2025-11-10T21:16:11Z</dcterms:modified>
</cp:coreProperties>
</file>